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pannikkat/Documents/schoolwork/FEL/garisom/03_test_data/fremont-poplar-data/data/"/>
    </mc:Choice>
  </mc:AlternateContent>
  <xr:revisionPtr revIDLastSave="0" documentId="13_ncr:1_{88AE98E6-5CEB-CA46-BDD8-A950DFE5700C}" xr6:coauthVersionLast="47" xr6:coauthVersionMax="47" xr10:uidLastSave="{00000000-0000-0000-0000-000000000000}"/>
  <bookViews>
    <workbookView xWindow="0" yWindow="880" windowWidth="41120" windowHeight="25700" xr2:uid="{00000000-000D-0000-FFFF-FFFF00000000}"/>
  </bookViews>
  <sheets>
    <sheet name="Repeated measurements" sheetId="1" r:id="rId1"/>
    <sheet name="One time measurements" sheetId="2" r:id="rId2"/>
    <sheet name="Stem hydraul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3" i="1"/>
  <c r="P703" i="1"/>
  <c r="P767" i="1"/>
  <c r="P126" i="1"/>
  <c r="K4" i="1"/>
  <c r="P4" i="1" s="1"/>
  <c r="K5" i="1"/>
  <c r="P5" i="1" s="1"/>
  <c r="K6" i="1"/>
  <c r="P6" i="1" s="1"/>
  <c r="K7" i="1"/>
  <c r="P7" i="1" s="1"/>
  <c r="K8" i="1"/>
  <c r="P8" i="1" s="1"/>
  <c r="K9" i="1"/>
  <c r="P9" i="1" s="1"/>
  <c r="K10" i="1"/>
  <c r="P10" i="1" s="1"/>
  <c r="K11" i="1"/>
  <c r="P11" i="1" s="1"/>
  <c r="K12" i="1"/>
  <c r="P12" i="1" s="1"/>
  <c r="K13" i="1"/>
  <c r="P13" i="1" s="1"/>
  <c r="K14" i="1"/>
  <c r="P14" i="1" s="1"/>
  <c r="K15" i="1"/>
  <c r="P15" i="1" s="1"/>
  <c r="K16" i="1"/>
  <c r="P16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3" i="1"/>
  <c r="P33" i="1" s="1"/>
  <c r="K34" i="1"/>
  <c r="P34" i="1" s="1"/>
  <c r="K35" i="1"/>
  <c r="P35" i="1" s="1"/>
  <c r="K36" i="1"/>
  <c r="P36" i="1" s="1"/>
  <c r="K37" i="1"/>
  <c r="P37" i="1" s="1"/>
  <c r="K38" i="1"/>
  <c r="P38" i="1" s="1"/>
  <c r="K39" i="1"/>
  <c r="P39" i="1" s="1"/>
  <c r="K40" i="1"/>
  <c r="P40" i="1" s="1"/>
  <c r="K41" i="1"/>
  <c r="P41" i="1" s="1"/>
  <c r="K42" i="1"/>
  <c r="P42" i="1" s="1"/>
  <c r="K43" i="1"/>
  <c r="P43" i="1" s="1"/>
  <c r="K44" i="1"/>
  <c r="P44" i="1" s="1"/>
  <c r="K45" i="1"/>
  <c r="P45" i="1" s="1"/>
  <c r="K46" i="1"/>
  <c r="P46" i="1" s="1"/>
  <c r="K47" i="1"/>
  <c r="P47" i="1" s="1"/>
  <c r="K48" i="1"/>
  <c r="P48" i="1" s="1"/>
  <c r="K49" i="1"/>
  <c r="P49" i="1" s="1"/>
  <c r="K50" i="1"/>
  <c r="P50" i="1" s="1"/>
  <c r="K51" i="1"/>
  <c r="P51" i="1" s="1"/>
  <c r="K52" i="1"/>
  <c r="P52" i="1" s="1"/>
  <c r="K53" i="1"/>
  <c r="P53" i="1" s="1"/>
  <c r="K54" i="1"/>
  <c r="P54" i="1" s="1"/>
  <c r="K55" i="1"/>
  <c r="P55" i="1" s="1"/>
  <c r="K56" i="1"/>
  <c r="P56" i="1" s="1"/>
  <c r="K57" i="1"/>
  <c r="P57" i="1" s="1"/>
  <c r="K58" i="1"/>
  <c r="P58" i="1" s="1"/>
  <c r="K59" i="1"/>
  <c r="P59" i="1" s="1"/>
  <c r="K60" i="1"/>
  <c r="P60" i="1" s="1"/>
  <c r="K61" i="1"/>
  <c r="P61" i="1" s="1"/>
  <c r="K62" i="1"/>
  <c r="P62" i="1" s="1"/>
  <c r="K63" i="1"/>
  <c r="P63" i="1" s="1"/>
  <c r="K64" i="1"/>
  <c r="P64" i="1" s="1"/>
  <c r="K65" i="1"/>
  <c r="P65" i="1" s="1"/>
  <c r="K66" i="1"/>
  <c r="P66" i="1" s="1"/>
  <c r="K67" i="1"/>
  <c r="P67" i="1" s="1"/>
  <c r="K68" i="1"/>
  <c r="P68" i="1" s="1"/>
  <c r="K69" i="1"/>
  <c r="P69" i="1" s="1"/>
  <c r="K70" i="1"/>
  <c r="P70" i="1" s="1"/>
  <c r="K71" i="1"/>
  <c r="P71" i="1" s="1"/>
  <c r="K72" i="1"/>
  <c r="P72" i="1" s="1"/>
  <c r="K73" i="1"/>
  <c r="P73" i="1" s="1"/>
  <c r="K74" i="1"/>
  <c r="P74" i="1" s="1"/>
  <c r="K75" i="1"/>
  <c r="P75" i="1" s="1"/>
  <c r="K76" i="1"/>
  <c r="P76" i="1" s="1"/>
  <c r="K77" i="1"/>
  <c r="P77" i="1" s="1"/>
  <c r="K78" i="1"/>
  <c r="P78" i="1" s="1"/>
  <c r="K79" i="1"/>
  <c r="P79" i="1" s="1"/>
  <c r="K80" i="1"/>
  <c r="P80" i="1" s="1"/>
  <c r="K81" i="1"/>
  <c r="P81" i="1" s="1"/>
  <c r="K82" i="1"/>
  <c r="P82" i="1" s="1"/>
  <c r="K83" i="1"/>
  <c r="P83" i="1" s="1"/>
  <c r="K84" i="1"/>
  <c r="P84" i="1" s="1"/>
  <c r="K85" i="1"/>
  <c r="P85" i="1" s="1"/>
  <c r="K86" i="1"/>
  <c r="P86" i="1" s="1"/>
  <c r="K87" i="1"/>
  <c r="P87" i="1" s="1"/>
  <c r="K88" i="1"/>
  <c r="P88" i="1" s="1"/>
  <c r="K89" i="1"/>
  <c r="P89" i="1" s="1"/>
  <c r="K90" i="1"/>
  <c r="P90" i="1" s="1"/>
  <c r="K91" i="1"/>
  <c r="P91" i="1" s="1"/>
  <c r="K92" i="1"/>
  <c r="P92" i="1" s="1"/>
  <c r="K93" i="1"/>
  <c r="P93" i="1" s="1"/>
  <c r="K94" i="1"/>
  <c r="P94" i="1" s="1"/>
  <c r="K95" i="1"/>
  <c r="P95" i="1" s="1"/>
  <c r="K96" i="1"/>
  <c r="P96" i="1" s="1"/>
  <c r="K97" i="1"/>
  <c r="P97" i="1" s="1"/>
  <c r="K98" i="1"/>
  <c r="P98" i="1" s="1"/>
  <c r="K99" i="1"/>
  <c r="P99" i="1" s="1"/>
  <c r="K100" i="1"/>
  <c r="P100" i="1" s="1"/>
  <c r="K101" i="1"/>
  <c r="P101" i="1" s="1"/>
  <c r="K102" i="1"/>
  <c r="P102" i="1" s="1"/>
  <c r="K103" i="1"/>
  <c r="P103" i="1" s="1"/>
  <c r="K104" i="1"/>
  <c r="P104" i="1" s="1"/>
  <c r="K105" i="1"/>
  <c r="P105" i="1" s="1"/>
  <c r="K106" i="1"/>
  <c r="P106" i="1" s="1"/>
  <c r="K107" i="1"/>
  <c r="P107" i="1" s="1"/>
  <c r="K108" i="1"/>
  <c r="P108" i="1" s="1"/>
  <c r="K109" i="1"/>
  <c r="P109" i="1" s="1"/>
  <c r="K110" i="1"/>
  <c r="P110" i="1" s="1"/>
  <c r="K111" i="1"/>
  <c r="P111" i="1" s="1"/>
  <c r="K112" i="1"/>
  <c r="P112" i="1" s="1"/>
  <c r="K113" i="1"/>
  <c r="P113" i="1" s="1"/>
  <c r="K114" i="1"/>
  <c r="P114" i="1" s="1"/>
  <c r="K115" i="1"/>
  <c r="P115" i="1" s="1"/>
  <c r="K116" i="1"/>
  <c r="P116" i="1" s="1"/>
  <c r="K117" i="1"/>
  <c r="P117" i="1" s="1"/>
  <c r="K118" i="1"/>
  <c r="P118" i="1" s="1"/>
  <c r="K119" i="1"/>
  <c r="P119" i="1" s="1"/>
  <c r="K120" i="1"/>
  <c r="P120" i="1" s="1"/>
  <c r="K121" i="1"/>
  <c r="P121" i="1" s="1"/>
  <c r="K122" i="1"/>
  <c r="P122" i="1" s="1"/>
  <c r="K124" i="1"/>
  <c r="P124" i="1" s="1"/>
  <c r="K125" i="1"/>
  <c r="P125" i="1" s="1"/>
  <c r="K126" i="1"/>
  <c r="K127" i="1"/>
  <c r="P127" i="1" s="1"/>
  <c r="K128" i="1"/>
  <c r="P128" i="1" s="1"/>
  <c r="K129" i="1"/>
  <c r="P129" i="1" s="1"/>
  <c r="K130" i="1"/>
  <c r="P130" i="1" s="1"/>
  <c r="K131" i="1"/>
  <c r="P131" i="1" s="1"/>
  <c r="K132" i="1"/>
  <c r="P132" i="1" s="1"/>
  <c r="K133" i="1"/>
  <c r="P133" i="1" s="1"/>
  <c r="K134" i="1"/>
  <c r="P134" i="1" s="1"/>
  <c r="K135" i="1"/>
  <c r="P135" i="1" s="1"/>
  <c r="K136" i="1"/>
  <c r="P136" i="1" s="1"/>
  <c r="K137" i="1"/>
  <c r="P137" i="1" s="1"/>
  <c r="K138" i="1"/>
  <c r="P138" i="1" s="1"/>
  <c r="K139" i="1"/>
  <c r="P139" i="1" s="1"/>
  <c r="K140" i="1"/>
  <c r="P140" i="1" s="1"/>
  <c r="K141" i="1"/>
  <c r="P141" i="1" s="1"/>
  <c r="K142" i="1"/>
  <c r="P142" i="1" s="1"/>
  <c r="K143" i="1"/>
  <c r="P143" i="1" s="1"/>
  <c r="K144" i="1"/>
  <c r="P144" i="1" s="1"/>
  <c r="K145" i="1"/>
  <c r="P145" i="1" s="1"/>
  <c r="K146" i="1"/>
  <c r="P146" i="1" s="1"/>
  <c r="K147" i="1"/>
  <c r="P147" i="1" s="1"/>
  <c r="K148" i="1"/>
  <c r="P148" i="1" s="1"/>
  <c r="K149" i="1"/>
  <c r="P149" i="1" s="1"/>
  <c r="K150" i="1"/>
  <c r="P150" i="1" s="1"/>
  <c r="K151" i="1"/>
  <c r="P151" i="1" s="1"/>
  <c r="K152" i="1"/>
  <c r="P152" i="1" s="1"/>
  <c r="K153" i="1"/>
  <c r="P153" i="1" s="1"/>
  <c r="K154" i="1"/>
  <c r="P154" i="1" s="1"/>
  <c r="K155" i="1"/>
  <c r="P155" i="1" s="1"/>
  <c r="K156" i="1"/>
  <c r="P156" i="1" s="1"/>
  <c r="K157" i="1"/>
  <c r="P157" i="1" s="1"/>
  <c r="K158" i="1"/>
  <c r="P158" i="1" s="1"/>
  <c r="K159" i="1"/>
  <c r="P159" i="1" s="1"/>
  <c r="K160" i="1"/>
  <c r="P160" i="1" s="1"/>
  <c r="K161" i="1"/>
  <c r="P161" i="1" s="1"/>
  <c r="K162" i="1"/>
  <c r="P162" i="1" s="1"/>
  <c r="K163" i="1"/>
  <c r="P163" i="1" s="1"/>
  <c r="K164" i="1"/>
  <c r="P164" i="1" s="1"/>
  <c r="K165" i="1"/>
  <c r="P165" i="1" s="1"/>
  <c r="K166" i="1"/>
  <c r="P166" i="1" s="1"/>
  <c r="K167" i="1"/>
  <c r="P167" i="1" s="1"/>
  <c r="K168" i="1"/>
  <c r="P168" i="1" s="1"/>
  <c r="K169" i="1"/>
  <c r="P169" i="1" s="1"/>
  <c r="K170" i="1"/>
  <c r="P170" i="1" s="1"/>
  <c r="K171" i="1"/>
  <c r="P171" i="1" s="1"/>
  <c r="K172" i="1"/>
  <c r="P172" i="1" s="1"/>
  <c r="K173" i="1"/>
  <c r="P173" i="1" s="1"/>
  <c r="K174" i="1"/>
  <c r="P174" i="1" s="1"/>
  <c r="K175" i="1"/>
  <c r="P175" i="1" s="1"/>
  <c r="K176" i="1"/>
  <c r="P176" i="1" s="1"/>
  <c r="K177" i="1"/>
  <c r="P177" i="1" s="1"/>
  <c r="K178" i="1"/>
  <c r="P178" i="1" s="1"/>
  <c r="K179" i="1"/>
  <c r="P179" i="1" s="1"/>
  <c r="K180" i="1"/>
  <c r="P180" i="1" s="1"/>
  <c r="K181" i="1"/>
  <c r="P181" i="1" s="1"/>
  <c r="K182" i="1"/>
  <c r="P182" i="1" s="1"/>
  <c r="K183" i="1"/>
  <c r="P183" i="1" s="1"/>
  <c r="K184" i="1"/>
  <c r="P184" i="1" s="1"/>
  <c r="K185" i="1"/>
  <c r="P185" i="1" s="1"/>
  <c r="K186" i="1"/>
  <c r="P186" i="1" s="1"/>
  <c r="K187" i="1"/>
  <c r="P187" i="1" s="1"/>
  <c r="K188" i="1"/>
  <c r="P188" i="1" s="1"/>
  <c r="K189" i="1"/>
  <c r="P189" i="1" s="1"/>
  <c r="K190" i="1"/>
  <c r="P190" i="1" s="1"/>
  <c r="K191" i="1"/>
  <c r="P191" i="1" s="1"/>
  <c r="K192" i="1"/>
  <c r="P192" i="1" s="1"/>
  <c r="K193" i="1"/>
  <c r="P193" i="1" s="1"/>
  <c r="K194" i="1"/>
  <c r="P194" i="1" s="1"/>
  <c r="K195" i="1"/>
  <c r="P195" i="1" s="1"/>
  <c r="K196" i="1"/>
  <c r="P196" i="1" s="1"/>
  <c r="K197" i="1"/>
  <c r="P197" i="1" s="1"/>
  <c r="K198" i="1"/>
  <c r="P198" i="1" s="1"/>
  <c r="K199" i="1"/>
  <c r="P199" i="1" s="1"/>
  <c r="K200" i="1"/>
  <c r="P200" i="1" s="1"/>
  <c r="K201" i="1"/>
  <c r="P201" i="1" s="1"/>
  <c r="K202" i="1"/>
  <c r="P202" i="1" s="1"/>
  <c r="K203" i="1"/>
  <c r="P203" i="1" s="1"/>
  <c r="K204" i="1"/>
  <c r="P204" i="1" s="1"/>
  <c r="K205" i="1"/>
  <c r="P205" i="1" s="1"/>
  <c r="K206" i="1"/>
  <c r="P206" i="1" s="1"/>
  <c r="K207" i="1"/>
  <c r="P207" i="1" s="1"/>
  <c r="K208" i="1"/>
  <c r="P208" i="1" s="1"/>
  <c r="K209" i="1"/>
  <c r="P209" i="1" s="1"/>
  <c r="K210" i="1"/>
  <c r="P210" i="1" s="1"/>
  <c r="K211" i="1"/>
  <c r="P211" i="1" s="1"/>
  <c r="K212" i="1"/>
  <c r="P212" i="1" s="1"/>
  <c r="K213" i="1"/>
  <c r="P213" i="1" s="1"/>
  <c r="K214" i="1"/>
  <c r="P214" i="1" s="1"/>
  <c r="K215" i="1"/>
  <c r="P215" i="1" s="1"/>
  <c r="K216" i="1"/>
  <c r="P216" i="1" s="1"/>
  <c r="K217" i="1"/>
  <c r="P217" i="1" s="1"/>
  <c r="K218" i="1"/>
  <c r="P218" i="1" s="1"/>
  <c r="K219" i="1"/>
  <c r="P219" i="1" s="1"/>
  <c r="K220" i="1"/>
  <c r="P220" i="1" s="1"/>
  <c r="K221" i="1"/>
  <c r="P221" i="1" s="1"/>
  <c r="K222" i="1"/>
  <c r="P222" i="1" s="1"/>
  <c r="K223" i="1"/>
  <c r="P223" i="1" s="1"/>
  <c r="K224" i="1"/>
  <c r="P224" i="1" s="1"/>
  <c r="K225" i="1"/>
  <c r="P225" i="1" s="1"/>
  <c r="K226" i="1"/>
  <c r="P226" i="1" s="1"/>
  <c r="K227" i="1"/>
  <c r="P227" i="1" s="1"/>
  <c r="K228" i="1"/>
  <c r="P228" i="1" s="1"/>
  <c r="K229" i="1"/>
  <c r="P229" i="1" s="1"/>
  <c r="K230" i="1"/>
  <c r="P230" i="1" s="1"/>
  <c r="K231" i="1"/>
  <c r="P231" i="1" s="1"/>
  <c r="K232" i="1"/>
  <c r="P232" i="1" s="1"/>
  <c r="K233" i="1"/>
  <c r="P233" i="1" s="1"/>
  <c r="K234" i="1"/>
  <c r="P234" i="1" s="1"/>
  <c r="K235" i="1"/>
  <c r="P235" i="1" s="1"/>
  <c r="K236" i="1"/>
  <c r="P236" i="1" s="1"/>
  <c r="K237" i="1"/>
  <c r="P237" i="1" s="1"/>
  <c r="K238" i="1"/>
  <c r="P238" i="1" s="1"/>
  <c r="K239" i="1"/>
  <c r="P239" i="1" s="1"/>
  <c r="K240" i="1"/>
  <c r="P240" i="1" s="1"/>
  <c r="K241" i="1"/>
  <c r="P241" i="1" s="1"/>
  <c r="K242" i="1"/>
  <c r="P242" i="1" s="1"/>
  <c r="K243" i="1"/>
  <c r="P243" i="1" s="1"/>
  <c r="K245" i="1"/>
  <c r="P245" i="1" s="1"/>
  <c r="K246" i="1"/>
  <c r="P246" i="1" s="1"/>
  <c r="K247" i="1"/>
  <c r="P247" i="1" s="1"/>
  <c r="K248" i="1"/>
  <c r="P248" i="1" s="1"/>
  <c r="K249" i="1"/>
  <c r="P249" i="1" s="1"/>
  <c r="K250" i="1"/>
  <c r="P250" i="1" s="1"/>
  <c r="K251" i="1"/>
  <c r="P251" i="1" s="1"/>
  <c r="K252" i="1"/>
  <c r="P252" i="1" s="1"/>
  <c r="K253" i="1"/>
  <c r="P253" i="1" s="1"/>
  <c r="K254" i="1"/>
  <c r="P254" i="1" s="1"/>
  <c r="K255" i="1"/>
  <c r="P255" i="1" s="1"/>
  <c r="K256" i="1"/>
  <c r="P256" i="1" s="1"/>
  <c r="K257" i="1"/>
  <c r="P257" i="1" s="1"/>
  <c r="K258" i="1"/>
  <c r="P258" i="1" s="1"/>
  <c r="K259" i="1"/>
  <c r="P259" i="1" s="1"/>
  <c r="K260" i="1"/>
  <c r="P260" i="1" s="1"/>
  <c r="K261" i="1"/>
  <c r="P261" i="1" s="1"/>
  <c r="K262" i="1"/>
  <c r="P262" i="1" s="1"/>
  <c r="K263" i="1"/>
  <c r="P263" i="1" s="1"/>
  <c r="K264" i="1"/>
  <c r="P264" i="1" s="1"/>
  <c r="K265" i="1"/>
  <c r="P265" i="1" s="1"/>
  <c r="K266" i="1"/>
  <c r="P266" i="1" s="1"/>
  <c r="K267" i="1"/>
  <c r="P267" i="1" s="1"/>
  <c r="K268" i="1"/>
  <c r="P268" i="1" s="1"/>
  <c r="K269" i="1"/>
  <c r="P269" i="1" s="1"/>
  <c r="K270" i="1"/>
  <c r="P270" i="1" s="1"/>
  <c r="K271" i="1"/>
  <c r="P271" i="1" s="1"/>
  <c r="K272" i="1"/>
  <c r="P272" i="1" s="1"/>
  <c r="K273" i="1"/>
  <c r="P273" i="1" s="1"/>
  <c r="K274" i="1"/>
  <c r="P274" i="1" s="1"/>
  <c r="K275" i="1"/>
  <c r="P275" i="1" s="1"/>
  <c r="K276" i="1"/>
  <c r="P276" i="1" s="1"/>
  <c r="K277" i="1"/>
  <c r="P277" i="1" s="1"/>
  <c r="K278" i="1"/>
  <c r="P278" i="1" s="1"/>
  <c r="K279" i="1"/>
  <c r="P279" i="1" s="1"/>
  <c r="K280" i="1"/>
  <c r="P280" i="1" s="1"/>
  <c r="K281" i="1"/>
  <c r="P281" i="1" s="1"/>
  <c r="K282" i="1"/>
  <c r="P282" i="1" s="1"/>
  <c r="K283" i="1"/>
  <c r="P283" i="1" s="1"/>
  <c r="K284" i="1"/>
  <c r="P284" i="1" s="1"/>
  <c r="K285" i="1"/>
  <c r="P285" i="1" s="1"/>
  <c r="K286" i="1"/>
  <c r="P286" i="1" s="1"/>
  <c r="K287" i="1"/>
  <c r="P287" i="1" s="1"/>
  <c r="K288" i="1"/>
  <c r="P288" i="1" s="1"/>
  <c r="K289" i="1"/>
  <c r="P289" i="1" s="1"/>
  <c r="K290" i="1"/>
  <c r="P290" i="1" s="1"/>
  <c r="K291" i="1"/>
  <c r="P291" i="1" s="1"/>
  <c r="K292" i="1"/>
  <c r="P292" i="1" s="1"/>
  <c r="K293" i="1"/>
  <c r="P293" i="1" s="1"/>
  <c r="K294" i="1"/>
  <c r="P294" i="1" s="1"/>
  <c r="K295" i="1"/>
  <c r="P295" i="1" s="1"/>
  <c r="K296" i="1"/>
  <c r="P296" i="1" s="1"/>
  <c r="K297" i="1"/>
  <c r="P297" i="1" s="1"/>
  <c r="K298" i="1"/>
  <c r="P298" i="1" s="1"/>
  <c r="K299" i="1"/>
  <c r="P299" i="1" s="1"/>
  <c r="K300" i="1"/>
  <c r="P300" i="1" s="1"/>
  <c r="K301" i="1"/>
  <c r="P301" i="1" s="1"/>
  <c r="K302" i="1"/>
  <c r="P302" i="1" s="1"/>
  <c r="K303" i="1"/>
  <c r="P303" i="1" s="1"/>
  <c r="K304" i="1"/>
  <c r="P304" i="1" s="1"/>
  <c r="K305" i="1"/>
  <c r="P305" i="1" s="1"/>
  <c r="K306" i="1"/>
  <c r="P306" i="1" s="1"/>
  <c r="K307" i="1"/>
  <c r="P307" i="1" s="1"/>
  <c r="K308" i="1"/>
  <c r="P308" i="1" s="1"/>
  <c r="K309" i="1"/>
  <c r="P309" i="1" s="1"/>
  <c r="K310" i="1"/>
  <c r="P310" i="1" s="1"/>
  <c r="K311" i="1"/>
  <c r="P311" i="1" s="1"/>
  <c r="K312" i="1"/>
  <c r="P312" i="1" s="1"/>
  <c r="K313" i="1"/>
  <c r="P313" i="1" s="1"/>
  <c r="K314" i="1"/>
  <c r="P314" i="1" s="1"/>
  <c r="K315" i="1"/>
  <c r="P315" i="1" s="1"/>
  <c r="K316" i="1"/>
  <c r="P316" i="1" s="1"/>
  <c r="K317" i="1"/>
  <c r="P317" i="1" s="1"/>
  <c r="K318" i="1"/>
  <c r="P318" i="1" s="1"/>
  <c r="K319" i="1"/>
  <c r="P319" i="1" s="1"/>
  <c r="K320" i="1"/>
  <c r="P320" i="1" s="1"/>
  <c r="K321" i="1"/>
  <c r="P321" i="1" s="1"/>
  <c r="K322" i="1"/>
  <c r="P322" i="1" s="1"/>
  <c r="K323" i="1"/>
  <c r="P323" i="1" s="1"/>
  <c r="K324" i="1"/>
  <c r="P324" i="1" s="1"/>
  <c r="K325" i="1"/>
  <c r="P325" i="1" s="1"/>
  <c r="K326" i="1"/>
  <c r="P326" i="1" s="1"/>
  <c r="K327" i="1"/>
  <c r="P327" i="1" s="1"/>
  <c r="K328" i="1"/>
  <c r="P328" i="1" s="1"/>
  <c r="K329" i="1"/>
  <c r="P329" i="1" s="1"/>
  <c r="K330" i="1"/>
  <c r="P330" i="1" s="1"/>
  <c r="K331" i="1"/>
  <c r="P331" i="1" s="1"/>
  <c r="K332" i="1"/>
  <c r="P332" i="1" s="1"/>
  <c r="K333" i="1"/>
  <c r="P333" i="1" s="1"/>
  <c r="K334" i="1"/>
  <c r="P334" i="1" s="1"/>
  <c r="K335" i="1"/>
  <c r="P335" i="1" s="1"/>
  <c r="K336" i="1"/>
  <c r="P336" i="1" s="1"/>
  <c r="K337" i="1"/>
  <c r="P337" i="1" s="1"/>
  <c r="K338" i="1"/>
  <c r="P338" i="1" s="1"/>
  <c r="K339" i="1"/>
  <c r="P339" i="1" s="1"/>
  <c r="K340" i="1"/>
  <c r="P340" i="1" s="1"/>
  <c r="K341" i="1"/>
  <c r="P341" i="1" s="1"/>
  <c r="K342" i="1"/>
  <c r="P342" i="1" s="1"/>
  <c r="K343" i="1"/>
  <c r="P343" i="1" s="1"/>
  <c r="K344" i="1"/>
  <c r="P344" i="1" s="1"/>
  <c r="K345" i="1"/>
  <c r="P345" i="1" s="1"/>
  <c r="K346" i="1"/>
  <c r="P346" i="1" s="1"/>
  <c r="K347" i="1"/>
  <c r="P347" i="1" s="1"/>
  <c r="K348" i="1"/>
  <c r="P348" i="1" s="1"/>
  <c r="K349" i="1"/>
  <c r="P349" i="1" s="1"/>
  <c r="K350" i="1"/>
  <c r="P350" i="1" s="1"/>
  <c r="K351" i="1"/>
  <c r="P351" i="1" s="1"/>
  <c r="K352" i="1"/>
  <c r="P352" i="1" s="1"/>
  <c r="K353" i="1"/>
  <c r="P353" i="1" s="1"/>
  <c r="K354" i="1"/>
  <c r="P354" i="1" s="1"/>
  <c r="K355" i="1"/>
  <c r="P355" i="1" s="1"/>
  <c r="K356" i="1"/>
  <c r="P356" i="1" s="1"/>
  <c r="K357" i="1"/>
  <c r="P357" i="1" s="1"/>
  <c r="K358" i="1"/>
  <c r="P358" i="1" s="1"/>
  <c r="K359" i="1"/>
  <c r="P359" i="1" s="1"/>
  <c r="K360" i="1"/>
  <c r="P360" i="1" s="1"/>
  <c r="K361" i="1"/>
  <c r="P361" i="1" s="1"/>
  <c r="K362" i="1"/>
  <c r="P362" i="1" s="1"/>
  <c r="K363" i="1"/>
  <c r="P363" i="1" s="1"/>
  <c r="K364" i="1"/>
  <c r="P364" i="1" s="1"/>
  <c r="K366" i="1"/>
  <c r="P366" i="1" s="1"/>
  <c r="K367" i="1"/>
  <c r="P367" i="1" s="1"/>
  <c r="K368" i="1"/>
  <c r="P368" i="1" s="1"/>
  <c r="K369" i="1"/>
  <c r="P369" i="1" s="1"/>
  <c r="K370" i="1"/>
  <c r="P370" i="1" s="1"/>
  <c r="K371" i="1"/>
  <c r="P371" i="1" s="1"/>
  <c r="K372" i="1"/>
  <c r="P372" i="1" s="1"/>
  <c r="K373" i="1"/>
  <c r="P373" i="1" s="1"/>
  <c r="K374" i="1"/>
  <c r="P374" i="1" s="1"/>
  <c r="K375" i="1"/>
  <c r="P375" i="1" s="1"/>
  <c r="K376" i="1"/>
  <c r="P376" i="1" s="1"/>
  <c r="K377" i="1"/>
  <c r="P377" i="1" s="1"/>
  <c r="K378" i="1"/>
  <c r="P378" i="1" s="1"/>
  <c r="K379" i="1"/>
  <c r="P379" i="1" s="1"/>
  <c r="K380" i="1"/>
  <c r="P380" i="1" s="1"/>
  <c r="K381" i="1"/>
  <c r="P381" i="1" s="1"/>
  <c r="K382" i="1"/>
  <c r="P382" i="1" s="1"/>
  <c r="K383" i="1"/>
  <c r="P383" i="1" s="1"/>
  <c r="K384" i="1"/>
  <c r="P384" i="1" s="1"/>
  <c r="K385" i="1"/>
  <c r="P385" i="1" s="1"/>
  <c r="K386" i="1"/>
  <c r="P386" i="1" s="1"/>
  <c r="K387" i="1"/>
  <c r="P387" i="1" s="1"/>
  <c r="K388" i="1"/>
  <c r="P388" i="1" s="1"/>
  <c r="K389" i="1"/>
  <c r="P389" i="1" s="1"/>
  <c r="K390" i="1"/>
  <c r="P390" i="1" s="1"/>
  <c r="K391" i="1"/>
  <c r="P391" i="1" s="1"/>
  <c r="K392" i="1"/>
  <c r="P392" i="1" s="1"/>
  <c r="K393" i="1"/>
  <c r="P393" i="1" s="1"/>
  <c r="K394" i="1"/>
  <c r="P394" i="1" s="1"/>
  <c r="K395" i="1"/>
  <c r="P395" i="1" s="1"/>
  <c r="K396" i="1"/>
  <c r="P396" i="1" s="1"/>
  <c r="K397" i="1"/>
  <c r="P397" i="1" s="1"/>
  <c r="K398" i="1"/>
  <c r="P398" i="1" s="1"/>
  <c r="K399" i="1"/>
  <c r="P399" i="1" s="1"/>
  <c r="K400" i="1"/>
  <c r="P400" i="1" s="1"/>
  <c r="K401" i="1"/>
  <c r="P401" i="1" s="1"/>
  <c r="K402" i="1"/>
  <c r="P402" i="1" s="1"/>
  <c r="K403" i="1"/>
  <c r="P403" i="1" s="1"/>
  <c r="K404" i="1"/>
  <c r="P404" i="1" s="1"/>
  <c r="K405" i="1"/>
  <c r="P405" i="1" s="1"/>
  <c r="K406" i="1"/>
  <c r="P406" i="1" s="1"/>
  <c r="K407" i="1"/>
  <c r="P407" i="1" s="1"/>
  <c r="K408" i="1"/>
  <c r="P408" i="1" s="1"/>
  <c r="K409" i="1"/>
  <c r="P409" i="1" s="1"/>
  <c r="K410" i="1"/>
  <c r="P410" i="1" s="1"/>
  <c r="K411" i="1"/>
  <c r="P411" i="1" s="1"/>
  <c r="K412" i="1"/>
  <c r="P412" i="1" s="1"/>
  <c r="K413" i="1"/>
  <c r="P413" i="1" s="1"/>
  <c r="K414" i="1"/>
  <c r="P414" i="1" s="1"/>
  <c r="K415" i="1"/>
  <c r="P415" i="1" s="1"/>
  <c r="K416" i="1"/>
  <c r="P416" i="1" s="1"/>
  <c r="K417" i="1"/>
  <c r="P417" i="1" s="1"/>
  <c r="K418" i="1"/>
  <c r="P418" i="1" s="1"/>
  <c r="K419" i="1"/>
  <c r="P419" i="1" s="1"/>
  <c r="K420" i="1"/>
  <c r="P420" i="1" s="1"/>
  <c r="K421" i="1"/>
  <c r="P421" i="1" s="1"/>
  <c r="K422" i="1"/>
  <c r="P422" i="1" s="1"/>
  <c r="K423" i="1"/>
  <c r="P423" i="1" s="1"/>
  <c r="K424" i="1"/>
  <c r="P424" i="1" s="1"/>
  <c r="K425" i="1"/>
  <c r="P425" i="1" s="1"/>
  <c r="K426" i="1"/>
  <c r="P426" i="1" s="1"/>
  <c r="K427" i="1"/>
  <c r="P427" i="1" s="1"/>
  <c r="K428" i="1"/>
  <c r="P428" i="1" s="1"/>
  <c r="K429" i="1"/>
  <c r="P429" i="1" s="1"/>
  <c r="K430" i="1"/>
  <c r="P430" i="1" s="1"/>
  <c r="K431" i="1"/>
  <c r="P431" i="1" s="1"/>
  <c r="K432" i="1"/>
  <c r="P432" i="1" s="1"/>
  <c r="K433" i="1"/>
  <c r="P433" i="1" s="1"/>
  <c r="K434" i="1"/>
  <c r="P434" i="1" s="1"/>
  <c r="K435" i="1"/>
  <c r="P435" i="1" s="1"/>
  <c r="K436" i="1"/>
  <c r="P436" i="1" s="1"/>
  <c r="K437" i="1"/>
  <c r="P437" i="1" s="1"/>
  <c r="K438" i="1"/>
  <c r="P438" i="1" s="1"/>
  <c r="K439" i="1"/>
  <c r="P439" i="1" s="1"/>
  <c r="K440" i="1"/>
  <c r="P440" i="1" s="1"/>
  <c r="K441" i="1"/>
  <c r="P441" i="1" s="1"/>
  <c r="K442" i="1"/>
  <c r="P442" i="1" s="1"/>
  <c r="K443" i="1"/>
  <c r="P443" i="1" s="1"/>
  <c r="K444" i="1"/>
  <c r="P444" i="1" s="1"/>
  <c r="K445" i="1"/>
  <c r="P445" i="1" s="1"/>
  <c r="K446" i="1"/>
  <c r="P446" i="1" s="1"/>
  <c r="K447" i="1"/>
  <c r="P447" i="1" s="1"/>
  <c r="K448" i="1"/>
  <c r="P448" i="1" s="1"/>
  <c r="K449" i="1"/>
  <c r="P449" i="1" s="1"/>
  <c r="K450" i="1"/>
  <c r="P450" i="1" s="1"/>
  <c r="K451" i="1"/>
  <c r="P451" i="1" s="1"/>
  <c r="K452" i="1"/>
  <c r="P452" i="1" s="1"/>
  <c r="K453" i="1"/>
  <c r="P453" i="1" s="1"/>
  <c r="K454" i="1"/>
  <c r="P454" i="1" s="1"/>
  <c r="K455" i="1"/>
  <c r="P455" i="1" s="1"/>
  <c r="K456" i="1"/>
  <c r="P456" i="1" s="1"/>
  <c r="K457" i="1"/>
  <c r="P457" i="1" s="1"/>
  <c r="K458" i="1"/>
  <c r="P458" i="1" s="1"/>
  <c r="K459" i="1"/>
  <c r="P459" i="1" s="1"/>
  <c r="K460" i="1"/>
  <c r="P460" i="1" s="1"/>
  <c r="K461" i="1"/>
  <c r="P461" i="1" s="1"/>
  <c r="K462" i="1"/>
  <c r="P462" i="1" s="1"/>
  <c r="K463" i="1"/>
  <c r="P463" i="1" s="1"/>
  <c r="K464" i="1"/>
  <c r="P464" i="1" s="1"/>
  <c r="K465" i="1"/>
  <c r="P465" i="1" s="1"/>
  <c r="K466" i="1"/>
  <c r="P466" i="1" s="1"/>
  <c r="K467" i="1"/>
  <c r="P467" i="1" s="1"/>
  <c r="K468" i="1"/>
  <c r="P468" i="1" s="1"/>
  <c r="K469" i="1"/>
  <c r="P469" i="1" s="1"/>
  <c r="K470" i="1"/>
  <c r="P470" i="1" s="1"/>
  <c r="K471" i="1"/>
  <c r="P471" i="1" s="1"/>
  <c r="K472" i="1"/>
  <c r="P472" i="1" s="1"/>
  <c r="K473" i="1"/>
  <c r="P473" i="1" s="1"/>
  <c r="K474" i="1"/>
  <c r="P474" i="1" s="1"/>
  <c r="K475" i="1"/>
  <c r="P475" i="1" s="1"/>
  <c r="K476" i="1"/>
  <c r="P476" i="1" s="1"/>
  <c r="K477" i="1"/>
  <c r="P477" i="1" s="1"/>
  <c r="K478" i="1"/>
  <c r="P478" i="1" s="1"/>
  <c r="K479" i="1"/>
  <c r="P479" i="1" s="1"/>
  <c r="K480" i="1"/>
  <c r="P480" i="1" s="1"/>
  <c r="K481" i="1"/>
  <c r="P481" i="1" s="1"/>
  <c r="K482" i="1"/>
  <c r="P482" i="1" s="1"/>
  <c r="K483" i="1"/>
  <c r="P483" i="1" s="1"/>
  <c r="K484" i="1"/>
  <c r="P484" i="1" s="1"/>
  <c r="K485" i="1"/>
  <c r="P485" i="1" s="1"/>
  <c r="K487" i="1"/>
  <c r="P487" i="1" s="1"/>
  <c r="K488" i="1"/>
  <c r="P488" i="1" s="1"/>
  <c r="K489" i="1"/>
  <c r="P489" i="1" s="1"/>
  <c r="K490" i="1"/>
  <c r="P490" i="1" s="1"/>
  <c r="K491" i="1"/>
  <c r="P491" i="1" s="1"/>
  <c r="K492" i="1"/>
  <c r="P492" i="1" s="1"/>
  <c r="K493" i="1"/>
  <c r="P493" i="1" s="1"/>
  <c r="K494" i="1"/>
  <c r="P494" i="1" s="1"/>
  <c r="K495" i="1"/>
  <c r="P495" i="1" s="1"/>
  <c r="K496" i="1"/>
  <c r="P496" i="1" s="1"/>
  <c r="K497" i="1"/>
  <c r="P497" i="1" s="1"/>
  <c r="K498" i="1"/>
  <c r="P498" i="1" s="1"/>
  <c r="K499" i="1"/>
  <c r="P499" i="1" s="1"/>
  <c r="K500" i="1"/>
  <c r="P500" i="1" s="1"/>
  <c r="K501" i="1"/>
  <c r="P501" i="1" s="1"/>
  <c r="K502" i="1"/>
  <c r="P502" i="1" s="1"/>
  <c r="K503" i="1"/>
  <c r="P503" i="1" s="1"/>
  <c r="K504" i="1"/>
  <c r="P504" i="1" s="1"/>
  <c r="K505" i="1"/>
  <c r="P505" i="1" s="1"/>
  <c r="K506" i="1"/>
  <c r="P506" i="1" s="1"/>
  <c r="K507" i="1"/>
  <c r="P507" i="1" s="1"/>
  <c r="K508" i="1"/>
  <c r="P508" i="1" s="1"/>
  <c r="K509" i="1"/>
  <c r="P509" i="1" s="1"/>
  <c r="K510" i="1"/>
  <c r="P510" i="1" s="1"/>
  <c r="K511" i="1"/>
  <c r="P511" i="1" s="1"/>
  <c r="K512" i="1"/>
  <c r="P512" i="1" s="1"/>
  <c r="K513" i="1"/>
  <c r="P513" i="1" s="1"/>
  <c r="K514" i="1"/>
  <c r="P514" i="1" s="1"/>
  <c r="K515" i="1"/>
  <c r="P515" i="1" s="1"/>
  <c r="K516" i="1"/>
  <c r="P516" i="1" s="1"/>
  <c r="K517" i="1"/>
  <c r="P517" i="1" s="1"/>
  <c r="K518" i="1"/>
  <c r="P518" i="1" s="1"/>
  <c r="K519" i="1"/>
  <c r="P519" i="1" s="1"/>
  <c r="K520" i="1"/>
  <c r="P520" i="1" s="1"/>
  <c r="K521" i="1"/>
  <c r="P521" i="1" s="1"/>
  <c r="K522" i="1"/>
  <c r="P522" i="1" s="1"/>
  <c r="K523" i="1"/>
  <c r="P523" i="1" s="1"/>
  <c r="K524" i="1"/>
  <c r="P524" i="1" s="1"/>
  <c r="K525" i="1"/>
  <c r="P525" i="1" s="1"/>
  <c r="K526" i="1"/>
  <c r="P526" i="1" s="1"/>
  <c r="K527" i="1"/>
  <c r="P527" i="1" s="1"/>
  <c r="K528" i="1"/>
  <c r="P528" i="1" s="1"/>
  <c r="K529" i="1"/>
  <c r="P529" i="1" s="1"/>
  <c r="K530" i="1"/>
  <c r="P530" i="1" s="1"/>
  <c r="K531" i="1"/>
  <c r="P531" i="1" s="1"/>
  <c r="K532" i="1"/>
  <c r="P532" i="1" s="1"/>
  <c r="K533" i="1"/>
  <c r="P533" i="1" s="1"/>
  <c r="K534" i="1"/>
  <c r="P534" i="1" s="1"/>
  <c r="K535" i="1"/>
  <c r="P535" i="1" s="1"/>
  <c r="K536" i="1"/>
  <c r="P536" i="1" s="1"/>
  <c r="K537" i="1"/>
  <c r="P537" i="1" s="1"/>
  <c r="K538" i="1"/>
  <c r="P538" i="1" s="1"/>
  <c r="K539" i="1"/>
  <c r="P539" i="1" s="1"/>
  <c r="K540" i="1"/>
  <c r="P540" i="1" s="1"/>
  <c r="K541" i="1"/>
  <c r="P541" i="1" s="1"/>
  <c r="K542" i="1"/>
  <c r="P542" i="1" s="1"/>
  <c r="K543" i="1"/>
  <c r="P543" i="1" s="1"/>
  <c r="K544" i="1"/>
  <c r="P544" i="1" s="1"/>
  <c r="K545" i="1"/>
  <c r="P545" i="1" s="1"/>
  <c r="K546" i="1"/>
  <c r="P546" i="1" s="1"/>
  <c r="K548" i="1"/>
  <c r="P548" i="1" s="1"/>
  <c r="K549" i="1"/>
  <c r="P549" i="1" s="1"/>
  <c r="K550" i="1"/>
  <c r="P550" i="1" s="1"/>
  <c r="K551" i="1"/>
  <c r="P551" i="1" s="1"/>
  <c r="K552" i="1"/>
  <c r="P552" i="1" s="1"/>
  <c r="K553" i="1"/>
  <c r="P553" i="1" s="1"/>
  <c r="K554" i="1"/>
  <c r="P554" i="1" s="1"/>
  <c r="K555" i="1"/>
  <c r="P555" i="1" s="1"/>
  <c r="K556" i="1"/>
  <c r="P556" i="1" s="1"/>
  <c r="K557" i="1"/>
  <c r="P557" i="1" s="1"/>
  <c r="K558" i="1"/>
  <c r="P558" i="1" s="1"/>
  <c r="K559" i="1"/>
  <c r="P559" i="1" s="1"/>
  <c r="K560" i="1"/>
  <c r="P560" i="1" s="1"/>
  <c r="K561" i="1"/>
  <c r="P561" i="1" s="1"/>
  <c r="K562" i="1"/>
  <c r="P562" i="1" s="1"/>
  <c r="K563" i="1"/>
  <c r="P563" i="1" s="1"/>
  <c r="K564" i="1"/>
  <c r="P564" i="1" s="1"/>
  <c r="K565" i="1"/>
  <c r="P565" i="1" s="1"/>
  <c r="K566" i="1"/>
  <c r="P566" i="1" s="1"/>
  <c r="K567" i="1"/>
  <c r="P567" i="1" s="1"/>
  <c r="K568" i="1"/>
  <c r="P568" i="1" s="1"/>
  <c r="K569" i="1"/>
  <c r="P569" i="1" s="1"/>
  <c r="K570" i="1"/>
  <c r="P570" i="1" s="1"/>
  <c r="K571" i="1"/>
  <c r="P571" i="1" s="1"/>
  <c r="K572" i="1"/>
  <c r="P572" i="1" s="1"/>
  <c r="K573" i="1"/>
  <c r="P573" i="1" s="1"/>
  <c r="K574" i="1"/>
  <c r="P574" i="1" s="1"/>
  <c r="K575" i="1"/>
  <c r="P575" i="1" s="1"/>
  <c r="K576" i="1"/>
  <c r="P576" i="1" s="1"/>
  <c r="K577" i="1"/>
  <c r="P577" i="1" s="1"/>
  <c r="K578" i="1"/>
  <c r="P578" i="1" s="1"/>
  <c r="K579" i="1"/>
  <c r="P579" i="1" s="1"/>
  <c r="K580" i="1"/>
  <c r="P580" i="1" s="1"/>
  <c r="K581" i="1"/>
  <c r="P581" i="1" s="1"/>
  <c r="K582" i="1"/>
  <c r="P582" i="1" s="1"/>
  <c r="K583" i="1"/>
  <c r="P583" i="1" s="1"/>
  <c r="K584" i="1"/>
  <c r="P584" i="1" s="1"/>
  <c r="K585" i="1"/>
  <c r="P585" i="1" s="1"/>
  <c r="K586" i="1"/>
  <c r="P586" i="1" s="1"/>
  <c r="K587" i="1"/>
  <c r="P587" i="1" s="1"/>
  <c r="K588" i="1"/>
  <c r="P588" i="1" s="1"/>
  <c r="K589" i="1"/>
  <c r="P589" i="1" s="1"/>
  <c r="K590" i="1"/>
  <c r="P590" i="1" s="1"/>
  <c r="K591" i="1"/>
  <c r="P591" i="1" s="1"/>
  <c r="K592" i="1"/>
  <c r="P592" i="1" s="1"/>
  <c r="K593" i="1"/>
  <c r="P593" i="1" s="1"/>
  <c r="K594" i="1"/>
  <c r="P594" i="1" s="1"/>
  <c r="K595" i="1"/>
  <c r="P595" i="1" s="1"/>
  <c r="K596" i="1"/>
  <c r="P596" i="1" s="1"/>
  <c r="K597" i="1"/>
  <c r="P597" i="1" s="1"/>
  <c r="K598" i="1"/>
  <c r="P598" i="1" s="1"/>
  <c r="K599" i="1"/>
  <c r="P599" i="1" s="1"/>
  <c r="K600" i="1"/>
  <c r="P600" i="1" s="1"/>
  <c r="K601" i="1"/>
  <c r="P601" i="1" s="1"/>
  <c r="K602" i="1"/>
  <c r="P602" i="1" s="1"/>
  <c r="K603" i="1"/>
  <c r="P603" i="1" s="1"/>
  <c r="K604" i="1"/>
  <c r="P604" i="1" s="1"/>
  <c r="K605" i="1"/>
  <c r="P605" i="1" s="1"/>
  <c r="K606" i="1"/>
  <c r="P606" i="1" s="1"/>
  <c r="K607" i="1"/>
  <c r="P607" i="1" s="1"/>
  <c r="K608" i="1"/>
  <c r="P608" i="1" s="1"/>
  <c r="K609" i="1"/>
  <c r="P609" i="1" s="1"/>
  <c r="K610" i="1"/>
  <c r="P610" i="1" s="1"/>
  <c r="K611" i="1"/>
  <c r="P611" i="1" s="1"/>
  <c r="K612" i="1"/>
  <c r="P612" i="1" s="1"/>
  <c r="K613" i="1"/>
  <c r="P613" i="1" s="1"/>
  <c r="K614" i="1"/>
  <c r="P614" i="1" s="1"/>
  <c r="K615" i="1"/>
  <c r="P615" i="1" s="1"/>
  <c r="K616" i="1"/>
  <c r="P616" i="1" s="1"/>
  <c r="K617" i="1"/>
  <c r="P617" i="1" s="1"/>
  <c r="K618" i="1"/>
  <c r="P618" i="1" s="1"/>
  <c r="K619" i="1"/>
  <c r="P619" i="1" s="1"/>
  <c r="K620" i="1"/>
  <c r="P620" i="1" s="1"/>
  <c r="K621" i="1"/>
  <c r="P621" i="1" s="1"/>
  <c r="K622" i="1"/>
  <c r="P622" i="1" s="1"/>
  <c r="K623" i="1"/>
  <c r="P623" i="1" s="1"/>
  <c r="K624" i="1"/>
  <c r="P624" i="1" s="1"/>
  <c r="K625" i="1"/>
  <c r="P625" i="1" s="1"/>
  <c r="K626" i="1"/>
  <c r="P626" i="1" s="1"/>
  <c r="K627" i="1"/>
  <c r="P627" i="1" s="1"/>
  <c r="K628" i="1"/>
  <c r="P628" i="1" s="1"/>
  <c r="K629" i="1"/>
  <c r="P629" i="1" s="1"/>
  <c r="K630" i="1"/>
  <c r="P630" i="1" s="1"/>
  <c r="K631" i="1"/>
  <c r="P631" i="1" s="1"/>
  <c r="K632" i="1"/>
  <c r="P632" i="1" s="1"/>
  <c r="K633" i="1"/>
  <c r="P633" i="1" s="1"/>
  <c r="K634" i="1"/>
  <c r="P634" i="1" s="1"/>
  <c r="K635" i="1"/>
  <c r="P635" i="1" s="1"/>
  <c r="K636" i="1"/>
  <c r="P636" i="1" s="1"/>
  <c r="K637" i="1"/>
  <c r="P637" i="1" s="1"/>
  <c r="K638" i="1"/>
  <c r="P638" i="1" s="1"/>
  <c r="K639" i="1"/>
  <c r="P639" i="1" s="1"/>
  <c r="K640" i="1"/>
  <c r="P640" i="1" s="1"/>
  <c r="K641" i="1"/>
  <c r="P641" i="1" s="1"/>
  <c r="K642" i="1"/>
  <c r="P642" i="1" s="1"/>
  <c r="K643" i="1"/>
  <c r="P643" i="1" s="1"/>
  <c r="K644" i="1"/>
  <c r="P644" i="1" s="1"/>
  <c r="K645" i="1"/>
  <c r="P645" i="1" s="1"/>
  <c r="K646" i="1"/>
  <c r="P646" i="1" s="1"/>
  <c r="K647" i="1"/>
  <c r="P647" i="1" s="1"/>
  <c r="K648" i="1"/>
  <c r="P648" i="1" s="1"/>
  <c r="K649" i="1"/>
  <c r="P649" i="1" s="1"/>
  <c r="K650" i="1"/>
  <c r="P650" i="1" s="1"/>
  <c r="K651" i="1"/>
  <c r="P651" i="1" s="1"/>
  <c r="K652" i="1"/>
  <c r="P652" i="1" s="1"/>
  <c r="K653" i="1"/>
  <c r="P653" i="1" s="1"/>
  <c r="K654" i="1"/>
  <c r="P654" i="1" s="1"/>
  <c r="K655" i="1"/>
  <c r="P655" i="1" s="1"/>
  <c r="K656" i="1"/>
  <c r="P656" i="1" s="1"/>
  <c r="K657" i="1"/>
  <c r="P657" i="1" s="1"/>
  <c r="K658" i="1"/>
  <c r="P658" i="1" s="1"/>
  <c r="K659" i="1"/>
  <c r="P659" i="1" s="1"/>
  <c r="K660" i="1"/>
  <c r="P660" i="1" s="1"/>
  <c r="K661" i="1"/>
  <c r="P661" i="1" s="1"/>
  <c r="K662" i="1"/>
  <c r="P662" i="1" s="1"/>
  <c r="K663" i="1"/>
  <c r="P663" i="1" s="1"/>
  <c r="K664" i="1"/>
  <c r="P664" i="1" s="1"/>
  <c r="K665" i="1"/>
  <c r="P665" i="1" s="1"/>
  <c r="K666" i="1"/>
  <c r="P666" i="1" s="1"/>
  <c r="K667" i="1"/>
  <c r="P667" i="1" s="1"/>
  <c r="K669" i="1"/>
  <c r="P669" i="1" s="1"/>
  <c r="K670" i="1"/>
  <c r="P670" i="1" s="1"/>
  <c r="K671" i="1"/>
  <c r="P671" i="1" s="1"/>
  <c r="K672" i="1"/>
  <c r="P672" i="1" s="1"/>
  <c r="K673" i="1"/>
  <c r="P673" i="1" s="1"/>
  <c r="K674" i="1"/>
  <c r="P674" i="1" s="1"/>
  <c r="K675" i="1"/>
  <c r="P675" i="1" s="1"/>
  <c r="K676" i="1"/>
  <c r="P676" i="1" s="1"/>
  <c r="K677" i="1"/>
  <c r="P677" i="1" s="1"/>
  <c r="K678" i="1"/>
  <c r="P678" i="1" s="1"/>
  <c r="K679" i="1"/>
  <c r="P679" i="1" s="1"/>
  <c r="K680" i="1"/>
  <c r="P680" i="1" s="1"/>
  <c r="K681" i="1"/>
  <c r="P681" i="1" s="1"/>
  <c r="K682" i="1"/>
  <c r="P682" i="1" s="1"/>
  <c r="K683" i="1"/>
  <c r="P683" i="1" s="1"/>
  <c r="K684" i="1"/>
  <c r="P684" i="1" s="1"/>
  <c r="K685" i="1"/>
  <c r="P685" i="1" s="1"/>
  <c r="K686" i="1"/>
  <c r="P686" i="1" s="1"/>
  <c r="K687" i="1"/>
  <c r="P687" i="1" s="1"/>
  <c r="K688" i="1"/>
  <c r="P688" i="1" s="1"/>
  <c r="K689" i="1"/>
  <c r="P689" i="1" s="1"/>
  <c r="K690" i="1"/>
  <c r="P690" i="1" s="1"/>
  <c r="K691" i="1"/>
  <c r="P691" i="1" s="1"/>
  <c r="K692" i="1"/>
  <c r="P692" i="1" s="1"/>
  <c r="K693" i="1"/>
  <c r="P693" i="1" s="1"/>
  <c r="K694" i="1"/>
  <c r="P694" i="1" s="1"/>
  <c r="K695" i="1"/>
  <c r="P695" i="1" s="1"/>
  <c r="K696" i="1"/>
  <c r="P696" i="1" s="1"/>
  <c r="K697" i="1"/>
  <c r="P697" i="1" s="1"/>
  <c r="K698" i="1"/>
  <c r="P698" i="1" s="1"/>
  <c r="K699" i="1"/>
  <c r="P699" i="1" s="1"/>
  <c r="K700" i="1"/>
  <c r="P700" i="1" s="1"/>
  <c r="K701" i="1"/>
  <c r="P701" i="1" s="1"/>
  <c r="K702" i="1"/>
  <c r="P702" i="1" s="1"/>
  <c r="K703" i="1"/>
  <c r="K704" i="1"/>
  <c r="P704" i="1" s="1"/>
  <c r="K705" i="1"/>
  <c r="P705" i="1" s="1"/>
  <c r="K706" i="1"/>
  <c r="P706" i="1" s="1"/>
  <c r="K707" i="1"/>
  <c r="P707" i="1" s="1"/>
  <c r="K708" i="1"/>
  <c r="P708" i="1" s="1"/>
  <c r="K709" i="1"/>
  <c r="P709" i="1" s="1"/>
  <c r="K710" i="1"/>
  <c r="P710" i="1" s="1"/>
  <c r="K711" i="1"/>
  <c r="P711" i="1" s="1"/>
  <c r="K712" i="1"/>
  <c r="P712" i="1" s="1"/>
  <c r="K713" i="1"/>
  <c r="P713" i="1" s="1"/>
  <c r="K714" i="1"/>
  <c r="P714" i="1" s="1"/>
  <c r="K715" i="1"/>
  <c r="P715" i="1" s="1"/>
  <c r="K716" i="1"/>
  <c r="P716" i="1" s="1"/>
  <c r="K717" i="1"/>
  <c r="P717" i="1" s="1"/>
  <c r="K718" i="1"/>
  <c r="P718" i="1" s="1"/>
  <c r="K719" i="1"/>
  <c r="P719" i="1" s="1"/>
  <c r="K720" i="1"/>
  <c r="P720" i="1" s="1"/>
  <c r="K721" i="1"/>
  <c r="P721" i="1" s="1"/>
  <c r="K722" i="1"/>
  <c r="P722" i="1" s="1"/>
  <c r="K723" i="1"/>
  <c r="P723" i="1" s="1"/>
  <c r="K724" i="1"/>
  <c r="P724" i="1" s="1"/>
  <c r="K725" i="1"/>
  <c r="P725" i="1" s="1"/>
  <c r="K726" i="1"/>
  <c r="P726" i="1" s="1"/>
  <c r="K727" i="1"/>
  <c r="P727" i="1" s="1"/>
  <c r="K728" i="1"/>
  <c r="P728" i="1" s="1"/>
  <c r="K729" i="1"/>
  <c r="P729" i="1" s="1"/>
  <c r="K730" i="1"/>
  <c r="P730" i="1" s="1"/>
  <c r="K731" i="1"/>
  <c r="P731" i="1" s="1"/>
  <c r="K732" i="1"/>
  <c r="P732" i="1" s="1"/>
  <c r="K733" i="1"/>
  <c r="P733" i="1" s="1"/>
  <c r="K734" i="1"/>
  <c r="P734" i="1" s="1"/>
  <c r="K735" i="1"/>
  <c r="P735" i="1" s="1"/>
  <c r="K736" i="1"/>
  <c r="P736" i="1" s="1"/>
  <c r="K737" i="1"/>
  <c r="P737" i="1" s="1"/>
  <c r="K738" i="1"/>
  <c r="P738" i="1" s="1"/>
  <c r="K739" i="1"/>
  <c r="P739" i="1" s="1"/>
  <c r="K740" i="1"/>
  <c r="P740" i="1" s="1"/>
  <c r="K741" i="1"/>
  <c r="P741" i="1" s="1"/>
  <c r="K742" i="1"/>
  <c r="P742" i="1" s="1"/>
  <c r="K743" i="1"/>
  <c r="P743" i="1" s="1"/>
  <c r="K744" i="1"/>
  <c r="P744" i="1" s="1"/>
  <c r="K745" i="1"/>
  <c r="P745" i="1" s="1"/>
  <c r="K746" i="1"/>
  <c r="P746" i="1" s="1"/>
  <c r="K747" i="1"/>
  <c r="P747" i="1" s="1"/>
  <c r="K748" i="1"/>
  <c r="P748" i="1" s="1"/>
  <c r="K749" i="1"/>
  <c r="P749" i="1" s="1"/>
  <c r="K750" i="1"/>
  <c r="P750" i="1" s="1"/>
  <c r="K751" i="1"/>
  <c r="P751" i="1" s="1"/>
  <c r="K752" i="1"/>
  <c r="P752" i="1" s="1"/>
  <c r="K753" i="1"/>
  <c r="P753" i="1" s="1"/>
  <c r="K754" i="1"/>
  <c r="P754" i="1" s="1"/>
  <c r="K755" i="1"/>
  <c r="P755" i="1" s="1"/>
  <c r="K756" i="1"/>
  <c r="P756" i="1" s="1"/>
  <c r="K757" i="1"/>
  <c r="P757" i="1" s="1"/>
  <c r="K758" i="1"/>
  <c r="P758" i="1" s="1"/>
  <c r="K759" i="1"/>
  <c r="P759" i="1" s="1"/>
  <c r="K760" i="1"/>
  <c r="P760" i="1" s="1"/>
  <c r="K761" i="1"/>
  <c r="P761" i="1" s="1"/>
  <c r="K762" i="1"/>
  <c r="P762" i="1" s="1"/>
  <c r="K763" i="1"/>
  <c r="P763" i="1" s="1"/>
  <c r="K764" i="1"/>
  <c r="P764" i="1" s="1"/>
  <c r="K765" i="1"/>
  <c r="P765" i="1" s="1"/>
  <c r="K766" i="1"/>
  <c r="P766" i="1" s="1"/>
  <c r="K767" i="1"/>
  <c r="K768" i="1"/>
  <c r="P768" i="1" s="1"/>
  <c r="K769" i="1"/>
  <c r="P769" i="1" s="1"/>
  <c r="K770" i="1"/>
  <c r="P770" i="1" s="1"/>
  <c r="K771" i="1"/>
  <c r="P771" i="1" s="1"/>
  <c r="K772" i="1"/>
  <c r="P772" i="1" s="1"/>
  <c r="K773" i="1"/>
  <c r="P773" i="1" s="1"/>
  <c r="K774" i="1"/>
  <c r="P774" i="1" s="1"/>
  <c r="K775" i="1"/>
  <c r="P775" i="1" s="1"/>
  <c r="K776" i="1"/>
  <c r="P776" i="1" s="1"/>
  <c r="K777" i="1"/>
  <c r="P777" i="1" s="1"/>
  <c r="K778" i="1"/>
  <c r="P778" i="1" s="1"/>
  <c r="K779" i="1"/>
  <c r="P779" i="1" s="1"/>
  <c r="K780" i="1"/>
  <c r="P780" i="1" s="1"/>
  <c r="K781" i="1"/>
  <c r="P781" i="1" s="1"/>
  <c r="K782" i="1"/>
  <c r="P782" i="1" s="1"/>
  <c r="K783" i="1"/>
  <c r="P783" i="1" s="1"/>
  <c r="K784" i="1"/>
  <c r="P784" i="1" s="1"/>
  <c r="K785" i="1"/>
  <c r="P785" i="1" s="1"/>
  <c r="K786" i="1"/>
  <c r="P786" i="1" s="1"/>
  <c r="K787" i="1"/>
  <c r="P787" i="1" s="1"/>
  <c r="K788" i="1"/>
  <c r="P788" i="1" s="1"/>
  <c r="K3" i="1"/>
  <c r="P3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3" i="1"/>
  <c r="N671" i="1" l="1"/>
  <c r="Q671" i="1" s="1"/>
  <c r="R671" i="1" s="1"/>
  <c r="N672" i="1"/>
  <c r="Q672" i="1" s="1"/>
  <c r="R672" i="1" s="1"/>
  <c r="N673" i="1"/>
  <c r="Q673" i="1" s="1"/>
  <c r="R673" i="1" s="1"/>
  <c r="N674" i="1"/>
  <c r="Q674" i="1" s="1"/>
  <c r="R674" i="1" s="1"/>
  <c r="N675" i="1"/>
  <c r="Q675" i="1" s="1"/>
  <c r="R675" i="1" s="1"/>
  <c r="N676" i="1"/>
  <c r="Q676" i="1" s="1"/>
  <c r="R676" i="1" s="1"/>
  <c r="N677" i="1"/>
  <c r="Q677" i="1" s="1"/>
  <c r="R677" i="1" s="1"/>
  <c r="N678" i="1"/>
  <c r="Q678" i="1" s="1"/>
  <c r="R678" i="1" s="1"/>
  <c r="N679" i="1"/>
  <c r="Q679" i="1" s="1"/>
  <c r="R679" i="1" s="1"/>
  <c r="N680" i="1"/>
  <c r="Q680" i="1" s="1"/>
  <c r="R680" i="1" s="1"/>
  <c r="N681" i="1"/>
  <c r="Q681" i="1" s="1"/>
  <c r="R681" i="1" s="1"/>
  <c r="N682" i="1"/>
  <c r="Q682" i="1" s="1"/>
  <c r="R682" i="1" s="1"/>
  <c r="N683" i="1"/>
  <c r="Q683" i="1" s="1"/>
  <c r="R683" i="1" s="1"/>
  <c r="N684" i="1"/>
  <c r="Q684" i="1" s="1"/>
  <c r="R684" i="1" s="1"/>
  <c r="N685" i="1"/>
  <c r="Q685" i="1" s="1"/>
  <c r="R685" i="1" s="1"/>
  <c r="N686" i="1"/>
  <c r="Q686" i="1" s="1"/>
  <c r="R686" i="1" s="1"/>
  <c r="N687" i="1"/>
  <c r="Q687" i="1" s="1"/>
  <c r="R687" i="1" s="1"/>
  <c r="N688" i="1"/>
  <c r="Q688" i="1" s="1"/>
  <c r="R688" i="1" s="1"/>
  <c r="N689" i="1"/>
  <c r="Q689" i="1" s="1"/>
  <c r="R689" i="1" s="1"/>
  <c r="N690" i="1"/>
  <c r="Q690" i="1" s="1"/>
  <c r="R690" i="1" s="1"/>
  <c r="N691" i="1"/>
  <c r="Q691" i="1" s="1"/>
  <c r="R691" i="1" s="1"/>
  <c r="N692" i="1"/>
  <c r="Q692" i="1" s="1"/>
  <c r="R692" i="1" s="1"/>
  <c r="N693" i="1"/>
  <c r="Q693" i="1" s="1"/>
  <c r="R693" i="1" s="1"/>
  <c r="N694" i="1"/>
  <c r="Q694" i="1" s="1"/>
  <c r="R694" i="1" s="1"/>
  <c r="N695" i="1"/>
  <c r="Q695" i="1" s="1"/>
  <c r="R695" i="1" s="1"/>
  <c r="N696" i="1"/>
  <c r="Q696" i="1" s="1"/>
  <c r="R696" i="1" s="1"/>
  <c r="N697" i="1"/>
  <c r="Q697" i="1" s="1"/>
  <c r="R697" i="1" s="1"/>
  <c r="N698" i="1"/>
  <c r="Q698" i="1" s="1"/>
  <c r="R698" i="1" s="1"/>
  <c r="N699" i="1"/>
  <c r="Q699" i="1" s="1"/>
  <c r="R699" i="1" s="1"/>
  <c r="N700" i="1"/>
  <c r="Q700" i="1" s="1"/>
  <c r="R700" i="1" s="1"/>
  <c r="N701" i="1"/>
  <c r="Q701" i="1" s="1"/>
  <c r="R701" i="1" s="1"/>
  <c r="N702" i="1"/>
  <c r="Q702" i="1" s="1"/>
  <c r="R702" i="1" s="1"/>
  <c r="N703" i="1"/>
  <c r="Q703" i="1" s="1"/>
  <c r="R703" i="1" s="1"/>
  <c r="N704" i="1"/>
  <c r="Q704" i="1" s="1"/>
  <c r="R704" i="1" s="1"/>
  <c r="N705" i="1"/>
  <c r="Q705" i="1" s="1"/>
  <c r="R705" i="1" s="1"/>
  <c r="N706" i="1"/>
  <c r="Q706" i="1" s="1"/>
  <c r="R706" i="1" s="1"/>
  <c r="N707" i="1"/>
  <c r="Q707" i="1" s="1"/>
  <c r="R707" i="1" s="1"/>
  <c r="N708" i="1"/>
  <c r="Q708" i="1" s="1"/>
  <c r="R708" i="1" s="1"/>
  <c r="N709" i="1"/>
  <c r="Q709" i="1" s="1"/>
  <c r="R709" i="1" s="1"/>
  <c r="N710" i="1"/>
  <c r="Q710" i="1" s="1"/>
  <c r="R710" i="1" s="1"/>
  <c r="N711" i="1"/>
  <c r="Q711" i="1" s="1"/>
  <c r="R711" i="1" s="1"/>
  <c r="N712" i="1"/>
  <c r="Q712" i="1" s="1"/>
  <c r="R712" i="1" s="1"/>
  <c r="N713" i="1"/>
  <c r="Q713" i="1" s="1"/>
  <c r="R713" i="1" s="1"/>
  <c r="N714" i="1"/>
  <c r="Q714" i="1" s="1"/>
  <c r="R714" i="1" s="1"/>
  <c r="N715" i="1"/>
  <c r="Q715" i="1" s="1"/>
  <c r="R715" i="1" s="1"/>
  <c r="N716" i="1"/>
  <c r="Q716" i="1" s="1"/>
  <c r="R716" i="1" s="1"/>
  <c r="N717" i="1"/>
  <c r="Q717" i="1" s="1"/>
  <c r="R717" i="1" s="1"/>
  <c r="N718" i="1"/>
  <c r="Q718" i="1" s="1"/>
  <c r="R718" i="1" s="1"/>
  <c r="N719" i="1"/>
  <c r="Q719" i="1" s="1"/>
  <c r="R719" i="1" s="1"/>
  <c r="N720" i="1"/>
  <c r="Q720" i="1" s="1"/>
  <c r="R720" i="1" s="1"/>
  <c r="N721" i="1"/>
  <c r="Q721" i="1" s="1"/>
  <c r="R721" i="1" s="1"/>
  <c r="N722" i="1"/>
  <c r="Q722" i="1" s="1"/>
  <c r="R722" i="1" s="1"/>
  <c r="N723" i="1"/>
  <c r="Q723" i="1" s="1"/>
  <c r="R723" i="1" s="1"/>
  <c r="N724" i="1"/>
  <c r="Q724" i="1" s="1"/>
  <c r="R724" i="1" s="1"/>
  <c r="N725" i="1"/>
  <c r="Q725" i="1" s="1"/>
  <c r="R725" i="1" s="1"/>
  <c r="N726" i="1"/>
  <c r="Q726" i="1" s="1"/>
  <c r="R726" i="1" s="1"/>
  <c r="N727" i="1"/>
  <c r="Q727" i="1" s="1"/>
  <c r="R727" i="1" s="1"/>
  <c r="N728" i="1"/>
  <c r="Q728" i="1" s="1"/>
  <c r="R728" i="1" s="1"/>
  <c r="N729" i="1"/>
  <c r="Q729" i="1" s="1"/>
  <c r="R729" i="1" s="1"/>
  <c r="N730" i="1"/>
  <c r="Q730" i="1" s="1"/>
  <c r="R730" i="1" s="1"/>
  <c r="N731" i="1"/>
  <c r="Q731" i="1" s="1"/>
  <c r="R731" i="1" s="1"/>
  <c r="N732" i="1"/>
  <c r="Q732" i="1" s="1"/>
  <c r="R732" i="1" s="1"/>
  <c r="N733" i="1"/>
  <c r="Q733" i="1" s="1"/>
  <c r="R733" i="1" s="1"/>
  <c r="N734" i="1"/>
  <c r="Q734" i="1" s="1"/>
  <c r="R734" i="1" s="1"/>
  <c r="N735" i="1"/>
  <c r="Q735" i="1" s="1"/>
  <c r="R735" i="1" s="1"/>
  <c r="N736" i="1"/>
  <c r="Q736" i="1" s="1"/>
  <c r="R736" i="1" s="1"/>
  <c r="N737" i="1"/>
  <c r="Q737" i="1" s="1"/>
  <c r="R737" i="1" s="1"/>
  <c r="N738" i="1"/>
  <c r="Q738" i="1" s="1"/>
  <c r="R738" i="1" s="1"/>
  <c r="N739" i="1"/>
  <c r="Q739" i="1" s="1"/>
  <c r="R739" i="1" s="1"/>
  <c r="N740" i="1"/>
  <c r="Q740" i="1" s="1"/>
  <c r="R740" i="1" s="1"/>
  <c r="N741" i="1"/>
  <c r="Q741" i="1" s="1"/>
  <c r="R741" i="1" s="1"/>
  <c r="N742" i="1"/>
  <c r="Q742" i="1" s="1"/>
  <c r="R742" i="1" s="1"/>
  <c r="N743" i="1"/>
  <c r="Q743" i="1" s="1"/>
  <c r="R743" i="1" s="1"/>
  <c r="N744" i="1"/>
  <c r="Q744" i="1" s="1"/>
  <c r="R744" i="1" s="1"/>
  <c r="N745" i="1"/>
  <c r="Q745" i="1" s="1"/>
  <c r="R745" i="1" s="1"/>
  <c r="N746" i="1"/>
  <c r="Q746" i="1" s="1"/>
  <c r="R746" i="1" s="1"/>
  <c r="N747" i="1"/>
  <c r="Q747" i="1" s="1"/>
  <c r="R747" i="1" s="1"/>
  <c r="N748" i="1"/>
  <c r="Q748" i="1" s="1"/>
  <c r="R748" i="1" s="1"/>
  <c r="N749" i="1"/>
  <c r="Q749" i="1" s="1"/>
  <c r="R749" i="1" s="1"/>
  <c r="N750" i="1"/>
  <c r="Q750" i="1" s="1"/>
  <c r="R750" i="1" s="1"/>
  <c r="N751" i="1"/>
  <c r="Q751" i="1" s="1"/>
  <c r="R751" i="1" s="1"/>
  <c r="N752" i="1"/>
  <c r="Q752" i="1" s="1"/>
  <c r="R752" i="1" s="1"/>
  <c r="N753" i="1"/>
  <c r="Q753" i="1" s="1"/>
  <c r="R753" i="1" s="1"/>
  <c r="N754" i="1"/>
  <c r="Q754" i="1" s="1"/>
  <c r="R754" i="1" s="1"/>
  <c r="N755" i="1"/>
  <c r="Q755" i="1" s="1"/>
  <c r="R755" i="1" s="1"/>
  <c r="N756" i="1"/>
  <c r="Q756" i="1" s="1"/>
  <c r="R756" i="1" s="1"/>
  <c r="N757" i="1"/>
  <c r="Q757" i="1" s="1"/>
  <c r="R757" i="1" s="1"/>
  <c r="N758" i="1"/>
  <c r="Q758" i="1" s="1"/>
  <c r="R758" i="1" s="1"/>
  <c r="N759" i="1"/>
  <c r="Q759" i="1" s="1"/>
  <c r="R759" i="1" s="1"/>
  <c r="N760" i="1"/>
  <c r="Q760" i="1" s="1"/>
  <c r="R760" i="1" s="1"/>
  <c r="N761" i="1"/>
  <c r="Q761" i="1" s="1"/>
  <c r="R761" i="1" s="1"/>
  <c r="N762" i="1"/>
  <c r="Q762" i="1" s="1"/>
  <c r="R762" i="1" s="1"/>
  <c r="N763" i="1"/>
  <c r="Q763" i="1" s="1"/>
  <c r="R763" i="1" s="1"/>
  <c r="N764" i="1"/>
  <c r="Q764" i="1" s="1"/>
  <c r="R764" i="1" s="1"/>
  <c r="N765" i="1"/>
  <c r="Q765" i="1" s="1"/>
  <c r="R765" i="1" s="1"/>
  <c r="N766" i="1"/>
  <c r="Q766" i="1" s="1"/>
  <c r="R766" i="1" s="1"/>
  <c r="N767" i="1"/>
  <c r="Q767" i="1" s="1"/>
  <c r="R767" i="1" s="1"/>
  <c r="N768" i="1"/>
  <c r="Q768" i="1" s="1"/>
  <c r="R768" i="1" s="1"/>
  <c r="N769" i="1"/>
  <c r="Q769" i="1" s="1"/>
  <c r="R769" i="1" s="1"/>
  <c r="N770" i="1"/>
  <c r="Q770" i="1" s="1"/>
  <c r="R770" i="1" s="1"/>
  <c r="N771" i="1"/>
  <c r="Q771" i="1" s="1"/>
  <c r="R771" i="1" s="1"/>
  <c r="N772" i="1"/>
  <c r="Q772" i="1" s="1"/>
  <c r="R772" i="1" s="1"/>
  <c r="N773" i="1"/>
  <c r="Q773" i="1" s="1"/>
  <c r="R773" i="1" s="1"/>
  <c r="N774" i="1"/>
  <c r="Q774" i="1" s="1"/>
  <c r="R774" i="1" s="1"/>
  <c r="N775" i="1"/>
  <c r="Q775" i="1" s="1"/>
  <c r="R775" i="1" s="1"/>
  <c r="N776" i="1"/>
  <c r="Q776" i="1" s="1"/>
  <c r="R776" i="1" s="1"/>
  <c r="N777" i="1"/>
  <c r="Q777" i="1" s="1"/>
  <c r="R777" i="1" s="1"/>
  <c r="N778" i="1"/>
  <c r="Q778" i="1" s="1"/>
  <c r="R778" i="1" s="1"/>
  <c r="N779" i="1"/>
  <c r="Q779" i="1" s="1"/>
  <c r="R779" i="1" s="1"/>
  <c r="N780" i="1"/>
  <c r="Q780" i="1" s="1"/>
  <c r="R780" i="1" s="1"/>
  <c r="N781" i="1"/>
  <c r="Q781" i="1" s="1"/>
  <c r="R781" i="1" s="1"/>
  <c r="N782" i="1"/>
  <c r="Q782" i="1" s="1"/>
  <c r="R782" i="1" s="1"/>
  <c r="N783" i="1"/>
  <c r="Q783" i="1" s="1"/>
  <c r="R783" i="1" s="1"/>
  <c r="N784" i="1"/>
  <c r="Q784" i="1" s="1"/>
  <c r="R784" i="1" s="1"/>
  <c r="N785" i="1"/>
  <c r="Q785" i="1" s="1"/>
  <c r="R785" i="1" s="1"/>
  <c r="N786" i="1"/>
  <c r="Q786" i="1" s="1"/>
  <c r="R786" i="1" s="1"/>
  <c r="N787" i="1"/>
  <c r="Q787" i="1" s="1"/>
  <c r="R787" i="1" s="1"/>
  <c r="N788" i="1"/>
  <c r="Q788" i="1" s="1"/>
  <c r="R788" i="1" s="1"/>
  <c r="N669" i="1"/>
  <c r="Q669" i="1" s="1"/>
  <c r="R669" i="1" s="1"/>
  <c r="N670" i="1"/>
  <c r="Q670" i="1" s="1"/>
  <c r="R670" i="1" s="1"/>
  <c r="N549" i="1"/>
  <c r="Q549" i="1" s="1"/>
  <c r="R549" i="1" s="1"/>
  <c r="N550" i="1"/>
  <c r="Q550" i="1" s="1"/>
  <c r="R550" i="1" s="1"/>
  <c r="N551" i="1"/>
  <c r="Q551" i="1" s="1"/>
  <c r="R551" i="1" s="1"/>
  <c r="N552" i="1"/>
  <c r="Q552" i="1" s="1"/>
  <c r="R552" i="1" s="1"/>
  <c r="N553" i="1"/>
  <c r="Q553" i="1" s="1"/>
  <c r="R553" i="1" s="1"/>
  <c r="N554" i="1"/>
  <c r="Q554" i="1" s="1"/>
  <c r="R554" i="1" s="1"/>
  <c r="N555" i="1"/>
  <c r="Q555" i="1" s="1"/>
  <c r="R555" i="1" s="1"/>
  <c r="N556" i="1"/>
  <c r="Q556" i="1" s="1"/>
  <c r="R556" i="1" s="1"/>
  <c r="N557" i="1"/>
  <c r="Q557" i="1" s="1"/>
  <c r="R557" i="1" s="1"/>
  <c r="N558" i="1"/>
  <c r="Q558" i="1" s="1"/>
  <c r="R558" i="1" s="1"/>
  <c r="N559" i="1"/>
  <c r="Q559" i="1" s="1"/>
  <c r="R559" i="1" s="1"/>
  <c r="N560" i="1"/>
  <c r="Q560" i="1" s="1"/>
  <c r="R560" i="1" s="1"/>
  <c r="N561" i="1"/>
  <c r="Q561" i="1" s="1"/>
  <c r="R561" i="1" s="1"/>
  <c r="N562" i="1"/>
  <c r="Q562" i="1" s="1"/>
  <c r="R562" i="1" s="1"/>
  <c r="N563" i="1"/>
  <c r="Q563" i="1" s="1"/>
  <c r="R563" i="1" s="1"/>
  <c r="N564" i="1"/>
  <c r="Q564" i="1" s="1"/>
  <c r="R564" i="1" s="1"/>
  <c r="N565" i="1"/>
  <c r="Q565" i="1" s="1"/>
  <c r="R565" i="1" s="1"/>
  <c r="N566" i="1"/>
  <c r="Q566" i="1" s="1"/>
  <c r="R566" i="1" s="1"/>
  <c r="N567" i="1"/>
  <c r="Q567" i="1" s="1"/>
  <c r="R567" i="1" s="1"/>
  <c r="N568" i="1"/>
  <c r="Q568" i="1" s="1"/>
  <c r="R568" i="1" s="1"/>
  <c r="N569" i="1"/>
  <c r="Q569" i="1" s="1"/>
  <c r="R569" i="1" s="1"/>
  <c r="N570" i="1"/>
  <c r="Q570" i="1" s="1"/>
  <c r="R570" i="1" s="1"/>
  <c r="N571" i="1"/>
  <c r="Q571" i="1" s="1"/>
  <c r="R571" i="1" s="1"/>
  <c r="N572" i="1"/>
  <c r="Q572" i="1" s="1"/>
  <c r="R572" i="1" s="1"/>
  <c r="N573" i="1"/>
  <c r="Q573" i="1" s="1"/>
  <c r="R573" i="1" s="1"/>
  <c r="N574" i="1"/>
  <c r="Q574" i="1" s="1"/>
  <c r="R574" i="1" s="1"/>
  <c r="N575" i="1"/>
  <c r="Q575" i="1" s="1"/>
  <c r="R575" i="1" s="1"/>
  <c r="N576" i="1"/>
  <c r="Q576" i="1" s="1"/>
  <c r="R576" i="1" s="1"/>
  <c r="N577" i="1"/>
  <c r="Q577" i="1" s="1"/>
  <c r="R577" i="1" s="1"/>
  <c r="N578" i="1"/>
  <c r="Q578" i="1" s="1"/>
  <c r="R578" i="1" s="1"/>
  <c r="N579" i="1"/>
  <c r="Q579" i="1" s="1"/>
  <c r="R579" i="1" s="1"/>
  <c r="N580" i="1"/>
  <c r="Q580" i="1" s="1"/>
  <c r="R580" i="1" s="1"/>
  <c r="N581" i="1"/>
  <c r="Q581" i="1" s="1"/>
  <c r="R581" i="1" s="1"/>
  <c r="N582" i="1"/>
  <c r="Q582" i="1" s="1"/>
  <c r="R582" i="1" s="1"/>
  <c r="N583" i="1"/>
  <c r="Q583" i="1" s="1"/>
  <c r="R583" i="1" s="1"/>
  <c r="N584" i="1"/>
  <c r="Q584" i="1" s="1"/>
  <c r="R584" i="1" s="1"/>
  <c r="N585" i="1"/>
  <c r="Q585" i="1" s="1"/>
  <c r="R585" i="1" s="1"/>
  <c r="N586" i="1"/>
  <c r="Q586" i="1" s="1"/>
  <c r="R586" i="1" s="1"/>
  <c r="N587" i="1"/>
  <c r="Q587" i="1" s="1"/>
  <c r="R587" i="1" s="1"/>
  <c r="N588" i="1"/>
  <c r="Q588" i="1" s="1"/>
  <c r="R588" i="1" s="1"/>
  <c r="N589" i="1"/>
  <c r="Q589" i="1" s="1"/>
  <c r="R589" i="1" s="1"/>
  <c r="N590" i="1"/>
  <c r="Q590" i="1" s="1"/>
  <c r="R590" i="1" s="1"/>
  <c r="N591" i="1"/>
  <c r="Q591" i="1" s="1"/>
  <c r="R591" i="1" s="1"/>
  <c r="N592" i="1"/>
  <c r="Q592" i="1" s="1"/>
  <c r="R592" i="1" s="1"/>
  <c r="N593" i="1"/>
  <c r="Q593" i="1" s="1"/>
  <c r="R593" i="1" s="1"/>
  <c r="N594" i="1"/>
  <c r="Q594" i="1" s="1"/>
  <c r="R594" i="1" s="1"/>
  <c r="N595" i="1"/>
  <c r="Q595" i="1" s="1"/>
  <c r="R595" i="1" s="1"/>
  <c r="N596" i="1"/>
  <c r="Q596" i="1" s="1"/>
  <c r="R596" i="1" s="1"/>
  <c r="N597" i="1"/>
  <c r="Q597" i="1" s="1"/>
  <c r="R597" i="1" s="1"/>
  <c r="N598" i="1"/>
  <c r="Q598" i="1" s="1"/>
  <c r="R598" i="1" s="1"/>
  <c r="N599" i="1"/>
  <c r="Q599" i="1" s="1"/>
  <c r="R599" i="1" s="1"/>
  <c r="N600" i="1"/>
  <c r="Q600" i="1" s="1"/>
  <c r="R600" i="1" s="1"/>
  <c r="N601" i="1"/>
  <c r="Q601" i="1" s="1"/>
  <c r="R601" i="1" s="1"/>
  <c r="N602" i="1"/>
  <c r="Q602" i="1" s="1"/>
  <c r="R602" i="1" s="1"/>
  <c r="N603" i="1"/>
  <c r="Q603" i="1" s="1"/>
  <c r="R603" i="1" s="1"/>
  <c r="N604" i="1"/>
  <c r="Q604" i="1" s="1"/>
  <c r="R604" i="1" s="1"/>
  <c r="N605" i="1"/>
  <c r="Q605" i="1" s="1"/>
  <c r="R605" i="1" s="1"/>
  <c r="N606" i="1"/>
  <c r="Q606" i="1" s="1"/>
  <c r="R606" i="1" s="1"/>
  <c r="N607" i="1"/>
  <c r="Q607" i="1" s="1"/>
  <c r="R607" i="1" s="1"/>
  <c r="N608" i="1"/>
  <c r="Q608" i="1" s="1"/>
  <c r="R608" i="1" s="1"/>
  <c r="N609" i="1"/>
  <c r="Q609" i="1" s="1"/>
  <c r="R609" i="1" s="1"/>
  <c r="N610" i="1"/>
  <c r="Q610" i="1" s="1"/>
  <c r="R610" i="1" s="1"/>
  <c r="N611" i="1"/>
  <c r="Q611" i="1" s="1"/>
  <c r="R611" i="1" s="1"/>
  <c r="N612" i="1"/>
  <c r="Q612" i="1" s="1"/>
  <c r="R612" i="1" s="1"/>
  <c r="N613" i="1"/>
  <c r="Q613" i="1" s="1"/>
  <c r="R613" i="1" s="1"/>
  <c r="N614" i="1"/>
  <c r="Q614" i="1" s="1"/>
  <c r="R614" i="1" s="1"/>
  <c r="N615" i="1"/>
  <c r="Q615" i="1" s="1"/>
  <c r="R615" i="1" s="1"/>
  <c r="N616" i="1"/>
  <c r="Q616" i="1" s="1"/>
  <c r="R616" i="1" s="1"/>
  <c r="N617" i="1"/>
  <c r="Q617" i="1" s="1"/>
  <c r="R617" i="1" s="1"/>
  <c r="N618" i="1"/>
  <c r="Q618" i="1" s="1"/>
  <c r="R618" i="1" s="1"/>
  <c r="N619" i="1"/>
  <c r="Q619" i="1" s="1"/>
  <c r="R619" i="1" s="1"/>
  <c r="N620" i="1"/>
  <c r="Q620" i="1" s="1"/>
  <c r="R620" i="1" s="1"/>
  <c r="N621" i="1"/>
  <c r="Q621" i="1" s="1"/>
  <c r="R621" i="1" s="1"/>
  <c r="N622" i="1"/>
  <c r="Q622" i="1" s="1"/>
  <c r="R622" i="1" s="1"/>
  <c r="N623" i="1"/>
  <c r="Q623" i="1" s="1"/>
  <c r="R623" i="1" s="1"/>
  <c r="N624" i="1"/>
  <c r="Q624" i="1" s="1"/>
  <c r="R624" i="1" s="1"/>
  <c r="N625" i="1"/>
  <c r="Q625" i="1" s="1"/>
  <c r="R625" i="1" s="1"/>
  <c r="N626" i="1"/>
  <c r="Q626" i="1" s="1"/>
  <c r="R626" i="1" s="1"/>
  <c r="N627" i="1"/>
  <c r="Q627" i="1" s="1"/>
  <c r="R627" i="1" s="1"/>
  <c r="N628" i="1"/>
  <c r="Q628" i="1" s="1"/>
  <c r="R628" i="1" s="1"/>
  <c r="N629" i="1"/>
  <c r="Q629" i="1" s="1"/>
  <c r="R629" i="1" s="1"/>
  <c r="N630" i="1"/>
  <c r="Q630" i="1" s="1"/>
  <c r="R630" i="1" s="1"/>
  <c r="N631" i="1"/>
  <c r="Q631" i="1" s="1"/>
  <c r="R631" i="1" s="1"/>
  <c r="N632" i="1"/>
  <c r="Q632" i="1" s="1"/>
  <c r="R632" i="1" s="1"/>
  <c r="N633" i="1"/>
  <c r="Q633" i="1" s="1"/>
  <c r="R633" i="1" s="1"/>
  <c r="N634" i="1"/>
  <c r="Q634" i="1" s="1"/>
  <c r="R634" i="1" s="1"/>
  <c r="N635" i="1"/>
  <c r="Q635" i="1" s="1"/>
  <c r="R635" i="1" s="1"/>
  <c r="N636" i="1"/>
  <c r="Q636" i="1" s="1"/>
  <c r="R636" i="1" s="1"/>
  <c r="N637" i="1"/>
  <c r="Q637" i="1" s="1"/>
  <c r="R637" i="1" s="1"/>
  <c r="N638" i="1"/>
  <c r="Q638" i="1" s="1"/>
  <c r="R638" i="1" s="1"/>
  <c r="N639" i="1"/>
  <c r="Q639" i="1" s="1"/>
  <c r="R639" i="1" s="1"/>
  <c r="N640" i="1"/>
  <c r="Q640" i="1" s="1"/>
  <c r="R640" i="1" s="1"/>
  <c r="N641" i="1"/>
  <c r="Q641" i="1" s="1"/>
  <c r="R641" i="1" s="1"/>
  <c r="N642" i="1"/>
  <c r="Q642" i="1" s="1"/>
  <c r="R642" i="1" s="1"/>
  <c r="N643" i="1"/>
  <c r="Q643" i="1" s="1"/>
  <c r="R643" i="1" s="1"/>
  <c r="N644" i="1"/>
  <c r="Q644" i="1" s="1"/>
  <c r="R644" i="1" s="1"/>
  <c r="N645" i="1"/>
  <c r="Q645" i="1" s="1"/>
  <c r="R645" i="1" s="1"/>
  <c r="N646" i="1"/>
  <c r="Q646" i="1" s="1"/>
  <c r="R646" i="1" s="1"/>
  <c r="N647" i="1"/>
  <c r="Q647" i="1" s="1"/>
  <c r="R647" i="1" s="1"/>
  <c r="N648" i="1"/>
  <c r="Q648" i="1" s="1"/>
  <c r="R648" i="1" s="1"/>
  <c r="N649" i="1"/>
  <c r="Q649" i="1" s="1"/>
  <c r="R649" i="1" s="1"/>
  <c r="N650" i="1"/>
  <c r="Q650" i="1" s="1"/>
  <c r="R650" i="1" s="1"/>
  <c r="N651" i="1"/>
  <c r="Q651" i="1" s="1"/>
  <c r="R651" i="1" s="1"/>
  <c r="N652" i="1"/>
  <c r="Q652" i="1" s="1"/>
  <c r="R652" i="1" s="1"/>
  <c r="N653" i="1"/>
  <c r="Q653" i="1" s="1"/>
  <c r="R653" i="1" s="1"/>
  <c r="N654" i="1"/>
  <c r="Q654" i="1" s="1"/>
  <c r="R654" i="1" s="1"/>
  <c r="N655" i="1"/>
  <c r="Q655" i="1" s="1"/>
  <c r="R655" i="1" s="1"/>
  <c r="N656" i="1"/>
  <c r="Q656" i="1" s="1"/>
  <c r="R656" i="1" s="1"/>
  <c r="N657" i="1"/>
  <c r="Q657" i="1" s="1"/>
  <c r="R657" i="1" s="1"/>
  <c r="N658" i="1"/>
  <c r="Q658" i="1" s="1"/>
  <c r="R658" i="1" s="1"/>
  <c r="N659" i="1"/>
  <c r="Q659" i="1" s="1"/>
  <c r="R659" i="1" s="1"/>
  <c r="N660" i="1"/>
  <c r="Q660" i="1" s="1"/>
  <c r="R660" i="1" s="1"/>
  <c r="N661" i="1"/>
  <c r="Q661" i="1" s="1"/>
  <c r="R661" i="1" s="1"/>
  <c r="N662" i="1"/>
  <c r="Q662" i="1" s="1"/>
  <c r="R662" i="1" s="1"/>
  <c r="N663" i="1"/>
  <c r="Q663" i="1" s="1"/>
  <c r="R663" i="1" s="1"/>
  <c r="N664" i="1"/>
  <c r="Q664" i="1" s="1"/>
  <c r="R664" i="1" s="1"/>
  <c r="N665" i="1"/>
  <c r="Q665" i="1" s="1"/>
  <c r="R665" i="1" s="1"/>
  <c r="N666" i="1"/>
  <c r="Q666" i="1" s="1"/>
  <c r="R666" i="1" s="1"/>
  <c r="N667" i="1"/>
  <c r="Q667" i="1" s="1"/>
  <c r="R667" i="1" s="1"/>
  <c r="N488" i="1"/>
  <c r="Q488" i="1" s="1"/>
  <c r="R488" i="1" s="1"/>
  <c r="N489" i="1"/>
  <c r="Q489" i="1" s="1"/>
  <c r="R489" i="1" s="1"/>
  <c r="N490" i="1"/>
  <c r="Q490" i="1" s="1"/>
  <c r="R490" i="1" s="1"/>
  <c r="N491" i="1"/>
  <c r="Q491" i="1" s="1"/>
  <c r="R491" i="1" s="1"/>
  <c r="N492" i="1"/>
  <c r="Q492" i="1" s="1"/>
  <c r="R492" i="1" s="1"/>
  <c r="N493" i="1"/>
  <c r="Q493" i="1" s="1"/>
  <c r="R493" i="1" s="1"/>
  <c r="N494" i="1"/>
  <c r="Q494" i="1" s="1"/>
  <c r="R494" i="1" s="1"/>
  <c r="N495" i="1"/>
  <c r="Q495" i="1" s="1"/>
  <c r="R495" i="1" s="1"/>
  <c r="N496" i="1"/>
  <c r="Q496" i="1" s="1"/>
  <c r="R496" i="1" s="1"/>
  <c r="N497" i="1"/>
  <c r="Q497" i="1" s="1"/>
  <c r="R497" i="1" s="1"/>
  <c r="N498" i="1"/>
  <c r="Q498" i="1" s="1"/>
  <c r="R498" i="1" s="1"/>
  <c r="N499" i="1"/>
  <c r="Q499" i="1" s="1"/>
  <c r="R499" i="1" s="1"/>
  <c r="N500" i="1"/>
  <c r="Q500" i="1" s="1"/>
  <c r="R500" i="1" s="1"/>
  <c r="N501" i="1"/>
  <c r="Q501" i="1" s="1"/>
  <c r="R501" i="1" s="1"/>
  <c r="N502" i="1"/>
  <c r="Q502" i="1" s="1"/>
  <c r="R502" i="1" s="1"/>
  <c r="N503" i="1"/>
  <c r="Q503" i="1" s="1"/>
  <c r="R503" i="1" s="1"/>
  <c r="N504" i="1"/>
  <c r="Q504" i="1" s="1"/>
  <c r="R504" i="1" s="1"/>
  <c r="N505" i="1"/>
  <c r="Q505" i="1" s="1"/>
  <c r="R505" i="1" s="1"/>
  <c r="N506" i="1"/>
  <c r="Q506" i="1" s="1"/>
  <c r="R506" i="1" s="1"/>
  <c r="N507" i="1"/>
  <c r="Q507" i="1" s="1"/>
  <c r="R507" i="1" s="1"/>
  <c r="N508" i="1"/>
  <c r="Q508" i="1" s="1"/>
  <c r="R508" i="1" s="1"/>
  <c r="N509" i="1"/>
  <c r="Q509" i="1" s="1"/>
  <c r="R509" i="1" s="1"/>
  <c r="N510" i="1"/>
  <c r="Q510" i="1" s="1"/>
  <c r="R510" i="1" s="1"/>
  <c r="N511" i="1"/>
  <c r="Q511" i="1" s="1"/>
  <c r="R511" i="1" s="1"/>
  <c r="N512" i="1"/>
  <c r="Q512" i="1" s="1"/>
  <c r="R512" i="1" s="1"/>
  <c r="N513" i="1"/>
  <c r="Q513" i="1" s="1"/>
  <c r="R513" i="1" s="1"/>
  <c r="N514" i="1"/>
  <c r="Q514" i="1" s="1"/>
  <c r="R514" i="1" s="1"/>
  <c r="N515" i="1"/>
  <c r="Q515" i="1" s="1"/>
  <c r="R515" i="1" s="1"/>
  <c r="N516" i="1"/>
  <c r="Q516" i="1" s="1"/>
  <c r="R516" i="1" s="1"/>
  <c r="N517" i="1"/>
  <c r="Q517" i="1" s="1"/>
  <c r="R517" i="1" s="1"/>
  <c r="N518" i="1"/>
  <c r="Q518" i="1" s="1"/>
  <c r="R518" i="1" s="1"/>
  <c r="N519" i="1"/>
  <c r="Q519" i="1" s="1"/>
  <c r="R519" i="1" s="1"/>
  <c r="N520" i="1"/>
  <c r="Q520" i="1" s="1"/>
  <c r="R520" i="1" s="1"/>
  <c r="N521" i="1"/>
  <c r="Q521" i="1" s="1"/>
  <c r="R521" i="1" s="1"/>
  <c r="N522" i="1"/>
  <c r="Q522" i="1" s="1"/>
  <c r="R522" i="1" s="1"/>
  <c r="N523" i="1"/>
  <c r="Q523" i="1" s="1"/>
  <c r="R523" i="1" s="1"/>
  <c r="N524" i="1"/>
  <c r="Q524" i="1" s="1"/>
  <c r="R524" i="1" s="1"/>
  <c r="N525" i="1"/>
  <c r="Q525" i="1" s="1"/>
  <c r="R525" i="1" s="1"/>
  <c r="N526" i="1"/>
  <c r="Q526" i="1" s="1"/>
  <c r="R526" i="1" s="1"/>
  <c r="N527" i="1"/>
  <c r="Q527" i="1" s="1"/>
  <c r="R527" i="1" s="1"/>
  <c r="N528" i="1"/>
  <c r="Q528" i="1" s="1"/>
  <c r="R528" i="1" s="1"/>
  <c r="N529" i="1"/>
  <c r="Q529" i="1" s="1"/>
  <c r="R529" i="1" s="1"/>
  <c r="N530" i="1"/>
  <c r="Q530" i="1" s="1"/>
  <c r="R530" i="1" s="1"/>
  <c r="N531" i="1"/>
  <c r="Q531" i="1" s="1"/>
  <c r="R531" i="1" s="1"/>
  <c r="N532" i="1"/>
  <c r="Q532" i="1" s="1"/>
  <c r="R532" i="1" s="1"/>
  <c r="N533" i="1"/>
  <c r="Q533" i="1" s="1"/>
  <c r="R533" i="1" s="1"/>
  <c r="N534" i="1"/>
  <c r="Q534" i="1" s="1"/>
  <c r="R534" i="1" s="1"/>
  <c r="N535" i="1"/>
  <c r="Q535" i="1" s="1"/>
  <c r="R535" i="1" s="1"/>
  <c r="N536" i="1"/>
  <c r="Q536" i="1" s="1"/>
  <c r="R536" i="1" s="1"/>
  <c r="N537" i="1"/>
  <c r="Q537" i="1" s="1"/>
  <c r="R537" i="1" s="1"/>
  <c r="N538" i="1"/>
  <c r="Q538" i="1" s="1"/>
  <c r="R538" i="1" s="1"/>
  <c r="N539" i="1"/>
  <c r="Q539" i="1" s="1"/>
  <c r="R539" i="1" s="1"/>
  <c r="N540" i="1"/>
  <c r="Q540" i="1" s="1"/>
  <c r="R540" i="1" s="1"/>
  <c r="N541" i="1"/>
  <c r="Q541" i="1" s="1"/>
  <c r="R541" i="1" s="1"/>
  <c r="N542" i="1"/>
  <c r="Q542" i="1" s="1"/>
  <c r="R542" i="1" s="1"/>
  <c r="N543" i="1"/>
  <c r="Q543" i="1" s="1"/>
  <c r="R543" i="1" s="1"/>
  <c r="N544" i="1"/>
  <c r="Q544" i="1" s="1"/>
  <c r="R544" i="1" s="1"/>
  <c r="N545" i="1"/>
  <c r="Q545" i="1" s="1"/>
  <c r="R545" i="1" s="1"/>
  <c r="N546" i="1"/>
  <c r="Q546" i="1" s="1"/>
  <c r="R546" i="1" s="1"/>
  <c r="N548" i="1"/>
  <c r="Q548" i="1" s="1"/>
  <c r="R548" i="1" s="1"/>
  <c r="N367" i="1"/>
  <c r="Q367" i="1" s="1"/>
  <c r="R367" i="1" s="1"/>
  <c r="N368" i="1"/>
  <c r="Q368" i="1" s="1"/>
  <c r="R368" i="1" s="1"/>
  <c r="N369" i="1"/>
  <c r="Q369" i="1" s="1"/>
  <c r="R369" i="1" s="1"/>
  <c r="N370" i="1"/>
  <c r="Q370" i="1" s="1"/>
  <c r="R370" i="1" s="1"/>
  <c r="N371" i="1"/>
  <c r="Q371" i="1" s="1"/>
  <c r="R371" i="1" s="1"/>
  <c r="N372" i="1"/>
  <c r="Q372" i="1" s="1"/>
  <c r="R372" i="1" s="1"/>
  <c r="N373" i="1"/>
  <c r="Q373" i="1" s="1"/>
  <c r="R373" i="1" s="1"/>
  <c r="N374" i="1"/>
  <c r="Q374" i="1" s="1"/>
  <c r="R374" i="1" s="1"/>
  <c r="N375" i="1"/>
  <c r="Q375" i="1" s="1"/>
  <c r="R375" i="1" s="1"/>
  <c r="N376" i="1"/>
  <c r="Q376" i="1" s="1"/>
  <c r="R376" i="1" s="1"/>
  <c r="N377" i="1"/>
  <c r="Q377" i="1" s="1"/>
  <c r="R377" i="1" s="1"/>
  <c r="N378" i="1"/>
  <c r="Q378" i="1" s="1"/>
  <c r="R378" i="1" s="1"/>
  <c r="N379" i="1"/>
  <c r="Q379" i="1" s="1"/>
  <c r="R379" i="1" s="1"/>
  <c r="N380" i="1"/>
  <c r="Q380" i="1" s="1"/>
  <c r="R380" i="1" s="1"/>
  <c r="N381" i="1"/>
  <c r="Q381" i="1" s="1"/>
  <c r="R381" i="1" s="1"/>
  <c r="N382" i="1"/>
  <c r="Q382" i="1" s="1"/>
  <c r="R382" i="1" s="1"/>
  <c r="N383" i="1"/>
  <c r="Q383" i="1" s="1"/>
  <c r="R383" i="1" s="1"/>
  <c r="N384" i="1"/>
  <c r="Q384" i="1" s="1"/>
  <c r="R384" i="1" s="1"/>
  <c r="N385" i="1"/>
  <c r="Q385" i="1" s="1"/>
  <c r="R385" i="1" s="1"/>
  <c r="N386" i="1"/>
  <c r="Q386" i="1" s="1"/>
  <c r="R386" i="1" s="1"/>
  <c r="N387" i="1"/>
  <c r="Q387" i="1" s="1"/>
  <c r="R387" i="1" s="1"/>
  <c r="N388" i="1"/>
  <c r="Q388" i="1" s="1"/>
  <c r="R388" i="1" s="1"/>
  <c r="N389" i="1"/>
  <c r="Q389" i="1" s="1"/>
  <c r="R389" i="1" s="1"/>
  <c r="N390" i="1"/>
  <c r="Q390" i="1" s="1"/>
  <c r="R390" i="1" s="1"/>
  <c r="N391" i="1"/>
  <c r="Q391" i="1" s="1"/>
  <c r="R391" i="1" s="1"/>
  <c r="N392" i="1"/>
  <c r="Q392" i="1" s="1"/>
  <c r="R392" i="1" s="1"/>
  <c r="N393" i="1"/>
  <c r="Q393" i="1" s="1"/>
  <c r="R393" i="1" s="1"/>
  <c r="N394" i="1"/>
  <c r="Q394" i="1" s="1"/>
  <c r="R394" i="1" s="1"/>
  <c r="N395" i="1"/>
  <c r="Q395" i="1" s="1"/>
  <c r="R395" i="1" s="1"/>
  <c r="N396" i="1"/>
  <c r="Q396" i="1" s="1"/>
  <c r="R396" i="1" s="1"/>
  <c r="N397" i="1"/>
  <c r="Q397" i="1" s="1"/>
  <c r="R397" i="1" s="1"/>
  <c r="N398" i="1"/>
  <c r="Q398" i="1" s="1"/>
  <c r="R398" i="1" s="1"/>
  <c r="N399" i="1"/>
  <c r="Q399" i="1" s="1"/>
  <c r="R399" i="1" s="1"/>
  <c r="N400" i="1"/>
  <c r="Q400" i="1" s="1"/>
  <c r="R400" i="1" s="1"/>
  <c r="N401" i="1"/>
  <c r="Q401" i="1" s="1"/>
  <c r="R401" i="1" s="1"/>
  <c r="N402" i="1"/>
  <c r="Q402" i="1" s="1"/>
  <c r="R402" i="1" s="1"/>
  <c r="N403" i="1"/>
  <c r="Q403" i="1" s="1"/>
  <c r="R403" i="1" s="1"/>
  <c r="N404" i="1"/>
  <c r="Q404" i="1" s="1"/>
  <c r="R404" i="1" s="1"/>
  <c r="N405" i="1"/>
  <c r="Q405" i="1" s="1"/>
  <c r="R405" i="1" s="1"/>
  <c r="N406" i="1"/>
  <c r="Q406" i="1" s="1"/>
  <c r="R406" i="1" s="1"/>
  <c r="N407" i="1"/>
  <c r="Q407" i="1" s="1"/>
  <c r="R407" i="1" s="1"/>
  <c r="N408" i="1"/>
  <c r="Q408" i="1" s="1"/>
  <c r="R408" i="1" s="1"/>
  <c r="N409" i="1"/>
  <c r="Q409" i="1" s="1"/>
  <c r="R409" i="1" s="1"/>
  <c r="N410" i="1"/>
  <c r="Q410" i="1" s="1"/>
  <c r="R410" i="1" s="1"/>
  <c r="N411" i="1"/>
  <c r="Q411" i="1" s="1"/>
  <c r="R411" i="1" s="1"/>
  <c r="N412" i="1"/>
  <c r="Q412" i="1" s="1"/>
  <c r="R412" i="1" s="1"/>
  <c r="N413" i="1"/>
  <c r="Q413" i="1" s="1"/>
  <c r="R413" i="1" s="1"/>
  <c r="N414" i="1"/>
  <c r="Q414" i="1" s="1"/>
  <c r="R414" i="1" s="1"/>
  <c r="N415" i="1"/>
  <c r="Q415" i="1" s="1"/>
  <c r="R415" i="1" s="1"/>
  <c r="N416" i="1"/>
  <c r="Q416" i="1" s="1"/>
  <c r="R416" i="1" s="1"/>
  <c r="N417" i="1"/>
  <c r="Q417" i="1" s="1"/>
  <c r="R417" i="1" s="1"/>
  <c r="N418" i="1"/>
  <c r="Q418" i="1" s="1"/>
  <c r="R418" i="1" s="1"/>
  <c r="N419" i="1"/>
  <c r="Q419" i="1" s="1"/>
  <c r="R419" i="1" s="1"/>
  <c r="N420" i="1"/>
  <c r="Q420" i="1" s="1"/>
  <c r="R420" i="1" s="1"/>
  <c r="N421" i="1"/>
  <c r="Q421" i="1" s="1"/>
  <c r="R421" i="1" s="1"/>
  <c r="N422" i="1"/>
  <c r="Q422" i="1" s="1"/>
  <c r="R422" i="1" s="1"/>
  <c r="N423" i="1"/>
  <c r="Q423" i="1" s="1"/>
  <c r="R423" i="1" s="1"/>
  <c r="N424" i="1"/>
  <c r="Q424" i="1" s="1"/>
  <c r="R424" i="1" s="1"/>
  <c r="N425" i="1"/>
  <c r="Q425" i="1" s="1"/>
  <c r="R425" i="1" s="1"/>
  <c r="N426" i="1"/>
  <c r="Q426" i="1" s="1"/>
  <c r="R426" i="1" s="1"/>
  <c r="N427" i="1"/>
  <c r="Q427" i="1" s="1"/>
  <c r="R427" i="1" s="1"/>
  <c r="N428" i="1"/>
  <c r="Q428" i="1" s="1"/>
  <c r="R428" i="1" s="1"/>
  <c r="N429" i="1"/>
  <c r="Q429" i="1" s="1"/>
  <c r="R429" i="1" s="1"/>
  <c r="N430" i="1"/>
  <c r="Q430" i="1" s="1"/>
  <c r="R430" i="1" s="1"/>
  <c r="N431" i="1"/>
  <c r="Q431" i="1" s="1"/>
  <c r="R431" i="1" s="1"/>
  <c r="N432" i="1"/>
  <c r="Q432" i="1" s="1"/>
  <c r="R432" i="1" s="1"/>
  <c r="N433" i="1"/>
  <c r="Q433" i="1" s="1"/>
  <c r="R433" i="1" s="1"/>
  <c r="N434" i="1"/>
  <c r="Q434" i="1" s="1"/>
  <c r="R434" i="1" s="1"/>
  <c r="N435" i="1"/>
  <c r="Q435" i="1" s="1"/>
  <c r="R435" i="1" s="1"/>
  <c r="N436" i="1"/>
  <c r="Q436" i="1" s="1"/>
  <c r="R436" i="1" s="1"/>
  <c r="N437" i="1"/>
  <c r="Q437" i="1" s="1"/>
  <c r="R437" i="1" s="1"/>
  <c r="N438" i="1"/>
  <c r="Q438" i="1" s="1"/>
  <c r="R438" i="1" s="1"/>
  <c r="N439" i="1"/>
  <c r="Q439" i="1" s="1"/>
  <c r="R439" i="1" s="1"/>
  <c r="N440" i="1"/>
  <c r="Q440" i="1" s="1"/>
  <c r="R440" i="1" s="1"/>
  <c r="N441" i="1"/>
  <c r="Q441" i="1" s="1"/>
  <c r="R441" i="1" s="1"/>
  <c r="N442" i="1"/>
  <c r="Q442" i="1" s="1"/>
  <c r="R442" i="1" s="1"/>
  <c r="N443" i="1"/>
  <c r="Q443" i="1" s="1"/>
  <c r="R443" i="1" s="1"/>
  <c r="N444" i="1"/>
  <c r="Q444" i="1" s="1"/>
  <c r="R444" i="1" s="1"/>
  <c r="N445" i="1"/>
  <c r="Q445" i="1" s="1"/>
  <c r="R445" i="1" s="1"/>
  <c r="N446" i="1"/>
  <c r="Q446" i="1" s="1"/>
  <c r="R446" i="1" s="1"/>
  <c r="N447" i="1"/>
  <c r="Q447" i="1" s="1"/>
  <c r="R447" i="1" s="1"/>
  <c r="N448" i="1"/>
  <c r="Q448" i="1" s="1"/>
  <c r="R448" i="1" s="1"/>
  <c r="N449" i="1"/>
  <c r="Q449" i="1" s="1"/>
  <c r="R449" i="1" s="1"/>
  <c r="N450" i="1"/>
  <c r="Q450" i="1" s="1"/>
  <c r="R450" i="1" s="1"/>
  <c r="N451" i="1"/>
  <c r="Q451" i="1" s="1"/>
  <c r="R451" i="1" s="1"/>
  <c r="N452" i="1"/>
  <c r="Q452" i="1" s="1"/>
  <c r="R452" i="1" s="1"/>
  <c r="N453" i="1"/>
  <c r="Q453" i="1" s="1"/>
  <c r="R453" i="1" s="1"/>
  <c r="N454" i="1"/>
  <c r="Q454" i="1" s="1"/>
  <c r="R454" i="1" s="1"/>
  <c r="N455" i="1"/>
  <c r="Q455" i="1" s="1"/>
  <c r="R455" i="1" s="1"/>
  <c r="N456" i="1"/>
  <c r="Q456" i="1" s="1"/>
  <c r="R456" i="1" s="1"/>
  <c r="N457" i="1"/>
  <c r="Q457" i="1" s="1"/>
  <c r="R457" i="1" s="1"/>
  <c r="N458" i="1"/>
  <c r="Q458" i="1" s="1"/>
  <c r="R458" i="1" s="1"/>
  <c r="N459" i="1"/>
  <c r="Q459" i="1" s="1"/>
  <c r="R459" i="1" s="1"/>
  <c r="N460" i="1"/>
  <c r="Q460" i="1" s="1"/>
  <c r="R460" i="1" s="1"/>
  <c r="N461" i="1"/>
  <c r="Q461" i="1" s="1"/>
  <c r="R461" i="1" s="1"/>
  <c r="N462" i="1"/>
  <c r="Q462" i="1" s="1"/>
  <c r="R462" i="1" s="1"/>
  <c r="N463" i="1"/>
  <c r="Q463" i="1" s="1"/>
  <c r="R463" i="1" s="1"/>
  <c r="N464" i="1"/>
  <c r="Q464" i="1" s="1"/>
  <c r="R464" i="1" s="1"/>
  <c r="N465" i="1"/>
  <c r="Q465" i="1" s="1"/>
  <c r="R465" i="1" s="1"/>
  <c r="N466" i="1"/>
  <c r="Q466" i="1" s="1"/>
  <c r="R466" i="1" s="1"/>
  <c r="N467" i="1"/>
  <c r="Q467" i="1" s="1"/>
  <c r="R467" i="1" s="1"/>
  <c r="N468" i="1"/>
  <c r="Q468" i="1" s="1"/>
  <c r="R468" i="1" s="1"/>
  <c r="N469" i="1"/>
  <c r="Q469" i="1" s="1"/>
  <c r="R469" i="1" s="1"/>
  <c r="N470" i="1"/>
  <c r="Q470" i="1" s="1"/>
  <c r="R470" i="1" s="1"/>
  <c r="N471" i="1"/>
  <c r="Q471" i="1" s="1"/>
  <c r="R471" i="1" s="1"/>
  <c r="N472" i="1"/>
  <c r="Q472" i="1" s="1"/>
  <c r="R472" i="1" s="1"/>
  <c r="N473" i="1"/>
  <c r="Q473" i="1" s="1"/>
  <c r="R473" i="1" s="1"/>
  <c r="N474" i="1"/>
  <c r="Q474" i="1" s="1"/>
  <c r="R474" i="1" s="1"/>
  <c r="N475" i="1"/>
  <c r="Q475" i="1" s="1"/>
  <c r="R475" i="1" s="1"/>
  <c r="N476" i="1"/>
  <c r="Q476" i="1" s="1"/>
  <c r="R476" i="1" s="1"/>
  <c r="N477" i="1"/>
  <c r="Q477" i="1" s="1"/>
  <c r="R477" i="1" s="1"/>
  <c r="N478" i="1"/>
  <c r="Q478" i="1" s="1"/>
  <c r="R478" i="1" s="1"/>
  <c r="N479" i="1"/>
  <c r="Q479" i="1" s="1"/>
  <c r="R479" i="1" s="1"/>
  <c r="N480" i="1"/>
  <c r="Q480" i="1" s="1"/>
  <c r="R480" i="1" s="1"/>
  <c r="N481" i="1"/>
  <c r="Q481" i="1" s="1"/>
  <c r="R481" i="1" s="1"/>
  <c r="N482" i="1"/>
  <c r="Q482" i="1" s="1"/>
  <c r="R482" i="1" s="1"/>
  <c r="N483" i="1"/>
  <c r="Q483" i="1" s="1"/>
  <c r="R483" i="1" s="1"/>
  <c r="N484" i="1"/>
  <c r="Q484" i="1" s="1"/>
  <c r="R484" i="1" s="1"/>
  <c r="N485" i="1"/>
  <c r="Q485" i="1" s="1"/>
  <c r="R485" i="1" s="1"/>
  <c r="N487" i="1"/>
  <c r="Q487" i="1" s="1"/>
  <c r="R487" i="1" s="1"/>
  <c r="N246" i="1"/>
  <c r="Q246" i="1" s="1"/>
  <c r="R246" i="1" s="1"/>
  <c r="N247" i="1"/>
  <c r="Q247" i="1" s="1"/>
  <c r="R247" i="1" s="1"/>
  <c r="N248" i="1"/>
  <c r="Q248" i="1" s="1"/>
  <c r="R248" i="1" s="1"/>
  <c r="N249" i="1"/>
  <c r="Q249" i="1" s="1"/>
  <c r="R249" i="1" s="1"/>
  <c r="N250" i="1"/>
  <c r="Q250" i="1" s="1"/>
  <c r="R250" i="1" s="1"/>
  <c r="N251" i="1"/>
  <c r="Q251" i="1" s="1"/>
  <c r="R251" i="1" s="1"/>
  <c r="N252" i="1"/>
  <c r="Q252" i="1" s="1"/>
  <c r="R252" i="1" s="1"/>
  <c r="N253" i="1"/>
  <c r="Q253" i="1" s="1"/>
  <c r="R253" i="1" s="1"/>
  <c r="N254" i="1"/>
  <c r="Q254" i="1" s="1"/>
  <c r="R254" i="1" s="1"/>
  <c r="N255" i="1"/>
  <c r="Q255" i="1" s="1"/>
  <c r="R255" i="1" s="1"/>
  <c r="N256" i="1"/>
  <c r="Q256" i="1" s="1"/>
  <c r="R256" i="1" s="1"/>
  <c r="N257" i="1"/>
  <c r="Q257" i="1" s="1"/>
  <c r="R257" i="1" s="1"/>
  <c r="N258" i="1"/>
  <c r="Q258" i="1" s="1"/>
  <c r="R258" i="1" s="1"/>
  <c r="N259" i="1"/>
  <c r="Q259" i="1" s="1"/>
  <c r="R259" i="1" s="1"/>
  <c r="N260" i="1"/>
  <c r="Q260" i="1" s="1"/>
  <c r="R260" i="1" s="1"/>
  <c r="N261" i="1"/>
  <c r="Q261" i="1" s="1"/>
  <c r="R261" i="1" s="1"/>
  <c r="N262" i="1"/>
  <c r="Q262" i="1" s="1"/>
  <c r="R262" i="1" s="1"/>
  <c r="N263" i="1"/>
  <c r="Q263" i="1" s="1"/>
  <c r="R263" i="1" s="1"/>
  <c r="N264" i="1"/>
  <c r="Q264" i="1" s="1"/>
  <c r="R264" i="1" s="1"/>
  <c r="N265" i="1"/>
  <c r="Q265" i="1" s="1"/>
  <c r="R265" i="1" s="1"/>
  <c r="N266" i="1"/>
  <c r="Q266" i="1" s="1"/>
  <c r="R266" i="1" s="1"/>
  <c r="N267" i="1"/>
  <c r="Q267" i="1" s="1"/>
  <c r="R267" i="1" s="1"/>
  <c r="N268" i="1"/>
  <c r="Q268" i="1" s="1"/>
  <c r="R268" i="1" s="1"/>
  <c r="N269" i="1"/>
  <c r="Q269" i="1" s="1"/>
  <c r="R269" i="1" s="1"/>
  <c r="N270" i="1"/>
  <c r="Q270" i="1" s="1"/>
  <c r="R270" i="1" s="1"/>
  <c r="N271" i="1"/>
  <c r="Q271" i="1" s="1"/>
  <c r="R271" i="1" s="1"/>
  <c r="N272" i="1"/>
  <c r="Q272" i="1" s="1"/>
  <c r="R272" i="1" s="1"/>
  <c r="N273" i="1"/>
  <c r="Q273" i="1" s="1"/>
  <c r="R273" i="1" s="1"/>
  <c r="N274" i="1"/>
  <c r="Q274" i="1" s="1"/>
  <c r="R274" i="1" s="1"/>
  <c r="N275" i="1"/>
  <c r="Q275" i="1" s="1"/>
  <c r="R275" i="1" s="1"/>
  <c r="N276" i="1"/>
  <c r="Q276" i="1" s="1"/>
  <c r="R276" i="1" s="1"/>
  <c r="N277" i="1"/>
  <c r="Q277" i="1" s="1"/>
  <c r="R277" i="1" s="1"/>
  <c r="N278" i="1"/>
  <c r="Q278" i="1" s="1"/>
  <c r="R278" i="1" s="1"/>
  <c r="N279" i="1"/>
  <c r="Q279" i="1" s="1"/>
  <c r="R279" i="1" s="1"/>
  <c r="N280" i="1"/>
  <c r="Q280" i="1" s="1"/>
  <c r="R280" i="1" s="1"/>
  <c r="N281" i="1"/>
  <c r="Q281" i="1" s="1"/>
  <c r="R281" i="1" s="1"/>
  <c r="N282" i="1"/>
  <c r="Q282" i="1" s="1"/>
  <c r="R282" i="1" s="1"/>
  <c r="N283" i="1"/>
  <c r="Q283" i="1" s="1"/>
  <c r="R283" i="1" s="1"/>
  <c r="N284" i="1"/>
  <c r="Q284" i="1" s="1"/>
  <c r="R284" i="1" s="1"/>
  <c r="N285" i="1"/>
  <c r="Q285" i="1" s="1"/>
  <c r="R285" i="1" s="1"/>
  <c r="N286" i="1"/>
  <c r="Q286" i="1" s="1"/>
  <c r="R286" i="1" s="1"/>
  <c r="N287" i="1"/>
  <c r="Q287" i="1" s="1"/>
  <c r="R287" i="1" s="1"/>
  <c r="N288" i="1"/>
  <c r="Q288" i="1" s="1"/>
  <c r="R288" i="1" s="1"/>
  <c r="N289" i="1"/>
  <c r="Q289" i="1" s="1"/>
  <c r="R289" i="1" s="1"/>
  <c r="N290" i="1"/>
  <c r="Q290" i="1" s="1"/>
  <c r="R290" i="1" s="1"/>
  <c r="N291" i="1"/>
  <c r="Q291" i="1" s="1"/>
  <c r="R291" i="1" s="1"/>
  <c r="N292" i="1"/>
  <c r="Q292" i="1" s="1"/>
  <c r="R292" i="1" s="1"/>
  <c r="N293" i="1"/>
  <c r="Q293" i="1" s="1"/>
  <c r="R293" i="1" s="1"/>
  <c r="N294" i="1"/>
  <c r="Q294" i="1" s="1"/>
  <c r="R294" i="1" s="1"/>
  <c r="N295" i="1"/>
  <c r="Q295" i="1" s="1"/>
  <c r="R295" i="1" s="1"/>
  <c r="N296" i="1"/>
  <c r="Q296" i="1" s="1"/>
  <c r="R296" i="1" s="1"/>
  <c r="N297" i="1"/>
  <c r="Q297" i="1" s="1"/>
  <c r="R297" i="1" s="1"/>
  <c r="N298" i="1"/>
  <c r="Q298" i="1" s="1"/>
  <c r="R298" i="1" s="1"/>
  <c r="N299" i="1"/>
  <c r="Q299" i="1" s="1"/>
  <c r="R299" i="1" s="1"/>
  <c r="N300" i="1"/>
  <c r="Q300" i="1" s="1"/>
  <c r="R300" i="1" s="1"/>
  <c r="N301" i="1"/>
  <c r="Q301" i="1" s="1"/>
  <c r="R301" i="1" s="1"/>
  <c r="N302" i="1"/>
  <c r="Q302" i="1" s="1"/>
  <c r="R302" i="1" s="1"/>
  <c r="N303" i="1"/>
  <c r="Q303" i="1" s="1"/>
  <c r="R303" i="1" s="1"/>
  <c r="N304" i="1"/>
  <c r="Q304" i="1" s="1"/>
  <c r="R304" i="1" s="1"/>
  <c r="N305" i="1"/>
  <c r="Q305" i="1" s="1"/>
  <c r="R305" i="1" s="1"/>
  <c r="N306" i="1"/>
  <c r="Q306" i="1" s="1"/>
  <c r="R306" i="1" s="1"/>
  <c r="N307" i="1"/>
  <c r="Q307" i="1" s="1"/>
  <c r="R307" i="1" s="1"/>
  <c r="N308" i="1"/>
  <c r="Q308" i="1" s="1"/>
  <c r="R308" i="1" s="1"/>
  <c r="N309" i="1"/>
  <c r="Q309" i="1" s="1"/>
  <c r="R309" i="1" s="1"/>
  <c r="N310" i="1"/>
  <c r="Q310" i="1" s="1"/>
  <c r="R310" i="1" s="1"/>
  <c r="N311" i="1"/>
  <c r="Q311" i="1" s="1"/>
  <c r="R311" i="1" s="1"/>
  <c r="N312" i="1"/>
  <c r="Q312" i="1" s="1"/>
  <c r="R312" i="1" s="1"/>
  <c r="N313" i="1"/>
  <c r="Q313" i="1" s="1"/>
  <c r="R313" i="1" s="1"/>
  <c r="N314" i="1"/>
  <c r="Q314" i="1" s="1"/>
  <c r="R314" i="1" s="1"/>
  <c r="N315" i="1"/>
  <c r="Q315" i="1" s="1"/>
  <c r="R315" i="1" s="1"/>
  <c r="N316" i="1"/>
  <c r="Q316" i="1" s="1"/>
  <c r="R316" i="1" s="1"/>
  <c r="N317" i="1"/>
  <c r="Q317" i="1" s="1"/>
  <c r="R317" i="1" s="1"/>
  <c r="N318" i="1"/>
  <c r="Q318" i="1" s="1"/>
  <c r="R318" i="1" s="1"/>
  <c r="N319" i="1"/>
  <c r="Q319" i="1" s="1"/>
  <c r="R319" i="1" s="1"/>
  <c r="N320" i="1"/>
  <c r="Q320" i="1" s="1"/>
  <c r="R320" i="1" s="1"/>
  <c r="N321" i="1"/>
  <c r="Q321" i="1" s="1"/>
  <c r="R321" i="1" s="1"/>
  <c r="N322" i="1"/>
  <c r="Q322" i="1" s="1"/>
  <c r="R322" i="1" s="1"/>
  <c r="N323" i="1"/>
  <c r="Q323" i="1" s="1"/>
  <c r="R323" i="1" s="1"/>
  <c r="N324" i="1"/>
  <c r="Q324" i="1" s="1"/>
  <c r="R324" i="1" s="1"/>
  <c r="N325" i="1"/>
  <c r="Q325" i="1" s="1"/>
  <c r="R325" i="1" s="1"/>
  <c r="N326" i="1"/>
  <c r="Q326" i="1" s="1"/>
  <c r="R326" i="1" s="1"/>
  <c r="N327" i="1"/>
  <c r="Q327" i="1" s="1"/>
  <c r="R327" i="1" s="1"/>
  <c r="N328" i="1"/>
  <c r="Q328" i="1" s="1"/>
  <c r="R328" i="1" s="1"/>
  <c r="N329" i="1"/>
  <c r="Q329" i="1" s="1"/>
  <c r="R329" i="1" s="1"/>
  <c r="N330" i="1"/>
  <c r="Q330" i="1" s="1"/>
  <c r="R330" i="1" s="1"/>
  <c r="N331" i="1"/>
  <c r="Q331" i="1" s="1"/>
  <c r="R331" i="1" s="1"/>
  <c r="N332" i="1"/>
  <c r="Q332" i="1" s="1"/>
  <c r="R332" i="1" s="1"/>
  <c r="N333" i="1"/>
  <c r="Q333" i="1" s="1"/>
  <c r="R333" i="1" s="1"/>
  <c r="N334" i="1"/>
  <c r="Q334" i="1" s="1"/>
  <c r="R334" i="1" s="1"/>
  <c r="N335" i="1"/>
  <c r="Q335" i="1" s="1"/>
  <c r="R335" i="1" s="1"/>
  <c r="N336" i="1"/>
  <c r="Q336" i="1" s="1"/>
  <c r="R336" i="1" s="1"/>
  <c r="N337" i="1"/>
  <c r="Q337" i="1" s="1"/>
  <c r="R337" i="1" s="1"/>
  <c r="N338" i="1"/>
  <c r="Q338" i="1" s="1"/>
  <c r="R338" i="1" s="1"/>
  <c r="N339" i="1"/>
  <c r="Q339" i="1" s="1"/>
  <c r="R339" i="1" s="1"/>
  <c r="N340" i="1"/>
  <c r="Q340" i="1" s="1"/>
  <c r="R340" i="1" s="1"/>
  <c r="N341" i="1"/>
  <c r="Q341" i="1" s="1"/>
  <c r="R341" i="1" s="1"/>
  <c r="N342" i="1"/>
  <c r="Q342" i="1" s="1"/>
  <c r="R342" i="1" s="1"/>
  <c r="N343" i="1"/>
  <c r="Q343" i="1" s="1"/>
  <c r="R343" i="1" s="1"/>
  <c r="N344" i="1"/>
  <c r="Q344" i="1" s="1"/>
  <c r="R344" i="1" s="1"/>
  <c r="N345" i="1"/>
  <c r="Q345" i="1" s="1"/>
  <c r="R345" i="1" s="1"/>
  <c r="N346" i="1"/>
  <c r="Q346" i="1" s="1"/>
  <c r="R346" i="1" s="1"/>
  <c r="N347" i="1"/>
  <c r="Q347" i="1" s="1"/>
  <c r="R347" i="1" s="1"/>
  <c r="N348" i="1"/>
  <c r="Q348" i="1" s="1"/>
  <c r="R348" i="1" s="1"/>
  <c r="N349" i="1"/>
  <c r="Q349" i="1" s="1"/>
  <c r="R349" i="1" s="1"/>
  <c r="N350" i="1"/>
  <c r="Q350" i="1" s="1"/>
  <c r="R350" i="1" s="1"/>
  <c r="N351" i="1"/>
  <c r="Q351" i="1" s="1"/>
  <c r="R351" i="1" s="1"/>
  <c r="N352" i="1"/>
  <c r="Q352" i="1" s="1"/>
  <c r="R352" i="1" s="1"/>
  <c r="N353" i="1"/>
  <c r="Q353" i="1" s="1"/>
  <c r="R353" i="1" s="1"/>
  <c r="N354" i="1"/>
  <c r="Q354" i="1" s="1"/>
  <c r="R354" i="1" s="1"/>
  <c r="N355" i="1"/>
  <c r="Q355" i="1" s="1"/>
  <c r="R355" i="1" s="1"/>
  <c r="N356" i="1"/>
  <c r="Q356" i="1" s="1"/>
  <c r="R356" i="1" s="1"/>
  <c r="N357" i="1"/>
  <c r="Q357" i="1" s="1"/>
  <c r="R357" i="1" s="1"/>
  <c r="N358" i="1"/>
  <c r="Q358" i="1" s="1"/>
  <c r="R358" i="1" s="1"/>
  <c r="N359" i="1"/>
  <c r="Q359" i="1" s="1"/>
  <c r="R359" i="1" s="1"/>
  <c r="N360" i="1"/>
  <c r="Q360" i="1" s="1"/>
  <c r="R360" i="1" s="1"/>
  <c r="N361" i="1"/>
  <c r="Q361" i="1" s="1"/>
  <c r="R361" i="1" s="1"/>
  <c r="N362" i="1"/>
  <c r="Q362" i="1" s="1"/>
  <c r="R362" i="1" s="1"/>
  <c r="N363" i="1"/>
  <c r="Q363" i="1" s="1"/>
  <c r="R363" i="1" s="1"/>
  <c r="N364" i="1"/>
  <c r="Q364" i="1" s="1"/>
  <c r="R364" i="1" s="1"/>
  <c r="N366" i="1"/>
  <c r="Q366" i="1" s="1"/>
  <c r="R366" i="1" s="1"/>
  <c r="N125" i="1"/>
  <c r="Q125" i="1" s="1"/>
  <c r="R125" i="1" s="1"/>
  <c r="N126" i="1"/>
  <c r="Q126" i="1" s="1"/>
  <c r="R126" i="1" s="1"/>
  <c r="N127" i="1"/>
  <c r="Q127" i="1" s="1"/>
  <c r="R127" i="1" s="1"/>
  <c r="N128" i="1"/>
  <c r="Q128" i="1" s="1"/>
  <c r="R128" i="1" s="1"/>
  <c r="N129" i="1"/>
  <c r="Q129" i="1" s="1"/>
  <c r="R129" i="1" s="1"/>
  <c r="N130" i="1"/>
  <c r="Q130" i="1" s="1"/>
  <c r="R130" i="1" s="1"/>
  <c r="N131" i="1"/>
  <c r="Q131" i="1" s="1"/>
  <c r="R131" i="1" s="1"/>
  <c r="N132" i="1"/>
  <c r="Q132" i="1" s="1"/>
  <c r="R132" i="1" s="1"/>
  <c r="N133" i="1"/>
  <c r="Q133" i="1" s="1"/>
  <c r="R133" i="1" s="1"/>
  <c r="N134" i="1"/>
  <c r="Q134" i="1" s="1"/>
  <c r="R134" i="1" s="1"/>
  <c r="N135" i="1"/>
  <c r="Q135" i="1" s="1"/>
  <c r="R135" i="1" s="1"/>
  <c r="N136" i="1"/>
  <c r="Q136" i="1" s="1"/>
  <c r="R136" i="1" s="1"/>
  <c r="N137" i="1"/>
  <c r="Q137" i="1" s="1"/>
  <c r="R137" i="1" s="1"/>
  <c r="N138" i="1"/>
  <c r="Q138" i="1" s="1"/>
  <c r="R138" i="1" s="1"/>
  <c r="N139" i="1"/>
  <c r="Q139" i="1" s="1"/>
  <c r="R139" i="1" s="1"/>
  <c r="N140" i="1"/>
  <c r="Q140" i="1" s="1"/>
  <c r="R140" i="1" s="1"/>
  <c r="N141" i="1"/>
  <c r="Q141" i="1" s="1"/>
  <c r="R141" i="1" s="1"/>
  <c r="N142" i="1"/>
  <c r="Q142" i="1" s="1"/>
  <c r="R142" i="1" s="1"/>
  <c r="N143" i="1"/>
  <c r="Q143" i="1" s="1"/>
  <c r="R143" i="1" s="1"/>
  <c r="N144" i="1"/>
  <c r="Q144" i="1" s="1"/>
  <c r="R144" i="1" s="1"/>
  <c r="N145" i="1"/>
  <c r="Q145" i="1" s="1"/>
  <c r="R145" i="1" s="1"/>
  <c r="N146" i="1"/>
  <c r="Q146" i="1" s="1"/>
  <c r="R146" i="1" s="1"/>
  <c r="N147" i="1"/>
  <c r="Q147" i="1" s="1"/>
  <c r="R147" i="1" s="1"/>
  <c r="N148" i="1"/>
  <c r="Q148" i="1" s="1"/>
  <c r="R148" i="1" s="1"/>
  <c r="N149" i="1"/>
  <c r="Q149" i="1" s="1"/>
  <c r="R149" i="1" s="1"/>
  <c r="N150" i="1"/>
  <c r="Q150" i="1" s="1"/>
  <c r="R150" i="1" s="1"/>
  <c r="N151" i="1"/>
  <c r="Q151" i="1" s="1"/>
  <c r="R151" i="1" s="1"/>
  <c r="N152" i="1"/>
  <c r="Q152" i="1" s="1"/>
  <c r="R152" i="1" s="1"/>
  <c r="N153" i="1"/>
  <c r="Q153" i="1" s="1"/>
  <c r="R153" i="1" s="1"/>
  <c r="N154" i="1"/>
  <c r="Q154" i="1" s="1"/>
  <c r="R154" i="1" s="1"/>
  <c r="N155" i="1"/>
  <c r="Q155" i="1" s="1"/>
  <c r="R155" i="1" s="1"/>
  <c r="N156" i="1"/>
  <c r="Q156" i="1" s="1"/>
  <c r="R156" i="1" s="1"/>
  <c r="N157" i="1"/>
  <c r="Q157" i="1" s="1"/>
  <c r="R157" i="1" s="1"/>
  <c r="N158" i="1"/>
  <c r="Q158" i="1" s="1"/>
  <c r="R158" i="1" s="1"/>
  <c r="N159" i="1"/>
  <c r="Q159" i="1" s="1"/>
  <c r="R159" i="1" s="1"/>
  <c r="N160" i="1"/>
  <c r="Q160" i="1" s="1"/>
  <c r="R160" i="1" s="1"/>
  <c r="N161" i="1"/>
  <c r="Q161" i="1" s="1"/>
  <c r="R161" i="1" s="1"/>
  <c r="N162" i="1"/>
  <c r="Q162" i="1" s="1"/>
  <c r="R162" i="1" s="1"/>
  <c r="N163" i="1"/>
  <c r="Q163" i="1" s="1"/>
  <c r="R163" i="1" s="1"/>
  <c r="N164" i="1"/>
  <c r="Q164" i="1" s="1"/>
  <c r="R164" i="1" s="1"/>
  <c r="N165" i="1"/>
  <c r="Q165" i="1" s="1"/>
  <c r="R165" i="1" s="1"/>
  <c r="N166" i="1"/>
  <c r="Q166" i="1" s="1"/>
  <c r="R166" i="1" s="1"/>
  <c r="N167" i="1"/>
  <c r="Q167" i="1" s="1"/>
  <c r="R167" i="1" s="1"/>
  <c r="N168" i="1"/>
  <c r="Q168" i="1" s="1"/>
  <c r="R168" i="1" s="1"/>
  <c r="N169" i="1"/>
  <c r="Q169" i="1" s="1"/>
  <c r="R169" i="1" s="1"/>
  <c r="N170" i="1"/>
  <c r="Q170" i="1" s="1"/>
  <c r="R170" i="1" s="1"/>
  <c r="N171" i="1"/>
  <c r="Q171" i="1" s="1"/>
  <c r="R171" i="1" s="1"/>
  <c r="N172" i="1"/>
  <c r="Q172" i="1" s="1"/>
  <c r="R172" i="1" s="1"/>
  <c r="N173" i="1"/>
  <c r="Q173" i="1" s="1"/>
  <c r="R173" i="1" s="1"/>
  <c r="N174" i="1"/>
  <c r="Q174" i="1" s="1"/>
  <c r="R174" i="1" s="1"/>
  <c r="N175" i="1"/>
  <c r="Q175" i="1" s="1"/>
  <c r="R175" i="1" s="1"/>
  <c r="N176" i="1"/>
  <c r="Q176" i="1" s="1"/>
  <c r="R176" i="1" s="1"/>
  <c r="N177" i="1"/>
  <c r="Q177" i="1" s="1"/>
  <c r="R177" i="1" s="1"/>
  <c r="N178" i="1"/>
  <c r="Q178" i="1" s="1"/>
  <c r="R178" i="1" s="1"/>
  <c r="N179" i="1"/>
  <c r="Q179" i="1" s="1"/>
  <c r="R179" i="1" s="1"/>
  <c r="N180" i="1"/>
  <c r="Q180" i="1" s="1"/>
  <c r="R180" i="1" s="1"/>
  <c r="N181" i="1"/>
  <c r="Q181" i="1" s="1"/>
  <c r="R181" i="1" s="1"/>
  <c r="N182" i="1"/>
  <c r="Q182" i="1" s="1"/>
  <c r="R182" i="1" s="1"/>
  <c r="N183" i="1"/>
  <c r="Q183" i="1" s="1"/>
  <c r="R183" i="1" s="1"/>
  <c r="N184" i="1"/>
  <c r="Q184" i="1" s="1"/>
  <c r="R184" i="1" s="1"/>
  <c r="N185" i="1"/>
  <c r="Q185" i="1" s="1"/>
  <c r="R185" i="1" s="1"/>
  <c r="N186" i="1"/>
  <c r="Q186" i="1" s="1"/>
  <c r="R186" i="1" s="1"/>
  <c r="N187" i="1"/>
  <c r="Q187" i="1" s="1"/>
  <c r="R187" i="1" s="1"/>
  <c r="N188" i="1"/>
  <c r="Q188" i="1" s="1"/>
  <c r="R188" i="1" s="1"/>
  <c r="N189" i="1"/>
  <c r="Q189" i="1" s="1"/>
  <c r="R189" i="1" s="1"/>
  <c r="N190" i="1"/>
  <c r="Q190" i="1" s="1"/>
  <c r="R190" i="1" s="1"/>
  <c r="N191" i="1"/>
  <c r="Q191" i="1" s="1"/>
  <c r="R191" i="1" s="1"/>
  <c r="N192" i="1"/>
  <c r="Q192" i="1" s="1"/>
  <c r="R192" i="1" s="1"/>
  <c r="N193" i="1"/>
  <c r="Q193" i="1" s="1"/>
  <c r="R193" i="1" s="1"/>
  <c r="N194" i="1"/>
  <c r="Q194" i="1" s="1"/>
  <c r="R194" i="1" s="1"/>
  <c r="N195" i="1"/>
  <c r="Q195" i="1" s="1"/>
  <c r="R195" i="1" s="1"/>
  <c r="N196" i="1"/>
  <c r="Q196" i="1" s="1"/>
  <c r="R196" i="1" s="1"/>
  <c r="N197" i="1"/>
  <c r="Q197" i="1" s="1"/>
  <c r="R197" i="1" s="1"/>
  <c r="N198" i="1"/>
  <c r="Q198" i="1" s="1"/>
  <c r="R198" i="1" s="1"/>
  <c r="N199" i="1"/>
  <c r="Q199" i="1" s="1"/>
  <c r="R199" i="1" s="1"/>
  <c r="N200" i="1"/>
  <c r="Q200" i="1" s="1"/>
  <c r="R200" i="1" s="1"/>
  <c r="N201" i="1"/>
  <c r="Q201" i="1" s="1"/>
  <c r="R201" i="1" s="1"/>
  <c r="N202" i="1"/>
  <c r="Q202" i="1" s="1"/>
  <c r="R202" i="1" s="1"/>
  <c r="N203" i="1"/>
  <c r="Q203" i="1" s="1"/>
  <c r="R203" i="1" s="1"/>
  <c r="N204" i="1"/>
  <c r="Q204" i="1" s="1"/>
  <c r="R204" i="1" s="1"/>
  <c r="N205" i="1"/>
  <c r="Q205" i="1" s="1"/>
  <c r="R205" i="1" s="1"/>
  <c r="N206" i="1"/>
  <c r="Q206" i="1" s="1"/>
  <c r="R206" i="1" s="1"/>
  <c r="N207" i="1"/>
  <c r="Q207" i="1" s="1"/>
  <c r="R207" i="1" s="1"/>
  <c r="N208" i="1"/>
  <c r="Q208" i="1" s="1"/>
  <c r="R208" i="1" s="1"/>
  <c r="N209" i="1"/>
  <c r="Q209" i="1" s="1"/>
  <c r="R209" i="1" s="1"/>
  <c r="N210" i="1"/>
  <c r="Q210" i="1" s="1"/>
  <c r="R210" i="1" s="1"/>
  <c r="N211" i="1"/>
  <c r="Q211" i="1" s="1"/>
  <c r="R211" i="1" s="1"/>
  <c r="N212" i="1"/>
  <c r="Q212" i="1" s="1"/>
  <c r="R212" i="1" s="1"/>
  <c r="N213" i="1"/>
  <c r="Q213" i="1" s="1"/>
  <c r="R213" i="1" s="1"/>
  <c r="N214" i="1"/>
  <c r="Q214" i="1" s="1"/>
  <c r="R214" i="1" s="1"/>
  <c r="N215" i="1"/>
  <c r="Q215" i="1" s="1"/>
  <c r="R215" i="1" s="1"/>
  <c r="N216" i="1"/>
  <c r="Q216" i="1" s="1"/>
  <c r="R216" i="1" s="1"/>
  <c r="N217" i="1"/>
  <c r="Q217" i="1" s="1"/>
  <c r="R217" i="1" s="1"/>
  <c r="N218" i="1"/>
  <c r="Q218" i="1" s="1"/>
  <c r="R218" i="1" s="1"/>
  <c r="N219" i="1"/>
  <c r="Q219" i="1" s="1"/>
  <c r="R219" i="1" s="1"/>
  <c r="N220" i="1"/>
  <c r="Q220" i="1" s="1"/>
  <c r="R220" i="1" s="1"/>
  <c r="N221" i="1"/>
  <c r="Q221" i="1" s="1"/>
  <c r="R221" i="1" s="1"/>
  <c r="N222" i="1"/>
  <c r="Q222" i="1" s="1"/>
  <c r="R222" i="1" s="1"/>
  <c r="N223" i="1"/>
  <c r="Q223" i="1" s="1"/>
  <c r="R223" i="1" s="1"/>
  <c r="N224" i="1"/>
  <c r="Q224" i="1" s="1"/>
  <c r="R224" i="1" s="1"/>
  <c r="N225" i="1"/>
  <c r="Q225" i="1" s="1"/>
  <c r="R225" i="1" s="1"/>
  <c r="N226" i="1"/>
  <c r="Q226" i="1" s="1"/>
  <c r="R226" i="1" s="1"/>
  <c r="N227" i="1"/>
  <c r="Q227" i="1" s="1"/>
  <c r="R227" i="1" s="1"/>
  <c r="N228" i="1"/>
  <c r="Q228" i="1" s="1"/>
  <c r="R228" i="1" s="1"/>
  <c r="N229" i="1"/>
  <c r="Q229" i="1" s="1"/>
  <c r="R229" i="1" s="1"/>
  <c r="N230" i="1"/>
  <c r="Q230" i="1" s="1"/>
  <c r="R230" i="1" s="1"/>
  <c r="N231" i="1"/>
  <c r="Q231" i="1" s="1"/>
  <c r="R231" i="1" s="1"/>
  <c r="N232" i="1"/>
  <c r="Q232" i="1" s="1"/>
  <c r="R232" i="1" s="1"/>
  <c r="N233" i="1"/>
  <c r="Q233" i="1" s="1"/>
  <c r="R233" i="1" s="1"/>
  <c r="N234" i="1"/>
  <c r="Q234" i="1" s="1"/>
  <c r="R234" i="1" s="1"/>
  <c r="N235" i="1"/>
  <c r="Q235" i="1" s="1"/>
  <c r="R235" i="1" s="1"/>
  <c r="N236" i="1"/>
  <c r="Q236" i="1" s="1"/>
  <c r="R236" i="1" s="1"/>
  <c r="N237" i="1"/>
  <c r="Q237" i="1" s="1"/>
  <c r="R237" i="1" s="1"/>
  <c r="N238" i="1"/>
  <c r="Q238" i="1" s="1"/>
  <c r="R238" i="1" s="1"/>
  <c r="N239" i="1"/>
  <c r="Q239" i="1" s="1"/>
  <c r="R239" i="1" s="1"/>
  <c r="N240" i="1"/>
  <c r="Q240" i="1" s="1"/>
  <c r="R240" i="1" s="1"/>
  <c r="N241" i="1"/>
  <c r="Q241" i="1" s="1"/>
  <c r="R241" i="1" s="1"/>
  <c r="N242" i="1"/>
  <c r="Q242" i="1" s="1"/>
  <c r="R242" i="1" s="1"/>
  <c r="N243" i="1"/>
  <c r="Q243" i="1" s="1"/>
  <c r="R243" i="1" s="1"/>
  <c r="N245" i="1"/>
  <c r="Q245" i="1" s="1"/>
  <c r="R245" i="1" s="1"/>
  <c r="N115" i="1"/>
  <c r="R115" i="1" s="1"/>
  <c r="N116" i="1"/>
  <c r="R116" i="1" s="1"/>
  <c r="N117" i="1"/>
  <c r="R117" i="1" s="1"/>
  <c r="N118" i="1"/>
  <c r="R118" i="1" s="1"/>
  <c r="N119" i="1"/>
  <c r="R119" i="1" s="1"/>
  <c r="N120" i="1"/>
  <c r="R120" i="1" s="1"/>
  <c r="N121" i="1"/>
  <c r="R121" i="1" s="1"/>
  <c r="N122" i="1"/>
  <c r="R122" i="1" s="1"/>
  <c r="N124" i="1"/>
  <c r="Q124" i="1" s="1"/>
  <c r="R124" i="1" s="1"/>
  <c r="N4" i="1"/>
  <c r="R4" i="1" s="1"/>
  <c r="N5" i="1"/>
  <c r="R5" i="1" s="1"/>
  <c r="N6" i="1"/>
  <c r="R6" i="1" s="1"/>
  <c r="N7" i="1"/>
  <c r="R7" i="1" s="1"/>
  <c r="N8" i="1"/>
  <c r="R8" i="1" s="1"/>
  <c r="N9" i="1"/>
  <c r="R9" i="1" s="1"/>
  <c r="N10" i="1"/>
  <c r="R10" i="1" s="1"/>
  <c r="N11" i="1"/>
  <c r="R11" i="1" s="1"/>
  <c r="N12" i="1"/>
  <c r="R12" i="1" s="1"/>
  <c r="N13" i="1"/>
  <c r="R13" i="1" s="1"/>
  <c r="N14" i="1"/>
  <c r="R14" i="1" s="1"/>
  <c r="N15" i="1"/>
  <c r="R15" i="1" s="1"/>
  <c r="N16" i="1"/>
  <c r="R16" i="1" s="1"/>
  <c r="N17" i="1"/>
  <c r="R17" i="1" s="1"/>
  <c r="N18" i="1"/>
  <c r="R18" i="1" s="1"/>
  <c r="N19" i="1"/>
  <c r="R19" i="1" s="1"/>
  <c r="N20" i="1"/>
  <c r="R20" i="1" s="1"/>
  <c r="N21" i="1"/>
  <c r="R21" i="1" s="1"/>
  <c r="N22" i="1"/>
  <c r="R22" i="1" s="1"/>
  <c r="N23" i="1"/>
  <c r="R23" i="1" s="1"/>
  <c r="N24" i="1"/>
  <c r="R24" i="1" s="1"/>
  <c r="N25" i="1"/>
  <c r="R25" i="1" s="1"/>
  <c r="N26" i="1"/>
  <c r="R26" i="1" s="1"/>
  <c r="N27" i="1"/>
  <c r="R27" i="1" s="1"/>
  <c r="N28" i="1"/>
  <c r="R28" i="1" s="1"/>
  <c r="N29" i="1"/>
  <c r="R29" i="1" s="1"/>
  <c r="N30" i="1"/>
  <c r="R30" i="1" s="1"/>
  <c r="N31" i="1"/>
  <c r="R31" i="1" s="1"/>
  <c r="N32" i="1"/>
  <c r="R32" i="1" s="1"/>
  <c r="N33" i="1"/>
  <c r="R33" i="1" s="1"/>
  <c r="N34" i="1"/>
  <c r="R34" i="1" s="1"/>
  <c r="N35" i="1"/>
  <c r="R35" i="1" s="1"/>
  <c r="N36" i="1"/>
  <c r="R36" i="1" s="1"/>
  <c r="N37" i="1"/>
  <c r="R37" i="1" s="1"/>
  <c r="N38" i="1"/>
  <c r="R38" i="1" s="1"/>
  <c r="N39" i="1"/>
  <c r="R39" i="1" s="1"/>
  <c r="N40" i="1"/>
  <c r="R40" i="1" s="1"/>
  <c r="N41" i="1"/>
  <c r="R41" i="1" s="1"/>
  <c r="N42" i="1"/>
  <c r="R42" i="1" s="1"/>
  <c r="N43" i="1"/>
  <c r="R43" i="1" s="1"/>
  <c r="N44" i="1"/>
  <c r="R44" i="1" s="1"/>
  <c r="N45" i="1"/>
  <c r="R45" i="1" s="1"/>
  <c r="N46" i="1"/>
  <c r="R46" i="1" s="1"/>
  <c r="N47" i="1"/>
  <c r="R47" i="1" s="1"/>
  <c r="N48" i="1"/>
  <c r="R48" i="1" s="1"/>
  <c r="N49" i="1"/>
  <c r="R49" i="1" s="1"/>
  <c r="N50" i="1"/>
  <c r="R50" i="1" s="1"/>
  <c r="N51" i="1"/>
  <c r="R51" i="1" s="1"/>
  <c r="N52" i="1"/>
  <c r="R52" i="1" s="1"/>
  <c r="N53" i="1"/>
  <c r="R53" i="1" s="1"/>
  <c r="N54" i="1"/>
  <c r="R54" i="1" s="1"/>
  <c r="N55" i="1"/>
  <c r="R55" i="1" s="1"/>
  <c r="N56" i="1"/>
  <c r="R56" i="1" s="1"/>
  <c r="N57" i="1"/>
  <c r="R57" i="1" s="1"/>
  <c r="N58" i="1"/>
  <c r="R58" i="1" s="1"/>
  <c r="N59" i="1"/>
  <c r="R59" i="1" s="1"/>
  <c r="N60" i="1"/>
  <c r="R60" i="1" s="1"/>
  <c r="N61" i="1"/>
  <c r="R61" i="1" s="1"/>
  <c r="N62" i="1"/>
  <c r="R62" i="1" s="1"/>
  <c r="N63" i="1"/>
  <c r="R63" i="1" s="1"/>
  <c r="N64" i="1"/>
  <c r="R64" i="1" s="1"/>
  <c r="N65" i="1"/>
  <c r="R65" i="1" s="1"/>
  <c r="N66" i="1"/>
  <c r="R66" i="1" s="1"/>
  <c r="N67" i="1"/>
  <c r="R67" i="1" s="1"/>
  <c r="N68" i="1"/>
  <c r="R68" i="1" s="1"/>
  <c r="N69" i="1"/>
  <c r="R69" i="1" s="1"/>
  <c r="N70" i="1"/>
  <c r="R70" i="1" s="1"/>
  <c r="N71" i="1"/>
  <c r="R71" i="1" s="1"/>
  <c r="N72" i="1"/>
  <c r="R72" i="1" s="1"/>
  <c r="N73" i="1"/>
  <c r="R73" i="1" s="1"/>
  <c r="N74" i="1"/>
  <c r="R74" i="1" s="1"/>
  <c r="N75" i="1"/>
  <c r="R75" i="1" s="1"/>
  <c r="N76" i="1"/>
  <c r="R76" i="1" s="1"/>
  <c r="N77" i="1"/>
  <c r="R77" i="1" s="1"/>
  <c r="N78" i="1"/>
  <c r="R78" i="1" s="1"/>
  <c r="N79" i="1"/>
  <c r="R79" i="1" s="1"/>
  <c r="N80" i="1"/>
  <c r="R80" i="1" s="1"/>
  <c r="N81" i="1"/>
  <c r="R81" i="1" s="1"/>
  <c r="N82" i="1"/>
  <c r="R82" i="1" s="1"/>
  <c r="N83" i="1"/>
  <c r="R83" i="1" s="1"/>
  <c r="N84" i="1"/>
  <c r="R84" i="1" s="1"/>
  <c r="N85" i="1"/>
  <c r="R85" i="1" s="1"/>
  <c r="N86" i="1"/>
  <c r="R86" i="1" s="1"/>
  <c r="N87" i="1"/>
  <c r="R87" i="1" s="1"/>
  <c r="N88" i="1"/>
  <c r="R88" i="1" s="1"/>
  <c r="N89" i="1"/>
  <c r="R89" i="1" s="1"/>
  <c r="N90" i="1"/>
  <c r="R90" i="1" s="1"/>
  <c r="N91" i="1"/>
  <c r="R91" i="1" s="1"/>
  <c r="N92" i="1"/>
  <c r="R92" i="1" s="1"/>
  <c r="N93" i="1"/>
  <c r="R93" i="1" s="1"/>
  <c r="N94" i="1"/>
  <c r="R94" i="1" s="1"/>
  <c r="N95" i="1"/>
  <c r="R95" i="1" s="1"/>
  <c r="N96" i="1"/>
  <c r="R96" i="1" s="1"/>
  <c r="N97" i="1"/>
  <c r="R97" i="1" s="1"/>
  <c r="N98" i="1"/>
  <c r="R98" i="1" s="1"/>
  <c r="N99" i="1"/>
  <c r="R99" i="1" s="1"/>
  <c r="N100" i="1"/>
  <c r="R100" i="1" s="1"/>
  <c r="N101" i="1"/>
  <c r="R101" i="1" s="1"/>
  <c r="N102" i="1"/>
  <c r="R102" i="1" s="1"/>
  <c r="N103" i="1"/>
  <c r="R103" i="1" s="1"/>
  <c r="N104" i="1"/>
  <c r="R104" i="1" s="1"/>
  <c r="N105" i="1"/>
  <c r="R105" i="1" s="1"/>
  <c r="N106" i="1"/>
  <c r="R106" i="1" s="1"/>
  <c r="N107" i="1"/>
  <c r="R107" i="1" s="1"/>
  <c r="N108" i="1"/>
  <c r="R108" i="1" s="1"/>
  <c r="N109" i="1"/>
  <c r="R109" i="1" s="1"/>
  <c r="N110" i="1"/>
  <c r="R110" i="1" s="1"/>
  <c r="N111" i="1"/>
  <c r="R111" i="1" s="1"/>
  <c r="N112" i="1"/>
  <c r="R112" i="1" s="1"/>
  <c r="N113" i="1"/>
  <c r="R113" i="1" s="1"/>
  <c r="N114" i="1"/>
  <c r="R114" i="1" s="1"/>
  <c r="N3" i="1"/>
  <c r="R3" i="1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2" i="2"/>
  <c r="AA154" i="1" l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81" i="1"/>
  <c r="AA168" i="1"/>
  <c r="AA169" i="1"/>
  <c r="AA170" i="1"/>
  <c r="AA171" i="1"/>
  <c r="AA172" i="1"/>
  <c r="AA173" i="1"/>
  <c r="AA174" i="1"/>
  <c r="AA175" i="1"/>
  <c r="AA176" i="1"/>
  <c r="AA178" i="1"/>
  <c r="AA179" i="1"/>
  <c r="AA180" i="1"/>
  <c r="AA182" i="1"/>
  <c r="AA18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42" i="1"/>
  <c r="AA137" i="1"/>
  <c r="AA143" i="1"/>
  <c r="AA144" i="1"/>
  <c r="AA148" i="1"/>
  <c r="AA149" i="1"/>
  <c r="AA139" i="1"/>
  <c r="AA151" i="1"/>
  <c r="AA145" i="1"/>
  <c r="AA150" i="1"/>
  <c r="AA152" i="1"/>
  <c r="AA146" i="1"/>
  <c r="AA147" i="1"/>
  <c r="AA140" i="1"/>
  <c r="AA153" i="1"/>
  <c r="AA177" i="1"/>
  <c r="AA138" i="1"/>
  <c r="AA141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41" i="1"/>
  <c r="AA228" i="1"/>
  <c r="AA229" i="1"/>
  <c r="AA230" i="1"/>
  <c r="AA231" i="1"/>
  <c r="AA232" i="1"/>
  <c r="AA233" i="1"/>
  <c r="AA234" i="1"/>
  <c r="AA235" i="1"/>
  <c r="AA236" i="1"/>
  <c r="AA238" i="1"/>
  <c r="AA239" i="1"/>
  <c r="AA240" i="1"/>
  <c r="AA242" i="1"/>
  <c r="AA24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202" i="1"/>
  <c r="AA197" i="1"/>
  <c r="AA203" i="1"/>
  <c r="AA204" i="1"/>
  <c r="AA208" i="1"/>
  <c r="AA209" i="1"/>
  <c r="AA199" i="1"/>
  <c r="AA211" i="1"/>
  <c r="AA205" i="1"/>
  <c r="AA210" i="1"/>
  <c r="AA212" i="1"/>
  <c r="AA206" i="1"/>
  <c r="AA207" i="1"/>
  <c r="AA200" i="1"/>
  <c r="AA213" i="1"/>
  <c r="AA237" i="1"/>
  <c r="AA198" i="1"/>
  <c r="AA201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302" i="1"/>
  <c r="AA289" i="1"/>
  <c r="AA290" i="1"/>
  <c r="AA291" i="1"/>
  <c r="AA292" i="1"/>
  <c r="AA293" i="1"/>
  <c r="AA294" i="1"/>
  <c r="AA295" i="1"/>
  <c r="AA296" i="1"/>
  <c r="AA297" i="1"/>
  <c r="AA299" i="1"/>
  <c r="AA300" i="1"/>
  <c r="AA301" i="1"/>
  <c r="AA303" i="1"/>
  <c r="AA30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63" i="1"/>
  <c r="AA258" i="1"/>
  <c r="AA264" i="1"/>
  <c r="AA265" i="1"/>
  <c r="AA269" i="1"/>
  <c r="AA270" i="1"/>
  <c r="AA260" i="1"/>
  <c r="AA272" i="1"/>
  <c r="AA266" i="1"/>
  <c r="AA271" i="1"/>
  <c r="AA273" i="1"/>
  <c r="AA267" i="1"/>
  <c r="AA268" i="1"/>
  <c r="AA261" i="1"/>
  <c r="AA274" i="1"/>
  <c r="AA298" i="1"/>
  <c r="AA259" i="1"/>
  <c r="AA262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62" i="1"/>
  <c r="AA349" i="1"/>
  <c r="AA350" i="1"/>
  <c r="AA351" i="1"/>
  <c r="AA352" i="1"/>
  <c r="AA353" i="1"/>
  <c r="AA354" i="1"/>
  <c r="AA355" i="1"/>
  <c r="AA356" i="1"/>
  <c r="AA357" i="1"/>
  <c r="AA359" i="1"/>
  <c r="AA360" i="1"/>
  <c r="AA361" i="1"/>
  <c r="AA363" i="1"/>
  <c r="AA36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23" i="1"/>
  <c r="AA318" i="1"/>
  <c r="AA324" i="1"/>
  <c r="AA325" i="1"/>
  <c r="AA329" i="1"/>
  <c r="AA330" i="1"/>
  <c r="AA320" i="1"/>
  <c r="AA332" i="1"/>
  <c r="AA326" i="1"/>
  <c r="AA331" i="1"/>
  <c r="AA333" i="1"/>
  <c r="AA327" i="1"/>
  <c r="AA328" i="1"/>
  <c r="AA321" i="1"/>
  <c r="AA334" i="1"/>
  <c r="AA358" i="1"/>
  <c r="AA319" i="1"/>
  <c r="AA322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23" i="1"/>
  <c r="AA410" i="1"/>
  <c r="AA411" i="1"/>
  <c r="AA412" i="1"/>
  <c r="AA413" i="1"/>
  <c r="AA414" i="1"/>
  <c r="AA415" i="1"/>
  <c r="AA416" i="1"/>
  <c r="AA417" i="1"/>
  <c r="AA418" i="1"/>
  <c r="AA420" i="1"/>
  <c r="AA421" i="1"/>
  <c r="AA422" i="1"/>
  <c r="AA424" i="1"/>
  <c r="AA42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84" i="1"/>
  <c r="AA379" i="1"/>
  <c r="AA385" i="1"/>
  <c r="AA386" i="1"/>
  <c r="AA390" i="1"/>
  <c r="AA391" i="1"/>
  <c r="AA381" i="1"/>
  <c r="AA393" i="1"/>
  <c r="AA387" i="1"/>
  <c r="AA392" i="1"/>
  <c r="AA394" i="1"/>
  <c r="AA388" i="1"/>
  <c r="AA389" i="1"/>
  <c r="AA382" i="1"/>
  <c r="AA395" i="1"/>
  <c r="AA419" i="1"/>
  <c r="AA380" i="1"/>
  <c r="AA383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83" i="1"/>
  <c r="AA470" i="1"/>
  <c r="AA471" i="1"/>
  <c r="AA472" i="1"/>
  <c r="AA473" i="1"/>
  <c r="AA474" i="1"/>
  <c r="AA475" i="1"/>
  <c r="AA476" i="1"/>
  <c r="AA477" i="1"/>
  <c r="AA478" i="1"/>
  <c r="AA480" i="1"/>
  <c r="AA481" i="1"/>
  <c r="AA482" i="1"/>
  <c r="AA484" i="1"/>
  <c r="AA48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44" i="1"/>
  <c r="AA439" i="1"/>
  <c r="AA445" i="1"/>
  <c r="AA446" i="1"/>
  <c r="AA450" i="1"/>
  <c r="AA451" i="1"/>
  <c r="AA441" i="1"/>
  <c r="AA453" i="1"/>
  <c r="AA447" i="1"/>
  <c r="AA452" i="1"/>
  <c r="AA454" i="1"/>
  <c r="AA448" i="1"/>
  <c r="AA449" i="1"/>
  <c r="AA442" i="1"/>
  <c r="AA455" i="1"/>
  <c r="AA479" i="1"/>
  <c r="AA440" i="1"/>
  <c r="AA443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44" i="1"/>
  <c r="AA531" i="1"/>
  <c r="AA532" i="1"/>
  <c r="AA533" i="1"/>
  <c r="AA534" i="1"/>
  <c r="AA535" i="1"/>
  <c r="AA536" i="1"/>
  <c r="AA537" i="1"/>
  <c r="AA538" i="1"/>
  <c r="AA539" i="1"/>
  <c r="AA541" i="1"/>
  <c r="AA542" i="1"/>
  <c r="AA543" i="1"/>
  <c r="AA545" i="1"/>
  <c r="AA54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5" i="1"/>
  <c r="AA500" i="1"/>
  <c r="AA506" i="1"/>
  <c r="AA507" i="1"/>
  <c r="AA511" i="1"/>
  <c r="AA512" i="1"/>
  <c r="AA502" i="1"/>
  <c r="AA514" i="1"/>
  <c r="AA508" i="1"/>
  <c r="AA513" i="1"/>
  <c r="AA515" i="1"/>
  <c r="AA509" i="1"/>
  <c r="AA510" i="1"/>
  <c r="AA503" i="1"/>
  <c r="AA516" i="1"/>
  <c r="AA540" i="1"/>
  <c r="AA501" i="1"/>
  <c r="AA504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605" i="1"/>
  <c r="AA592" i="1"/>
  <c r="AA593" i="1"/>
  <c r="AA594" i="1"/>
  <c r="AA595" i="1"/>
  <c r="AA596" i="1"/>
  <c r="AA597" i="1"/>
  <c r="AA598" i="1"/>
  <c r="AA599" i="1"/>
  <c r="AA600" i="1"/>
  <c r="AA602" i="1"/>
  <c r="AA603" i="1"/>
  <c r="AA604" i="1"/>
  <c r="AA606" i="1"/>
  <c r="AA60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6" i="1"/>
  <c r="AA561" i="1"/>
  <c r="AA567" i="1"/>
  <c r="AA568" i="1"/>
  <c r="AA572" i="1"/>
  <c r="AA573" i="1"/>
  <c r="AA563" i="1"/>
  <c r="AA575" i="1"/>
  <c r="AA569" i="1"/>
  <c r="AA574" i="1"/>
  <c r="AA576" i="1"/>
  <c r="AA570" i="1"/>
  <c r="AA571" i="1"/>
  <c r="AA564" i="1"/>
  <c r="AA577" i="1"/>
  <c r="AA601" i="1"/>
  <c r="AA562" i="1"/>
  <c r="AA565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65" i="1"/>
  <c r="AA652" i="1"/>
  <c r="AA653" i="1"/>
  <c r="AA654" i="1"/>
  <c r="AA655" i="1"/>
  <c r="AA656" i="1"/>
  <c r="AA657" i="1"/>
  <c r="AA658" i="1"/>
  <c r="AA659" i="1"/>
  <c r="AA660" i="1"/>
  <c r="AA662" i="1"/>
  <c r="AA663" i="1"/>
  <c r="AA664" i="1"/>
  <c r="AA666" i="1"/>
  <c r="AA66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6" i="1"/>
  <c r="AA621" i="1"/>
  <c r="AA627" i="1"/>
  <c r="AA628" i="1"/>
  <c r="AA632" i="1"/>
  <c r="AA633" i="1"/>
  <c r="AA623" i="1"/>
  <c r="AA635" i="1"/>
  <c r="AA629" i="1"/>
  <c r="AA634" i="1"/>
  <c r="AA636" i="1"/>
  <c r="AA630" i="1"/>
  <c r="AA631" i="1"/>
  <c r="AA624" i="1"/>
  <c r="AA637" i="1"/>
  <c r="AA661" i="1"/>
  <c r="AA622" i="1"/>
  <c r="AA625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26" i="1"/>
  <c r="AA713" i="1"/>
  <c r="AA714" i="1"/>
  <c r="AA715" i="1"/>
  <c r="AA716" i="1"/>
  <c r="AA717" i="1"/>
  <c r="AA718" i="1"/>
  <c r="AA719" i="1"/>
  <c r="AA720" i="1"/>
  <c r="AA721" i="1"/>
  <c r="AA723" i="1"/>
  <c r="AA724" i="1"/>
  <c r="AA725" i="1"/>
  <c r="AA727" i="1"/>
  <c r="AA72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7" i="1"/>
  <c r="AA682" i="1"/>
  <c r="AA688" i="1"/>
  <c r="AA689" i="1"/>
  <c r="AA693" i="1"/>
  <c r="AA694" i="1"/>
  <c r="AA684" i="1"/>
  <c r="AA696" i="1"/>
  <c r="AA690" i="1"/>
  <c r="AA695" i="1"/>
  <c r="AA697" i="1"/>
  <c r="AA691" i="1"/>
  <c r="AA692" i="1"/>
  <c r="AA685" i="1"/>
  <c r="AA698" i="1"/>
  <c r="AA722" i="1"/>
  <c r="AA683" i="1"/>
  <c r="AA686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86" i="1"/>
  <c r="AA773" i="1"/>
  <c r="AA774" i="1"/>
  <c r="AA775" i="1"/>
  <c r="AA776" i="1"/>
  <c r="AA777" i="1"/>
  <c r="AA778" i="1"/>
  <c r="AA779" i="1"/>
  <c r="AA780" i="1"/>
  <c r="AA781" i="1"/>
  <c r="AA783" i="1"/>
  <c r="AA784" i="1"/>
  <c r="AA785" i="1"/>
  <c r="AA787" i="1"/>
  <c r="AA78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7" i="1"/>
  <c r="AA742" i="1"/>
  <c r="AA748" i="1"/>
  <c r="AA749" i="1"/>
  <c r="AA753" i="1"/>
  <c r="AA754" i="1"/>
  <c r="AA744" i="1"/>
  <c r="AA756" i="1"/>
  <c r="AA750" i="1"/>
  <c r="AA755" i="1"/>
  <c r="AA757" i="1"/>
  <c r="AA751" i="1"/>
  <c r="AA752" i="1"/>
  <c r="AA745" i="1"/>
  <c r="AA758" i="1"/>
  <c r="AA782" i="1"/>
  <c r="AA743" i="1"/>
  <c r="AA746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60" i="1"/>
  <c r="AA47" i="1"/>
  <c r="AA48" i="1"/>
  <c r="AA49" i="1"/>
  <c r="AA50" i="1"/>
  <c r="AA51" i="1"/>
  <c r="AA52" i="1"/>
  <c r="AA53" i="1"/>
  <c r="AA54" i="1"/>
  <c r="AA55" i="1"/>
  <c r="AA57" i="1"/>
  <c r="AA58" i="1"/>
  <c r="AA59" i="1"/>
  <c r="AA61" i="1"/>
  <c r="AA6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21" i="1"/>
  <c r="AA16" i="1"/>
  <c r="AA22" i="1"/>
  <c r="AA23" i="1"/>
  <c r="AA27" i="1"/>
  <c r="AA28" i="1"/>
  <c r="AA18" i="1"/>
  <c r="AA30" i="1"/>
  <c r="AA24" i="1"/>
  <c r="AA29" i="1"/>
  <c r="AA31" i="1"/>
  <c r="AA25" i="1"/>
  <c r="AA26" i="1"/>
  <c r="AA19" i="1"/>
  <c r="AA32" i="1"/>
  <c r="AA56" i="1"/>
  <c r="AA17" i="1"/>
  <c r="AA20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20" i="1"/>
  <c r="AA107" i="1"/>
  <c r="AA108" i="1"/>
  <c r="AA109" i="1"/>
  <c r="AA110" i="1"/>
  <c r="AA111" i="1"/>
  <c r="AA112" i="1"/>
  <c r="AA113" i="1"/>
  <c r="AA114" i="1"/>
  <c r="AA115" i="1"/>
  <c r="AA117" i="1"/>
  <c r="AA118" i="1"/>
  <c r="AA119" i="1"/>
  <c r="AA121" i="1"/>
  <c r="AA12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81" i="1"/>
  <c r="AA76" i="1"/>
  <c r="AA82" i="1"/>
  <c r="AA83" i="1"/>
  <c r="AA87" i="1"/>
  <c r="AA88" i="1"/>
  <c r="AA78" i="1"/>
  <c r="AA90" i="1"/>
  <c r="AA84" i="1"/>
  <c r="AA89" i="1"/>
  <c r="AA91" i="1"/>
  <c r="AA85" i="1"/>
  <c r="AA86" i="1"/>
  <c r="AA79" i="1"/>
  <c r="AA92" i="1"/>
  <c r="AA116" i="1"/>
  <c r="AA77" i="1"/>
  <c r="AA80" i="1"/>
  <c r="AA33" i="1"/>
  <c r="S17" i="1"/>
  <c r="T17" i="1" s="1"/>
  <c r="U17" i="1" s="1"/>
  <c r="S16" i="1"/>
  <c r="T16" i="1" s="1"/>
  <c r="U16" i="1" s="1"/>
  <c r="S6" i="1"/>
  <c r="T6" i="1" s="1"/>
  <c r="U6" i="1" s="1"/>
  <c r="S7" i="1"/>
  <c r="T7" i="1" s="1"/>
  <c r="U7" i="1" s="1"/>
  <c r="S8" i="1"/>
  <c r="T8" i="1" s="1"/>
  <c r="U8" i="1" s="1"/>
  <c r="S9" i="1"/>
  <c r="T9" i="1" s="1"/>
  <c r="U9" i="1" s="1"/>
  <c r="S10" i="1"/>
  <c r="T10" i="1" s="1"/>
  <c r="U10" i="1" s="1"/>
  <c r="S11" i="1"/>
  <c r="T11" i="1" s="1"/>
  <c r="U11" i="1" s="1"/>
  <c r="S12" i="1"/>
  <c r="T12" i="1" s="1"/>
  <c r="U12" i="1" s="1"/>
  <c r="S13" i="1"/>
  <c r="T13" i="1" s="1"/>
  <c r="U13" i="1" s="1"/>
  <c r="S14" i="1"/>
  <c r="T14" i="1" s="1"/>
  <c r="U14" i="1" s="1"/>
  <c r="S5" i="1"/>
  <c r="T5" i="1" s="1"/>
  <c r="U5" i="1" s="1"/>
  <c r="AB5" i="1" s="1"/>
  <c r="S4" i="1"/>
  <c r="T4" i="1" s="1"/>
  <c r="U4" i="1" s="1"/>
  <c r="S3" i="1"/>
  <c r="T3" i="1" s="1"/>
  <c r="U3" i="1" s="1"/>
  <c r="S19" i="1"/>
  <c r="T19" i="1" s="1"/>
  <c r="U19" i="1" s="1"/>
  <c r="AB19" i="1" s="1"/>
  <c r="S18" i="1"/>
  <c r="T18" i="1" s="1"/>
  <c r="U18" i="1" s="1"/>
  <c r="S20" i="1"/>
  <c r="T20" i="1" s="1"/>
  <c r="U20" i="1" s="1"/>
  <c r="S21" i="1"/>
  <c r="T21" i="1" s="1"/>
  <c r="U21" i="1" s="1"/>
  <c r="AB21" i="1" s="1"/>
  <c r="S22" i="1"/>
  <c r="T22" i="1" s="1"/>
  <c r="U22" i="1" s="1"/>
  <c r="S23" i="1"/>
  <c r="T23" i="1" s="1"/>
  <c r="U23" i="1" s="1"/>
  <c r="S24" i="1"/>
  <c r="T24" i="1" s="1"/>
  <c r="U24" i="1" s="1"/>
  <c r="S25" i="1"/>
  <c r="T25" i="1" s="1"/>
  <c r="U25" i="1" s="1"/>
  <c r="S26" i="1"/>
  <c r="T26" i="1" s="1"/>
  <c r="U26" i="1" s="1"/>
  <c r="S27" i="1"/>
  <c r="T27" i="1" s="1"/>
  <c r="U27" i="1" s="1"/>
  <c r="AB27" i="1" s="1"/>
  <c r="S28" i="1"/>
  <c r="T28" i="1" s="1"/>
  <c r="U28" i="1" s="1"/>
  <c r="S29" i="1"/>
  <c r="T29" i="1" s="1"/>
  <c r="U29" i="1" s="1"/>
  <c r="S31" i="1"/>
  <c r="T31" i="1" s="1"/>
  <c r="U31" i="1" s="1"/>
  <c r="S32" i="1"/>
  <c r="T32" i="1" s="1"/>
  <c r="U32" i="1" s="1"/>
  <c r="AB32" i="1" s="1"/>
  <c r="S30" i="1"/>
  <c r="T30" i="1" s="1"/>
  <c r="U30" i="1" s="1"/>
  <c r="AB30" i="1" s="1"/>
  <c r="S33" i="1"/>
  <c r="T33" i="1" s="1"/>
  <c r="U33" i="1" s="1"/>
  <c r="S34" i="1"/>
  <c r="T34" i="1" s="1"/>
  <c r="U34" i="1" s="1"/>
  <c r="S35" i="1"/>
  <c r="T35" i="1" s="1"/>
  <c r="U35" i="1" s="1"/>
  <c r="AB35" i="1" s="1"/>
  <c r="S36" i="1"/>
  <c r="T36" i="1" s="1"/>
  <c r="U36" i="1" s="1"/>
  <c r="S37" i="1"/>
  <c r="T37" i="1" s="1"/>
  <c r="U37" i="1" s="1"/>
  <c r="S38" i="1"/>
  <c r="T38" i="1" s="1"/>
  <c r="U38" i="1" s="1"/>
  <c r="S39" i="1"/>
  <c r="T39" i="1" s="1"/>
  <c r="U39" i="1" s="1"/>
  <c r="AB39" i="1" s="1"/>
  <c r="S40" i="1"/>
  <c r="T40" i="1" s="1"/>
  <c r="U40" i="1" s="1"/>
  <c r="S41" i="1"/>
  <c r="T41" i="1" s="1"/>
  <c r="U41" i="1" s="1"/>
  <c r="S42" i="1"/>
  <c r="T42" i="1" s="1"/>
  <c r="U42" i="1" s="1"/>
  <c r="S43" i="1"/>
  <c r="T43" i="1" s="1"/>
  <c r="U43" i="1" s="1"/>
  <c r="AB43" i="1" s="1"/>
  <c r="S44" i="1"/>
  <c r="T44" i="1" s="1"/>
  <c r="U44" i="1" s="1"/>
  <c r="S45" i="1"/>
  <c r="T45" i="1" s="1"/>
  <c r="U45" i="1" s="1"/>
  <c r="S46" i="1"/>
  <c r="T46" i="1" s="1"/>
  <c r="U46" i="1" s="1"/>
  <c r="S47" i="1"/>
  <c r="T47" i="1" s="1"/>
  <c r="U47" i="1" s="1"/>
  <c r="AB47" i="1" s="1"/>
  <c r="S48" i="1"/>
  <c r="T48" i="1" s="1"/>
  <c r="U48" i="1" s="1"/>
  <c r="S49" i="1"/>
  <c r="T49" i="1" s="1"/>
  <c r="U49" i="1" s="1"/>
  <c r="S50" i="1"/>
  <c r="T50" i="1" s="1"/>
  <c r="U50" i="1" s="1"/>
  <c r="S51" i="1"/>
  <c r="T51" i="1" s="1"/>
  <c r="U51" i="1" s="1"/>
  <c r="S52" i="1"/>
  <c r="T52" i="1" s="1"/>
  <c r="U52" i="1" s="1"/>
  <c r="S53" i="1"/>
  <c r="T53" i="1" s="1"/>
  <c r="U53" i="1" s="1"/>
  <c r="S56" i="1"/>
  <c r="T56" i="1" s="1"/>
  <c r="U56" i="1" s="1"/>
  <c r="S54" i="1"/>
  <c r="T54" i="1" s="1"/>
  <c r="U54" i="1" s="1"/>
  <c r="AB54" i="1" s="1"/>
  <c r="S55" i="1"/>
  <c r="T55" i="1" s="1"/>
  <c r="U55" i="1" s="1"/>
  <c r="S59" i="1"/>
  <c r="T59" i="1" s="1"/>
  <c r="U59" i="1" s="1"/>
  <c r="AB59" i="1" s="1"/>
  <c r="S57" i="1"/>
  <c r="T57" i="1" s="1"/>
  <c r="U57" i="1" s="1"/>
  <c r="S58" i="1"/>
  <c r="T58" i="1" s="1"/>
  <c r="U58" i="1" s="1"/>
  <c r="S60" i="1"/>
  <c r="T60" i="1" s="1"/>
  <c r="U60" i="1" s="1"/>
  <c r="AB60" i="1" s="1"/>
  <c r="S61" i="1"/>
  <c r="T61" i="1" s="1"/>
  <c r="U61" i="1" s="1"/>
  <c r="AB61" i="1" s="1"/>
  <c r="S62" i="1"/>
  <c r="T62" i="1" s="1"/>
  <c r="U62" i="1" s="1"/>
  <c r="S75" i="1"/>
  <c r="T75" i="1" s="1"/>
  <c r="U75" i="1" s="1"/>
  <c r="S77" i="1"/>
  <c r="T77" i="1" s="1"/>
  <c r="U77" i="1" s="1"/>
  <c r="S76" i="1"/>
  <c r="T76" i="1" s="1"/>
  <c r="U76" i="1" s="1"/>
  <c r="AB76" i="1" s="1"/>
  <c r="S66" i="1"/>
  <c r="T66" i="1" s="1"/>
  <c r="U66" i="1" s="1"/>
  <c r="S67" i="1"/>
  <c r="T67" i="1" s="1"/>
  <c r="U67" i="1" s="1"/>
  <c r="S68" i="1"/>
  <c r="T68" i="1" s="1"/>
  <c r="U68" i="1" s="1"/>
  <c r="AB68" i="1" s="1"/>
  <c r="S69" i="1"/>
  <c r="T69" i="1" s="1"/>
  <c r="U69" i="1" s="1"/>
  <c r="AB69" i="1" s="1"/>
  <c r="S70" i="1"/>
  <c r="T70" i="1" s="1"/>
  <c r="U70" i="1" s="1"/>
  <c r="S71" i="1"/>
  <c r="T71" i="1" s="1"/>
  <c r="U71" i="1" s="1"/>
  <c r="S72" i="1"/>
  <c r="T72" i="1" s="1"/>
  <c r="U72" i="1" s="1"/>
  <c r="AB72" i="1" s="1"/>
  <c r="S73" i="1"/>
  <c r="T73" i="1" s="1"/>
  <c r="U73" i="1" s="1"/>
  <c r="S74" i="1"/>
  <c r="T74" i="1" s="1"/>
  <c r="U74" i="1" s="1"/>
  <c r="S65" i="1"/>
  <c r="T65" i="1" s="1"/>
  <c r="U65" i="1" s="1"/>
  <c r="AB65" i="1" s="1"/>
  <c r="S64" i="1"/>
  <c r="T64" i="1" s="1"/>
  <c r="U64" i="1" s="1"/>
  <c r="S63" i="1"/>
  <c r="T63" i="1" s="1"/>
  <c r="U63" i="1" s="1"/>
  <c r="S79" i="1"/>
  <c r="T79" i="1" s="1"/>
  <c r="U79" i="1" s="1"/>
  <c r="AB79" i="1" s="1"/>
  <c r="S78" i="1"/>
  <c r="T78" i="1" s="1"/>
  <c r="U78" i="1" s="1"/>
  <c r="S80" i="1"/>
  <c r="T80" i="1" s="1"/>
  <c r="U80" i="1" s="1"/>
  <c r="S81" i="1"/>
  <c r="T81" i="1" s="1"/>
  <c r="U81" i="1" s="1"/>
  <c r="AB81" i="1" s="1"/>
  <c r="S82" i="1"/>
  <c r="T82" i="1" s="1"/>
  <c r="U82" i="1" s="1"/>
  <c r="S83" i="1"/>
  <c r="T83" i="1" s="1"/>
  <c r="U83" i="1" s="1"/>
  <c r="S84" i="1"/>
  <c r="T84" i="1" s="1"/>
  <c r="U84" i="1" s="1"/>
  <c r="S85" i="1"/>
  <c r="T85" i="1" s="1"/>
  <c r="U85" i="1" s="1"/>
  <c r="S86" i="1"/>
  <c r="T86" i="1" s="1"/>
  <c r="U86" i="1" s="1"/>
  <c r="S87" i="1"/>
  <c r="T87" i="1" s="1"/>
  <c r="U87" i="1" s="1"/>
  <c r="AB87" i="1" s="1"/>
  <c r="S88" i="1"/>
  <c r="T88" i="1" s="1"/>
  <c r="U88" i="1" s="1"/>
  <c r="S89" i="1"/>
  <c r="T89" i="1" s="1"/>
  <c r="U89" i="1" s="1"/>
  <c r="S91" i="1"/>
  <c r="T91" i="1" s="1"/>
  <c r="U91" i="1" s="1"/>
  <c r="S92" i="1"/>
  <c r="T92" i="1" s="1"/>
  <c r="U92" i="1" s="1"/>
  <c r="AB92" i="1" s="1"/>
  <c r="S90" i="1"/>
  <c r="T90" i="1" s="1"/>
  <c r="U90" i="1" s="1"/>
  <c r="AB90" i="1" s="1"/>
  <c r="S93" i="1"/>
  <c r="T93" i="1" s="1"/>
  <c r="U93" i="1" s="1"/>
  <c r="S94" i="1"/>
  <c r="T94" i="1" s="1"/>
  <c r="U94" i="1" s="1"/>
  <c r="S95" i="1"/>
  <c r="T95" i="1" s="1"/>
  <c r="U95" i="1" s="1"/>
  <c r="AB95" i="1" s="1"/>
  <c r="S96" i="1"/>
  <c r="T96" i="1" s="1"/>
  <c r="U96" i="1" s="1"/>
  <c r="AB96" i="1" s="1"/>
  <c r="S97" i="1"/>
  <c r="T97" i="1" s="1"/>
  <c r="U97" i="1" s="1"/>
  <c r="S98" i="1"/>
  <c r="T98" i="1" s="1"/>
  <c r="U98" i="1" s="1"/>
  <c r="S99" i="1"/>
  <c r="T99" i="1" s="1"/>
  <c r="U99" i="1" s="1"/>
  <c r="AB99" i="1" s="1"/>
  <c r="S100" i="1"/>
  <c r="T100" i="1" s="1"/>
  <c r="U100" i="1" s="1"/>
  <c r="AB100" i="1" s="1"/>
  <c r="S101" i="1"/>
  <c r="T101" i="1" s="1"/>
  <c r="U101" i="1" s="1"/>
  <c r="S102" i="1"/>
  <c r="T102" i="1" s="1"/>
  <c r="U102" i="1" s="1"/>
  <c r="S103" i="1"/>
  <c r="T103" i="1" s="1"/>
  <c r="U103" i="1" s="1"/>
  <c r="AB103" i="1" s="1"/>
  <c r="S104" i="1"/>
  <c r="T104" i="1" s="1"/>
  <c r="U104" i="1" s="1"/>
  <c r="AB104" i="1" s="1"/>
  <c r="S105" i="1"/>
  <c r="T105" i="1" s="1"/>
  <c r="U105" i="1" s="1"/>
  <c r="S106" i="1"/>
  <c r="T106" i="1" s="1"/>
  <c r="U106" i="1" s="1"/>
  <c r="S107" i="1"/>
  <c r="T107" i="1" s="1"/>
  <c r="U107" i="1" s="1"/>
  <c r="AB107" i="1" s="1"/>
  <c r="S108" i="1"/>
  <c r="T108" i="1" s="1"/>
  <c r="U108" i="1" s="1"/>
  <c r="S109" i="1"/>
  <c r="T109" i="1" s="1"/>
  <c r="U109" i="1" s="1"/>
  <c r="S110" i="1"/>
  <c r="T110" i="1" s="1"/>
  <c r="U110" i="1" s="1"/>
  <c r="S111" i="1"/>
  <c r="T111" i="1" s="1"/>
  <c r="U111" i="1" s="1"/>
  <c r="S112" i="1"/>
  <c r="T112" i="1" s="1"/>
  <c r="U112" i="1" s="1"/>
  <c r="S113" i="1"/>
  <c r="T113" i="1" s="1"/>
  <c r="U113" i="1" s="1"/>
  <c r="S116" i="1"/>
  <c r="T116" i="1" s="1"/>
  <c r="U116" i="1" s="1"/>
  <c r="S114" i="1"/>
  <c r="T114" i="1" s="1"/>
  <c r="U114" i="1" s="1"/>
  <c r="AB114" i="1" s="1"/>
  <c r="S115" i="1"/>
  <c r="T115" i="1" s="1"/>
  <c r="U115" i="1" s="1"/>
  <c r="S119" i="1"/>
  <c r="T119" i="1" s="1"/>
  <c r="U119" i="1" s="1"/>
  <c r="AB119" i="1" s="1"/>
  <c r="S117" i="1"/>
  <c r="T117" i="1" s="1"/>
  <c r="U117" i="1" s="1"/>
  <c r="S118" i="1"/>
  <c r="T118" i="1" s="1"/>
  <c r="U118" i="1" s="1"/>
  <c r="S120" i="1"/>
  <c r="T120" i="1" s="1"/>
  <c r="U120" i="1" s="1"/>
  <c r="AB120" i="1" s="1"/>
  <c r="S121" i="1"/>
  <c r="T121" i="1" s="1"/>
  <c r="U121" i="1" s="1"/>
  <c r="AB121" i="1" s="1"/>
  <c r="S122" i="1"/>
  <c r="T122" i="1" s="1"/>
  <c r="U122" i="1" s="1"/>
  <c r="S136" i="1"/>
  <c r="T136" i="1" s="1"/>
  <c r="U136" i="1" s="1"/>
  <c r="AB136" i="1" s="1"/>
  <c r="S138" i="1"/>
  <c r="T138" i="1" s="1"/>
  <c r="U138" i="1" s="1"/>
  <c r="AB138" i="1" s="1"/>
  <c r="S137" i="1"/>
  <c r="T137" i="1" s="1"/>
  <c r="U137" i="1" s="1"/>
  <c r="S127" i="1"/>
  <c r="T127" i="1" s="1"/>
  <c r="U127" i="1" s="1"/>
  <c r="AB127" i="1" s="1"/>
  <c r="S128" i="1"/>
  <c r="T128" i="1" s="1"/>
  <c r="U128" i="1" s="1"/>
  <c r="AB128" i="1" s="1"/>
  <c r="S129" i="1"/>
  <c r="T129" i="1" s="1"/>
  <c r="U129" i="1" s="1"/>
  <c r="AB129" i="1" s="1"/>
  <c r="S130" i="1"/>
  <c r="T130" i="1" s="1"/>
  <c r="U130" i="1" s="1"/>
  <c r="S131" i="1"/>
  <c r="T131" i="1" s="1"/>
  <c r="U131" i="1" s="1"/>
  <c r="AB131" i="1" s="1"/>
  <c r="S132" i="1"/>
  <c r="T132" i="1" s="1"/>
  <c r="U132" i="1" s="1"/>
  <c r="AB132" i="1" s="1"/>
  <c r="S133" i="1"/>
  <c r="T133" i="1" s="1"/>
  <c r="U133" i="1" s="1"/>
  <c r="AB133" i="1" s="1"/>
  <c r="S134" i="1"/>
  <c r="T134" i="1" s="1"/>
  <c r="U134" i="1" s="1"/>
  <c r="S135" i="1"/>
  <c r="T135" i="1" s="1"/>
  <c r="U135" i="1" s="1"/>
  <c r="AB135" i="1" s="1"/>
  <c r="S126" i="1"/>
  <c r="T126" i="1" s="1"/>
  <c r="U126" i="1" s="1"/>
  <c r="AB126" i="1" s="1"/>
  <c r="S125" i="1"/>
  <c r="T125" i="1" s="1"/>
  <c r="U125" i="1" s="1"/>
  <c r="AB125" i="1" s="1"/>
  <c r="S124" i="1"/>
  <c r="T124" i="1" s="1"/>
  <c r="U124" i="1" s="1"/>
  <c r="S140" i="1"/>
  <c r="T140" i="1" s="1"/>
  <c r="U140" i="1" s="1"/>
  <c r="S139" i="1"/>
  <c r="T139" i="1" s="1"/>
  <c r="U139" i="1" s="1"/>
  <c r="AB139" i="1" s="1"/>
  <c r="S141" i="1"/>
  <c r="T141" i="1" s="1"/>
  <c r="U141" i="1" s="1"/>
  <c r="S142" i="1"/>
  <c r="T142" i="1" s="1"/>
  <c r="U142" i="1" s="1"/>
  <c r="AB142" i="1" s="1"/>
  <c r="S143" i="1"/>
  <c r="T143" i="1" s="1"/>
  <c r="U143" i="1" s="1"/>
  <c r="AB143" i="1" s="1"/>
  <c r="S144" i="1"/>
  <c r="T144" i="1" s="1"/>
  <c r="U144" i="1" s="1"/>
  <c r="AB144" i="1" s="1"/>
  <c r="S145" i="1"/>
  <c r="T145" i="1" s="1"/>
  <c r="U145" i="1" s="1"/>
  <c r="S146" i="1"/>
  <c r="T146" i="1" s="1"/>
  <c r="U146" i="1" s="1"/>
  <c r="AB146" i="1" s="1"/>
  <c r="S147" i="1"/>
  <c r="T147" i="1" s="1"/>
  <c r="U147" i="1" s="1"/>
  <c r="AB147" i="1" s="1"/>
  <c r="S148" i="1"/>
  <c r="T148" i="1" s="1"/>
  <c r="U148" i="1" s="1"/>
  <c r="AB148" i="1" s="1"/>
  <c r="S149" i="1"/>
  <c r="T149" i="1" s="1"/>
  <c r="U149" i="1" s="1"/>
  <c r="S150" i="1"/>
  <c r="T150" i="1" s="1"/>
  <c r="U150" i="1" s="1"/>
  <c r="S152" i="1"/>
  <c r="T152" i="1" s="1"/>
  <c r="U152" i="1" s="1"/>
  <c r="AB152" i="1" s="1"/>
  <c r="S153" i="1"/>
  <c r="T153" i="1" s="1"/>
  <c r="U153" i="1" s="1"/>
  <c r="AB153" i="1" s="1"/>
  <c r="S151" i="1"/>
  <c r="T151" i="1" s="1"/>
  <c r="U151" i="1" s="1"/>
  <c r="S154" i="1"/>
  <c r="T154" i="1" s="1"/>
  <c r="U154" i="1" s="1"/>
  <c r="AB154" i="1" s="1"/>
  <c r="S155" i="1"/>
  <c r="T155" i="1" s="1"/>
  <c r="U155" i="1" s="1"/>
  <c r="AB155" i="1" s="1"/>
  <c r="S156" i="1"/>
  <c r="T156" i="1" s="1"/>
  <c r="U156" i="1" s="1"/>
  <c r="AB156" i="1" s="1"/>
  <c r="S157" i="1"/>
  <c r="T157" i="1" s="1"/>
  <c r="U157" i="1" s="1"/>
  <c r="S158" i="1"/>
  <c r="T158" i="1" s="1"/>
  <c r="U158" i="1" s="1"/>
  <c r="AB158" i="1" s="1"/>
  <c r="S159" i="1"/>
  <c r="T159" i="1" s="1"/>
  <c r="U159" i="1" s="1"/>
  <c r="AB159" i="1" s="1"/>
  <c r="S160" i="1"/>
  <c r="T160" i="1" s="1"/>
  <c r="U160" i="1" s="1"/>
  <c r="AB160" i="1" s="1"/>
  <c r="S161" i="1"/>
  <c r="T161" i="1" s="1"/>
  <c r="U161" i="1" s="1"/>
  <c r="S162" i="1"/>
  <c r="T162" i="1" s="1"/>
  <c r="U162" i="1" s="1"/>
  <c r="AB162" i="1" s="1"/>
  <c r="S163" i="1"/>
  <c r="T163" i="1" s="1"/>
  <c r="U163" i="1" s="1"/>
  <c r="S164" i="1"/>
  <c r="T164" i="1" s="1"/>
  <c r="U164" i="1" s="1"/>
  <c r="AB164" i="1" s="1"/>
  <c r="S165" i="1"/>
  <c r="T165" i="1" s="1"/>
  <c r="U165" i="1" s="1"/>
  <c r="S166" i="1"/>
  <c r="T166" i="1" s="1"/>
  <c r="U166" i="1" s="1"/>
  <c r="AB166" i="1" s="1"/>
  <c r="S167" i="1"/>
  <c r="T167" i="1" s="1"/>
  <c r="U167" i="1" s="1"/>
  <c r="AB167" i="1" s="1"/>
  <c r="S168" i="1"/>
  <c r="T168" i="1" s="1"/>
  <c r="U168" i="1" s="1"/>
  <c r="AB168" i="1" s="1"/>
  <c r="S169" i="1"/>
  <c r="T169" i="1" s="1"/>
  <c r="U169" i="1" s="1"/>
  <c r="AB169" i="1" s="1"/>
  <c r="S170" i="1"/>
  <c r="T170" i="1" s="1"/>
  <c r="U170" i="1" s="1"/>
  <c r="AB170" i="1" s="1"/>
  <c r="S171" i="1"/>
  <c r="T171" i="1" s="1"/>
  <c r="U171" i="1" s="1"/>
  <c r="AB171" i="1" s="1"/>
  <c r="S172" i="1"/>
  <c r="T172" i="1" s="1"/>
  <c r="U172" i="1" s="1"/>
  <c r="S173" i="1"/>
  <c r="T173" i="1" s="1"/>
  <c r="U173" i="1" s="1"/>
  <c r="AB173" i="1" s="1"/>
  <c r="S174" i="1"/>
  <c r="T174" i="1" s="1"/>
  <c r="U174" i="1" s="1"/>
  <c r="AB174" i="1" s="1"/>
  <c r="S177" i="1"/>
  <c r="T177" i="1" s="1"/>
  <c r="U177" i="1" s="1"/>
  <c r="AB177" i="1" s="1"/>
  <c r="S175" i="1"/>
  <c r="T175" i="1" s="1"/>
  <c r="U175" i="1" s="1"/>
  <c r="AB175" i="1" s="1"/>
  <c r="S176" i="1"/>
  <c r="T176" i="1" s="1"/>
  <c r="U176" i="1" s="1"/>
  <c r="S180" i="1"/>
  <c r="T180" i="1" s="1"/>
  <c r="U180" i="1" s="1"/>
  <c r="AB180" i="1" s="1"/>
  <c r="S178" i="1"/>
  <c r="T178" i="1" s="1"/>
  <c r="U178" i="1" s="1"/>
  <c r="AB178" i="1" s="1"/>
  <c r="S179" i="1"/>
  <c r="T179" i="1" s="1"/>
  <c r="U179" i="1" s="1"/>
  <c r="AB179" i="1" s="1"/>
  <c r="S181" i="1"/>
  <c r="T181" i="1" s="1"/>
  <c r="U181" i="1" s="1"/>
  <c r="AB181" i="1" s="1"/>
  <c r="S182" i="1"/>
  <c r="T182" i="1" s="1"/>
  <c r="U182" i="1" s="1"/>
  <c r="S183" i="1"/>
  <c r="T183" i="1" s="1"/>
  <c r="U183" i="1" s="1"/>
  <c r="AB183" i="1" s="1"/>
  <c r="S196" i="1"/>
  <c r="T196" i="1" s="1"/>
  <c r="U196" i="1" s="1"/>
  <c r="AB196" i="1" s="1"/>
  <c r="S198" i="1"/>
  <c r="T198" i="1" s="1"/>
  <c r="U198" i="1" s="1"/>
  <c r="S197" i="1"/>
  <c r="T197" i="1" s="1"/>
  <c r="U197" i="1" s="1"/>
  <c r="S187" i="1"/>
  <c r="T187" i="1" s="1"/>
  <c r="U187" i="1" s="1"/>
  <c r="AB187" i="1" s="1"/>
  <c r="S188" i="1"/>
  <c r="T188" i="1" s="1"/>
  <c r="U188" i="1" s="1"/>
  <c r="AB188" i="1" s="1"/>
  <c r="S189" i="1"/>
  <c r="T189" i="1" s="1"/>
  <c r="U189" i="1" s="1"/>
  <c r="AB189" i="1" s="1"/>
  <c r="S190" i="1"/>
  <c r="T190" i="1" s="1"/>
  <c r="U190" i="1" s="1"/>
  <c r="S191" i="1"/>
  <c r="T191" i="1" s="1"/>
  <c r="U191" i="1" s="1"/>
  <c r="AB191" i="1" s="1"/>
  <c r="S192" i="1"/>
  <c r="T192" i="1" s="1"/>
  <c r="U192" i="1" s="1"/>
  <c r="AB192" i="1" s="1"/>
  <c r="S193" i="1"/>
  <c r="T193" i="1" s="1"/>
  <c r="U193" i="1" s="1"/>
  <c r="AB193" i="1" s="1"/>
  <c r="S194" i="1"/>
  <c r="T194" i="1" s="1"/>
  <c r="U194" i="1" s="1"/>
  <c r="S195" i="1"/>
  <c r="T195" i="1" s="1"/>
  <c r="U195" i="1" s="1"/>
  <c r="AB195" i="1" s="1"/>
  <c r="S186" i="1"/>
  <c r="T186" i="1" s="1"/>
  <c r="U186" i="1" s="1"/>
  <c r="AB186" i="1" s="1"/>
  <c r="S185" i="1"/>
  <c r="T185" i="1" s="1"/>
  <c r="U185" i="1" s="1"/>
  <c r="AB185" i="1" s="1"/>
  <c r="S184" i="1"/>
  <c r="T184" i="1" s="1"/>
  <c r="U184" i="1" s="1"/>
  <c r="S200" i="1"/>
  <c r="T200" i="1" s="1"/>
  <c r="U200" i="1" s="1"/>
  <c r="S199" i="1"/>
  <c r="T199" i="1" s="1"/>
  <c r="U199" i="1" s="1"/>
  <c r="AB199" i="1" s="1"/>
  <c r="S201" i="1"/>
  <c r="T201" i="1" s="1"/>
  <c r="U201" i="1" s="1"/>
  <c r="S202" i="1"/>
  <c r="T202" i="1" s="1"/>
  <c r="U202" i="1" s="1"/>
  <c r="AB202" i="1" s="1"/>
  <c r="S203" i="1"/>
  <c r="T203" i="1" s="1"/>
  <c r="U203" i="1" s="1"/>
  <c r="AB203" i="1" s="1"/>
  <c r="S204" i="1"/>
  <c r="T204" i="1" s="1"/>
  <c r="U204" i="1" s="1"/>
  <c r="AB204" i="1" s="1"/>
  <c r="S205" i="1"/>
  <c r="T205" i="1" s="1"/>
  <c r="U205" i="1" s="1"/>
  <c r="S206" i="1"/>
  <c r="T206" i="1" s="1"/>
  <c r="U206" i="1" s="1"/>
  <c r="AB206" i="1" s="1"/>
  <c r="S207" i="1"/>
  <c r="T207" i="1" s="1"/>
  <c r="U207" i="1" s="1"/>
  <c r="AB207" i="1" s="1"/>
  <c r="S208" i="1"/>
  <c r="T208" i="1" s="1"/>
  <c r="U208" i="1" s="1"/>
  <c r="AB208" i="1" s="1"/>
  <c r="S209" i="1"/>
  <c r="T209" i="1" s="1"/>
  <c r="U209" i="1" s="1"/>
  <c r="S210" i="1"/>
  <c r="T210" i="1" s="1"/>
  <c r="U210" i="1" s="1"/>
  <c r="S212" i="1"/>
  <c r="T212" i="1" s="1"/>
  <c r="U212" i="1" s="1"/>
  <c r="AB212" i="1" s="1"/>
  <c r="S213" i="1"/>
  <c r="T213" i="1" s="1"/>
  <c r="U213" i="1" s="1"/>
  <c r="AB213" i="1" s="1"/>
  <c r="S211" i="1"/>
  <c r="T211" i="1" s="1"/>
  <c r="U211" i="1" s="1"/>
  <c r="S214" i="1"/>
  <c r="T214" i="1" s="1"/>
  <c r="U214" i="1" s="1"/>
  <c r="AB214" i="1" s="1"/>
  <c r="S215" i="1"/>
  <c r="T215" i="1" s="1"/>
  <c r="U215" i="1" s="1"/>
  <c r="AB215" i="1" s="1"/>
  <c r="S216" i="1"/>
  <c r="T216" i="1" s="1"/>
  <c r="U216" i="1" s="1"/>
  <c r="AB216" i="1" s="1"/>
  <c r="S217" i="1"/>
  <c r="T217" i="1" s="1"/>
  <c r="U217" i="1" s="1"/>
  <c r="S218" i="1"/>
  <c r="T218" i="1" s="1"/>
  <c r="U218" i="1" s="1"/>
  <c r="AB218" i="1" s="1"/>
  <c r="S219" i="1"/>
  <c r="T219" i="1" s="1"/>
  <c r="U219" i="1" s="1"/>
  <c r="AB219" i="1" s="1"/>
  <c r="S220" i="1"/>
  <c r="T220" i="1" s="1"/>
  <c r="U220" i="1" s="1"/>
  <c r="AB220" i="1" s="1"/>
  <c r="S221" i="1"/>
  <c r="T221" i="1" s="1"/>
  <c r="U221" i="1" s="1"/>
  <c r="S222" i="1"/>
  <c r="T222" i="1" s="1"/>
  <c r="U222" i="1" s="1"/>
  <c r="AB222" i="1" s="1"/>
  <c r="S223" i="1"/>
  <c r="T223" i="1" s="1"/>
  <c r="U223" i="1" s="1"/>
  <c r="S224" i="1"/>
  <c r="T224" i="1" s="1"/>
  <c r="U224" i="1" s="1"/>
  <c r="AB224" i="1" s="1"/>
  <c r="S225" i="1"/>
  <c r="T225" i="1" s="1"/>
  <c r="U225" i="1" s="1"/>
  <c r="S226" i="1"/>
  <c r="T226" i="1" s="1"/>
  <c r="U226" i="1" s="1"/>
  <c r="AB226" i="1" s="1"/>
  <c r="S227" i="1"/>
  <c r="T227" i="1" s="1"/>
  <c r="U227" i="1" s="1"/>
  <c r="AB227" i="1" s="1"/>
  <c r="S228" i="1"/>
  <c r="T228" i="1" s="1"/>
  <c r="U228" i="1" s="1"/>
  <c r="AB228" i="1" s="1"/>
  <c r="S229" i="1"/>
  <c r="T229" i="1" s="1"/>
  <c r="U229" i="1" s="1"/>
  <c r="AB229" i="1" s="1"/>
  <c r="S230" i="1"/>
  <c r="T230" i="1" s="1"/>
  <c r="U230" i="1" s="1"/>
  <c r="AB230" i="1" s="1"/>
  <c r="S231" i="1"/>
  <c r="T231" i="1" s="1"/>
  <c r="U231" i="1" s="1"/>
  <c r="AB231" i="1" s="1"/>
  <c r="S232" i="1"/>
  <c r="T232" i="1" s="1"/>
  <c r="U232" i="1" s="1"/>
  <c r="S233" i="1"/>
  <c r="T233" i="1" s="1"/>
  <c r="U233" i="1" s="1"/>
  <c r="AB233" i="1" s="1"/>
  <c r="S234" i="1"/>
  <c r="T234" i="1" s="1"/>
  <c r="U234" i="1" s="1"/>
  <c r="AB234" i="1" s="1"/>
  <c r="S237" i="1"/>
  <c r="T237" i="1" s="1"/>
  <c r="U237" i="1" s="1"/>
  <c r="AB237" i="1" s="1"/>
  <c r="S235" i="1"/>
  <c r="T235" i="1" s="1"/>
  <c r="U235" i="1" s="1"/>
  <c r="AB235" i="1" s="1"/>
  <c r="S236" i="1"/>
  <c r="T236" i="1" s="1"/>
  <c r="U236" i="1" s="1"/>
  <c r="S240" i="1"/>
  <c r="T240" i="1" s="1"/>
  <c r="U240" i="1" s="1"/>
  <c r="AB240" i="1" s="1"/>
  <c r="S238" i="1"/>
  <c r="T238" i="1" s="1"/>
  <c r="U238" i="1" s="1"/>
  <c r="AB238" i="1" s="1"/>
  <c r="S239" i="1"/>
  <c r="T239" i="1" s="1"/>
  <c r="U239" i="1" s="1"/>
  <c r="AB239" i="1" s="1"/>
  <c r="S241" i="1"/>
  <c r="T241" i="1" s="1"/>
  <c r="U241" i="1" s="1"/>
  <c r="AB241" i="1" s="1"/>
  <c r="S242" i="1"/>
  <c r="T242" i="1" s="1"/>
  <c r="U242" i="1" s="1"/>
  <c r="S243" i="1"/>
  <c r="T243" i="1" s="1"/>
  <c r="U243" i="1" s="1"/>
  <c r="AB243" i="1" s="1"/>
  <c r="S257" i="1"/>
  <c r="T257" i="1" s="1"/>
  <c r="U257" i="1" s="1"/>
  <c r="AB257" i="1" s="1"/>
  <c r="S259" i="1"/>
  <c r="T259" i="1" s="1"/>
  <c r="U259" i="1" s="1"/>
  <c r="S258" i="1"/>
  <c r="T258" i="1" s="1"/>
  <c r="U258" i="1" s="1"/>
  <c r="S248" i="1"/>
  <c r="T248" i="1" s="1"/>
  <c r="U248" i="1" s="1"/>
  <c r="AB248" i="1" s="1"/>
  <c r="S249" i="1"/>
  <c r="T249" i="1" s="1"/>
  <c r="U249" i="1" s="1"/>
  <c r="AB249" i="1" s="1"/>
  <c r="S250" i="1"/>
  <c r="T250" i="1" s="1"/>
  <c r="U250" i="1" s="1"/>
  <c r="AB250" i="1" s="1"/>
  <c r="S251" i="1"/>
  <c r="T251" i="1" s="1"/>
  <c r="U251" i="1" s="1"/>
  <c r="S252" i="1"/>
  <c r="T252" i="1" s="1"/>
  <c r="U252" i="1" s="1"/>
  <c r="AB252" i="1" s="1"/>
  <c r="S253" i="1"/>
  <c r="T253" i="1" s="1"/>
  <c r="U253" i="1" s="1"/>
  <c r="AB253" i="1" s="1"/>
  <c r="S254" i="1"/>
  <c r="T254" i="1" s="1"/>
  <c r="U254" i="1" s="1"/>
  <c r="AB254" i="1" s="1"/>
  <c r="S255" i="1"/>
  <c r="T255" i="1" s="1"/>
  <c r="U255" i="1" s="1"/>
  <c r="S256" i="1"/>
  <c r="T256" i="1" s="1"/>
  <c r="U256" i="1" s="1"/>
  <c r="AB256" i="1" s="1"/>
  <c r="S247" i="1"/>
  <c r="T247" i="1" s="1"/>
  <c r="U247" i="1" s="1"/>
  <c r="AB247" i="1" s="1"/>
  <c r="S246" i="1"/>
  <c r="T246" i="1" s="1"/>
  <c r="U246" i="1" s="1"/>
  <c r="AB246" i="1" s="1"/>
  <c r="S245" i="1"/>
  <c r="T245" i="1" s="1"/>
  <c r="U245" i="1" s="1"/>
  <c r="S261" i="1"/>
  <c r="T261" i="1" s="1"/>
  <c r="U261" i="1" s="1"/>
  <c r="S260" i="1"/>
  <c r="T260" i="1" s="1"/>
  <c r="U260" i="1" s="1"/>
  <c r="AB260" i="1" s="1"/>
  <c r="S262" i="1"/>
  <c r="T262" i="1" s="1"/>
  <c r="U262" i="1" s="1"/>
  <c r="S263" i="1"/>
  <c r="T263" i="1" s="1"/>
  <c r="U263" i="1" s="1"/>
  <c r="AB263" i="1" s="1"/>
  <c r="S264" i="1"/>
  <c r="T264" i="1" s="1"/>
  <c r="U264" i="1" s="1"/>
  <c r="AB264" i="1" s="1"/>
  <c r="S265" i="1"/>
  <c r="T265" i="1" s="1"/>
  <c r="U265" i="1" s="1"/>
  <c r="AB265" i="1" s="1"/>
  <c r="S266" i="1"/>
  <c r="T266" i="1" s="1"/>
  <c r="U266" i="1" s="1"/>
  <c r="S267" i="1"/>
  <c r="T267" i="1" s="1"/>
  <c r="U267" i="1" s="1"/>
  <c r="AB267" i="1" s="1"/>
  <c r="S268" i="1"/>
  <c r="T268" i="1" s="1"/>
  <c r="U268" i="1" s="1"/>
  <c r="AB268" i="1" s="1"/>
  <c r="S269" i="1"/>
  <c r="T269" i="1" s="1"/>
  <c r="U269" i="1" s="1"/>
  <c r="AB269" i="1" s="1"/>
  <c r="S270" i="1"/>
  <c r="T270" i="1" s="1"/>
  <c r="U270" i="1" s="1"/>
  <c r="S271" i="1"/>
  <c r="T271" i="1" s="1"/>
  <c r="U271" i="1" s="1"/>
  <c r="S273" i="1"/>
  <c r="T273" i="1" s="1"/>
  <c r="U273" i="1" s="1"/>
  <c r="AB273" i="1" s="1"/>
  <c r="S274" i="1"/>
  <c r="T274" i="1" s="1"/>
  <c r="U274" i="1" s="1"/>
  <c r="AB274" i="1" s="1"/>
  <c r="S272" i="1"/>
  <c r="T272" i="1" s="1"/>
  <c r="U272" i="1" s="1"/>
  <c r="S275" i="1"/>
  <c r="T275" i="1" s="1"/>
  <c r="U275" i="1" s="1"/>
  <c r="AB275" i="1" s="1"/>
  <c r="S276" i="1"/>
  <c r="T276" i="1" s="1"/>
  <c r="U276" i="1" s="1"/>
  <c r="AB276" i="1" s="1"/>
  <c r="S277" i="1"/>
  <c r="T277" i="1" s="1"/>
  <c r="U277" i="1" s="1"/>
  <c r="AB277" i="1" s="1"/>
  <c r="S278" i="1"/>
  <c r="T278" i="1" s="1"/>
  <c r="U278" i="1" s="1"/>
  <c r="S279" i="1"/>
  <c r="T279" i="1" s="1"/>
  <c r="U279" i="1" s="1"/>
  <c r="AB279" i="1" s="1"/>
  <c r="S280" i="1"/>
  <c r="T280" i="1" s="1"/>
  <c r="U280" i="1" s="1"/>
  <c r="AB280" i="1" s="1"/>
  <c r="S281" i="1"/>
  <c r="T281" i="1" s="1"/>
  <c r="U281" i="1" s="1"/>
  <c r="AB281" i="1" s="1"/>
  <c r="S282" i="1"/>
  <c r="T282" i="1" s="1"/>
  <c r="U282" i="1" s="1"/>
  <c r="S283" i="1"/>
  <c r="T283" i="1" s="1"/>
  <c r="U283" i="1" s="1"/>
  <c r="AB283" i="1" s="1"/>
  <c r="S284" i="1"/>
  <c r="T284" i="1" s="1"/>
  <c r="U284" i="1" s="1"/>
  <c r="S285" i="1"/>
  <c r="T285" i="1" s="1"/>
  <c r="U285" i="1" s="1"/>
  <c r="AB285" i="1" s="1"/>
  <c r="S286" i="1"/>
  <c r="T286" i="1" s="1"/>
  <c r="U286" i="1" s="1"/>
  <c r="S287" i="1"/>
  <c r="T287" i="1" s="1"/>
  <c r="U287" i="1" s="1"/>
  <c r="AB287" i="1" s="1"/>
  <c r="S288" i="1"/>
  <c r="T288" i="1" s="1"/>
  <c r="U288" i="1" s="1"/>
  <c r="AB288" i="1" s="1"/>
  <c r="S289" i="1"/>
  <c r="T289" i="1" s="1"/>
  <c r="U289" i="1" s="1"/>
  <c r="AB289" i="1" s="1"/>
  <c r="S290" i="1"/>
  <c r="T290" i="1" s="1"/>
  <c r="U290" i="1" s="1"/>
  <c r="AB290" i="1" s="1"/>
  <c r="S291" i="1"/>
  <c r="T291" i="1" s="1"/>
  <c r="U291" i="1" s="1"/>
  <c r="AB291" i="1" s="1"/>
  <c r="S292" i="1"/>
  <c r="T292" i="1" s="1"/>
  <c r="U292" i="1" s="1"/>
  <c r="AB292" i="1" s="1"/>
  <c r="S293" i="1"/>
  <c r="T293" i="1" s="1"/>
  <c r="U293" i="1" s="1"/>
  <c r="S294" i="1"/>
  <c r="T294" i="1" s="1"/>
  <c r="U294" i="1" s="1"/>
  <c r="AB294" i="1" s="1"/>
  <c r="S295" i="1"/>
  <c r="T295" i="1" s="1"/>
  <c r="U295" i="1" s="1"/>
  <c r="AB295" i="1" s="1"/>
  <c r="S298" i="1"/>
  <c r="T298" i="1" s="1"/>
  <c r="U298" i="1" s="1"/>
  <c r="AB298" i="1" s="1"/>
  <c r="S296" i="1"/>
  <c r="T296" i="1" s="1"/>
  <c r="U296" i="1" s="1"/>
  <c r="AB296" i="1" s="1"/>
  <c r="S297" i="1"/>
  <c r="T297" i="1" s="1"/>
  <c r="U297" i="1" s="1"/>
  <c r="S301" i="1"/>
  <c r="T301" i="1" s="1"/>
  <c r="U301" i="1" s="1"/>
  <c r="AB301" i="1" s="1"/>
  <c r="S299" i="1"/>
  <c r="T299" i="1" s="1"/>
  <c r="U299" i="1" s="1"/>
  <c r="AB299" i="1" s="1"/>
  <c r="S300" i="1"/>
  <c r="T300" i="1" s="1"/>
  <c r="U300" i="1" s="1"/>
  <c r="AB300" i="1" s="1"/>
  <c r="S302" i="1"/>
  <c r="T302" i="1" s="1"/>
  <c r="U302" i="1" s="1"/>
  <c r="AB302" i="1" s="1"/>
  <c r="S303" i="1"/>
  <c r="T303" i="1" s="1"/>
  <c r="U303" i="1" s="1"/>
  <c r="S304" i="1"/>
  <c r="T304" i="1" s="1"/>
  <c r="U304" i="1" s="1"/>
  <c r="AB304" i="1" s="1"/>
  <c r="S317" i="1"/>
  <c r="T317" i="1" s="1"/>
  <c r="U317" i="1" s="1"/>
  <c r="AB317" i="1" s="1"/>
  <c r="S319" i="1"/>
  <c r="T319" i="1" s="1"/>
  <c r="U319" i="1" s="1"/>
  <c r="S318" i="1"/>
  <c r="T318" i="1" s="1"/>
  <c r="U318" i="1" s="1"/>
  <c r="S308" i="1"/>
  <c r="T308" i="1" s="1"/>
  <c r="U308" i="1" s="1"/>
  <c r="AB308" i="1" s="1"/>
  <c r="S309" i="1"/>
  <c r="T309" i="1" s="1"/>
  <c r="U309" i="1" s="1"/>
  <c r="AB309" i="1" s="1"/>
  <c r="S310" i="1"/>
  <c r="T310" i="1" s="1"/>
  <c r="U310" i="1" s="1"/>
  <c r="AB310" i="1" s="1"/>
  <c r="S311" i="1"/>
  <c r="T311" i="1" s="1"/>
  <c r="U311" i="1" s="1"/>
  <c r="S312" i="1"/>
  <c r="T312" i="1" s="1"/>
  <c r="U312" i="1" s="1"/>
  <c r="AB312" i="1" s="1"/>
  <c r="S313" i="1"/>
  <c r="T313" i="1" s="1"/>
  <c r="U313" i="1" s="1"/>
  <c r="AB313" i="1" s="1"/>
  <c r="S314" i="1"/>
  <c r="T314" i="1" s="1"/>
  <c r="U314" i="1" s="1"/>
  <c r="AB314" i="1" s="1"/>
  <c r="S315" i="1"/>
  <c r="T315" i="1" s="1"/>
  <c r="U315" i="1" s="1"/>
  <c r="S316" i="1"/>
  <c r="T316" i="1" s="1"/>
  <c r="U316" i="1" s="1"/>
  <c r="AB316" i="1" s="1"/>
  <c r="S307" i="1"/>
  <c r="T307" i="1" s="1"/>
  <c r="U307" i="1" s="1"/>
  <c r="AB307" i="1" s="1"/>
  <c r="S306" i="1"/>
  <c r="T306" i="1" s="1"/>
  <c r="U306" i="1" s="1"/>
  <c r="AB306" i="1" s="1"/>
  <c r="S305" i="1"/>
  <c r="T305" i="1" s="1"/>
  <c r="U305" i="1" s="1"/>
  <c r="S321" i="1"/>
  <c r="T321" i="1" s="1"/>
  <c r="U321" i="1" s="1"/>
  <c r="S320" i="1"/>
  <c r="T320" i="1" s="1"/>
  <c r="U320" i="1" s="1"/>
  <c r="AB320" i="1" s="1"/>
  <c r="S322" i="1"/>
  <c r="T322" i="1" s="1"/>
  <c r="U322" i="1" s="1"/>
  <c r="S323" i="1"/>
  <c r="T323" i="1" s="1"/>
  <c r="U323" i="1" s="1"/>
  <c r="AB323" i="1" s="1"/>
  <c r="S324" i="1"/>
  <c r="T324" i="1" s="1"/>
  <c r="U324" i="1" s="1"/>
  <c r="AB324" i="1" s="1"/>
  <c r="S325" i="1"/>
  <c r="T325" i="1" s="1"/>
  <c r="U325" i="1" s="1"/>
  <c r="AB325" i="1" s="1"/>
  <c r="S326" i="1"/>
  <c r="T326" i="1" s="1"/>
  <c r="U326" i="1" s="1"/>
  <c r="AB326" i="1" s="1"/>
  <c r="S327" i="1"/>
  <c r="T327" i="1" s="1"/>
  <c r="U327" i="1" s="1"/>
  <c r="AB327" i="1" s="1"/>
  <c r="S328" i="1"/>
  <c r="T328" i="1" s="1"/>
  <c r="U328" i="1" s="1"/>
  <c r="AB328" i="1" s="1"/>
  <c r="S329" i="1"/>
  <c r="T329" i="1" s="1"/>
  <c r="U329" i="1" s="1"/>
  <c r="AB329" i="1" s="1"/>
  <c r="S330" i="1"/>
  <c r="T330" i="1" s="1"/>
  <c r="U330" i="1" s="1"/>
  <c r="S331" i="1"/>
  <c r="T331" i="1" s="1"/>
  <c r="U331" i="1" s="1"/>
  <c r="S333" i="1"/>
  <c r="T333" i="1" s="1"/>
  <c r="U333" i="1" s="1"/>
  <c r="AB333" i="1" s="1"/>
  <c r="S334" i="1"/>
  <c r="T334" i="1" s="1"/>
  <c r="U334" i="1" s="1"/>
  <c r="AB334" i="1" s="1"/>
  <c r="S332" i="1"/>
  <c r="T332" i="1" s="1"/>
  <c r="U332" i="1" s="1"/>
  <c r="S335" i="1"/>
  <c r="T335" i="1" s="1"/>
  <c r="U335" i="1" s="1"/>
  <c r="AB335" i="1" s="1"/>
  <c r="S336" i="1"/>
  <c r="T336" i="1" s="1"/>
  <c r="U336" i="1" s="1"/>
  <c r="AB336" i="1" s="1"/>
  <c r="S337" i="1"/>
  <c r="T337" i="1" s="1"/>
  <c r="U337" i="1" s="1"/>
  <c r="AB337" i="1" s="1"/>
  <c r="S338" i="1"/>
  <c r="T338" i="1" s="1"/>
  <c r="U338" i="1" s="1"/>
  <c r="S339" i="1"/>
  <c r="T339" i="1" s="1"/>
  <c r="U339" i="1" s="1"/>
  <c r="AB339" i="1" s="1"/>
  <c r="S340" i="1"/>
  <c r="T340" i="1" s="1"/>
  <c r="U340" i="1" s="1"/>
  <c r="AB340" i="1" s="1"/>
  <c r="S341" i="1"/>
  <c r="T341" i="1" s="1"/>
  <c r="U341" i="1" s="1"/>
  <c r="AB341" i="1" s="1"/>
  <c r="S342" i="1"/>
  <c r="T342" i="1" s="1"/>
  <c r="U342" i="1" s="1"/>
  <c r="S343" i="1"/>
  <c r="T343" i="1" s="1"/>
  <c r="U343" i="1" s="1"/>
  <c r="AB343" i="1" s="1"/>
  <c r="S344" i="1"/>
  <c r="T344" i="1" s="1"/>
  <c r="U344" i="1" s="1"/>
  <c r="S345" i="1"/>
  <c r="T345" i="1" s="1"/>
  <c r="U345" i="1" s="1"/>
  <c r="AB345" i="1" s="1"/>
  <c r="S346" i="1"/>
  <c r="T346" i="1" s="1"/>
  <c r="U346" i="1" s="1"/>
  <c r="S347" i="1"/>
  <c r="T347" i="1" s="1"/>
  <c r="U347" i="1" s="1"/>
  <c r="AB347" i="1" s="1"/>
  <c r="S348" i="1"/>
  <c r="T348" i="1" s="1"/>
  <c r="U348" i="1" s="1"/>
  <c r="AB348" i="1" s="1"/>
  <c r="S349" i="1"/>
  <c r="T349" i="1" s="1"/>
  <c r="U349" i="1" s="1"/>
  <c r="AB349" i="1" s="1"/>
  <c r="S350" i="1"/>
  <c r="T350" i="1" s="1"/>
  <c r="U350" i="1" s="1"/>
  <c r="AB350" i="1" s="1"/>
  <c r="S351" i="1"/>
  <c r="T351" i="1" s="1"/>
  <c r="U351" i="1" s="1"/>
  <c r="AB351" i="1" s="1"/>
  <c r="S352" i="1"/>
  <c r="T352" i="1" s="1"/>
  <c r="U352" i="1" s="1"/>
  <c r="AB352" i="1" s="1"/>
  <c r="S353" i="1"/>
  <c r="T353" i="1" s="1"/>
  <c r="U353" i="1" s="1"/>
  <c r="S354" i="1"/>
  <c r="T354" i="1" s="1"/>
  <c r="U354" i="1" s="1"/>
  <c r="AB354" i="1" s="1"/>
  <c r="S355" i="1"/>
  <c r="T355" i="1" s="1"/>
  <c r="U355" i="1" s="1"/>
  <c r="AB355" i="1" s="1"/>
  <c r="S358" i="1"/>
  <c r="T358" i="1" s="1"/>
  <c r="U358" i="1" s="1"/>
  <c r="AB358" i="1" s="1"/>
  <c r="S356" i="1"/>
  <c r="T356" i="1" s="1"/>
  <c r="U356" i="1" s="1"/>
  <c r="AB356" i="1" s="1"/>
  <c r="S357" i="1"/>
  <c r="T357" i="1" s="1"/>
  <c r="U357" i="1" s="1"/>
  <c r="S361" i="1"/>
  <c r="T361" i="1" s="1"/>
  <c r="U361" i="1" s="1"/>
  <c r="AB361" i="1" s="1"/>
  <c r="S359" i="1"/>
  <c r="T359" i="1" s="1"/>
  <c r="U359" i="1" s="1"/>
  <c r="AB359" i="1" s="1"/>
  <c r="S360" i="1"/>
  <c r="T360" i="1" s="1"/>
  <c r="U360" i="1" s="1"/>
  <c r="AB360" i="1" s="1"/>
  <c r="S362" i="1"/>
  <c r="T362" i="1" s="1"/>
  <c r="U362" i="1" s="1"/>
  <c r="AB362" i="1" s="1"/>
  <c r="S363" i="1"/>
  <c r="T363" i="1" s="1"/>
  <c r="U363" i="1" s="1"/>
  <c r="S364" i="1"/>
  <c r="T364" i="1" s="1"/>
  <c r="U364" i="1" s="1"/>
  <c r="AB364" i="1" s="1"/>
  <c r="S378" i="1"/>
  <c r="T378" i="1" s="1"/>
  <c r="U378" i="1" s="1"/>
  <c r="AB378" i="1" s="1"/>
  <c r="S380" i="1"/>
  <c r="T380" i="1" s="1"/>
  <c r="U380" i="1" s="1"/>
  <c r="S379" i="1"/>
  <c r="T379" i="1" s="1"/>
  <c r="U379" i="1" s="1"/>
  <c r="S369" i="1"/>
  <c r="T369" i="1" s="1"/>
  <c r="U369" i="1" s="1"/>
  <c r="S370" i="1"/>
  <c r="T370" i="1" s="1"/>
  <c r="U370" i="1" s="1"/>
  <c r="AB370" i="1" s="1"/>
  <c r="S371" i="1"/>
  <c r="T371" i="1" s="1"/>
  <c r="U371" i="1" s="1"/>
  <c r="AB371" i="1" s="1"/>
  <c r="S372" i="1"/>
  <c r="T372" i="1" s="1"/>
  <c r="U372" i="1" s="1"/>
  <c r="S373" i="1"/>
  <c r="T373" i="1" s="1"/>
  <c r="U373" i="1" s="1"/>
  <c r="S374" i="1"/>
  <c r="T374" i="1" s="1"/>
  <c r="U374" i="1" s="1"/>
  <c r="AB374" i="1" s="1"/>
  <c r="S375" i="1"/>
  <c r="T375" i="1" s="1"/>
  <c r="U375" i="1" s="1"/>
  <c r="AB375" i="1" s="1"/>
  <c r="S376" i="1"/>
  <c r="T376" i="1" s="1"/>
  <c r="U376" i="1" s="1"/>
  <c r="S377" i="1"/>
  <c r="T377" i="1" s="1"/>
  <c r="U377" i="1" s="1"/>
  <c r="S368" i="1"/>
  <c r="T368" i="1" s="1"/>
  <c r="U368" i="1" s="1"/>
  <c r="AB368" i="1" s="1"/>
  <c r="S367" i="1"/>
  <c r="T367" i="1" s="1"/>
  <c r="U367" i="1" s="1"/>
  <c r="AB367" i="1" s="1"/>
  <c r="S366" i="1"/>
  <c r="T366" i="1" s="1"/>
  <c r="U366" i="1" s="1"/>
  <c r="S382" i="1"/>
  <c r="T382" i="1" s="1"/>
  <c r="U382" i="1" s="1"/>
  <c r="S381" i="1"/>
  <c r="T381" i="1" s="1"/>
  <c r="U381" i="1" s="1"/>
  <c r="AB381" i="1" s="1"/>
  <c r="S383" i="1"/>
  <c r="T383" i="1" s="1"/>
  <c r="U383" i="1" s="1"/>
  <c r="S384" i="1"/>
  <c r="T384" i="1" s="1"/>
  <c r="U384" i="1" s="1"/>
  <c r="AB384" i="1" s="1"/>
  <c r="S385" i="1"/>
  <c r="T385" i="1" s="1"/>
  <c r="U385" i="1" s="1"/>
  <c r="S386" i="1"/>
  <c r="T386" i="1" s="1"/>
  <c r="U386" i="1" s="1"/>
  <c r="AB386" i="1" s="1"/>
  <c r="S387" i="1"/>
  <c r="T387" i="1" s="1"/>
  <c r="U387" i="1" s="1"/>
  <c r="AB387" i="1" s="1"/>
  <c r="S388" i="1"/>
  <c r="T388" i="1" s="1"/>
  <c r="U388" i="1" s="1"/>
  <c r="AB388" i="1" s="1"/>
  <c r="S389" i="1"/>
  <c r="T389" i="1" s="1"/>
  <c r="U389" i="1" s="1"/>
  <c r="AB389" i="1" s="1"/>
  <c r="S390" i="1"/>
  <c r="T390" i="1" s="1"/>
  <c r="U390" i="1" s="1"/>
  <c r="AB390" i="1" s="1"/>
  <c r="S391" i="1"/>
  <c r="T391" i="1" s="1"/>
  <c r="U391" i="1" s="1"/>
  <c r="S392" i="1"/>
  <c r="T392" i="1" s="1"/>
  <c r="U392" i="1" s="1"/>
  <c r="S394" i="1"/>
  <c r="T394" i="1" s="1"/>
  <c r="U394" i="1" s="1"/>
  <c r="S395" i="1"/>
  <c r="T395" i="1" s="1"/>
  <c r="U395" i="1" s="1"/>
  <c r="AB395" i="1" s="1"/>
  <c r="S393" i="1"/>
  <c r="T393" i="1" s="1"/>
  <c r="U393" i="1" s="1"/>
  <c r="S396" i="1"/>
  <c r="T396" i="1" s="1"/>
  <c r="U396" i="1" s="1"/>
  <c r="AB396" i="1" s="1"/>
  <c r="S397" i="1"/>
  <c r="T397" i="1" s="1"/>
  <c r="U397" i="1" s="1"/>
  <c r="AB397" i="1" s="1"/>
  <c r="S398" i="1"/>
  <c r="T398" i="1" s="1"/>
  <c r="U398" i="1" s="1"/>
  <c r="AB398" i="1" s="1"/>
  <c r="S399" i="1"/>
  <c r="T399" i="1" s="1"/>
  <c r="U399" i="1" s="1"/>
  <c r="S400" i="1"/>
  <c r="T400" i="1" s="1"/>
  <c r="U400" i="1" s="1"/>
  <c r="AB400" i="1" s="1"/>
  <c r="S401" i="1"/>
  <c r="T401" i="1" s="1"/>
  <c r="U401" i="1" s="1"/>
  <c r="AB401" i="1" s="1"/>
  <c r="S402" i="1"/>
  <c r="T402" i="1" s="1"/>
  <c r="U402" i="1" s="1"/>
  <c r="AB402" i="1" s="1"/>
  <c r="S403" i="1"/>
  <c r="T403" i="1" s="1"/>
  <c r="U403" i="1" s="1"/>
  <c r="S404" i="1"/>
  <c r="T404" i="1" s="1"/>
  <c r="U404" i="1" s="1"/>
  <c r="AB404" i="1" s="1"/>
  <c r="S405" i="1"/>
  <c r="T405" i="1" s="1"/>
  <c r="U405" i="1" s="1"/>
  <c r="S406" i="1"/>
  <c r="T406" i="1" s="1"/>
  <c r="U406" i="1" s="1"/>
  <c r="AB406" i="1" s="1"/>
  <c r="S407" i="1"/>
  <c r="T407" i="1" s="1"/>
  <c r="U407" i="1" s="1"/>
  <c r="S408" i="1"/>
  <c r="T408" i="1" s="1"/>
  <c r="U408" i="1" s="1"/>
  <c r="AB408" i="1" s="1"/>
  <c r="S409" i="1"/>
  <c r="T409" i="1" s="1"/>
  <c r="U409" i="1" s="1"/>
  <c r="AB409" i="1" s="1"/>
  <c r="S410" i="1"/>
  <c r="T410" i="1" s="1"/>
  <c r="U410" i="1" s="1"/>
  <c r="AB410" i="1" s="1"/>
  <c r="S411" i="1"/>
  <c r="T411" i="1" s="1"/>
  <c r="U411" i="1" s="1"/>
  <c r="AB411" i="1" s="1"/>
  <c r="S412" i="1"/>
  <c r="T412" i="1" s="1"/>
  <c r="U412" i="1" s="1"/>
  <c r="AB412" i="1" s="1"/>
  <c r="S413" i="1"/>
  <c r="T413" i="1" s="1"/>
  <c r="U413" i="1" s="1"/>
  <c r="AB413" i="1" s="1"/>
  <c r="S414" i="1"/>
  <c r="T414" i="1" s="1"/>
  <c r="U414" i="1" s="1"/>
  <c r="S415" i="1"/>
  <c r="T415" i="1" s="1"/>
  <c r="U415" i="1" s="1"/>
  <c r="AB415" i="1" s="1"/>
  <c r="S416" i="1"/>
  <c r="T416" i="1" s="1"/>
  <c r="U416" i="1" s="1"/>
  <c r="AB416" i="1" s="1"/>
  <c r="S419" i="1"/>
  <c r="T419" i="1" s="1"/>
  <c r="U419" i="1" s="1"/>
  <c r="AB419" i="1" s="1"/>
  <c r="S417" i="1"/>
  <c r="T417" i="1" s="1"/>
  <c r="U417" i="1" s="1"/>
  <c r="AB417" i="1" s="1"/>
  <c r="S418" i="1"/>
  <c r="T418" i="1" s="1"/>
  <c r="U418" i="1" s="1"/>
  <c r="S422" i="1"/>
  <c r="T422" i="1" s="1"/>
  <c r="U422" i="1" s="1"/>
  <c r="AB422" i="1" s="1"/>
  <c r="S420" i="1"/>
  <c r="T420" i="1" s="1"/>
  <c r="U420" i="1" s="1"/>
  <c r="AB420" i="1" s="1"/>
  <c r="S421" i="1"/>
  <c r="T421" i="1" s="1"/>
  <c r="U421" i="1" s="1"/>
  <c r="AB421" i="1" s="1"/>
  <c r="S423" i="1"/>
  <c r="T423" i="1" s="1"/>
  <c r="U423" i="1" s="1"/>
  <c r="AB423" i="1" s="1"/>
  <c r="S424" i="1"/>
  <c r="T424" i="1" s="1"/>
  <c r="U424" i="1" s="1"/>
  <c r="S425" i="1"/>
  <c r="T425" i="1" s="1"/>
  <c r="U425" i="1" s="1"/>
  <c r="S438" i="1"/>
  <c r="T438" i="1" s="1"/>
  <c r="U438" i="1" s="1"/>
  <c r="AB438" i="1" s="1"/>
  <c r="S440" i="1"/>
  <c r="T440" i="1" s="1"/>
  <c r="U440" i="1" s="1"/>
  <c r="S439" i="1"/>
  <c r="T439" i="1" s="1"/>
  <c r="U439" i="1" s="1"/>
  <c r="S429" i="1"/>
  <c r="T429" i="1" s="1"/>
  <c r="U429" i="1" s="1"/>
  <c r="S430" i="1"/>
  <c r="T430" i="1" s="1"/>
  <c r="U430" i="1" s="1"/>
  <c r="AB430" i="1" s="1"/>
  <c r="S431" i="1"/>
  <c r="T431" i="1" s="1"/>
  <c r="U431" i="1" s="1"/>
  <c r="AB431" i="1" s="1"/>
  <c r="S432" i="1"/>
  <c r="T432" i="1" s="1"/>
  <c r="U432" i="1" s="1"/>
  <c r="S433" i="1"/>
  <c r="T433" i="1" s="1"/>
  <c r="U433" i="1" s="1"/>
  <c r="S434" i="1"/>
  <c r="T434" i="1" s="1"/>
  <c r="U434" i="1" s="1"/>
  <c r="AB434" i="1" s="1"/>
  <c r="S435" i="1"/>
  <c r="T435" i="1" s="1"/>
  <c r="U435" i="1" s="1"/>
  <c r="AB435" i="1" s="1"/>
  <c r="S436" i="1"/>
  <c r="T436" i="1" s="1"/>
  <c r="U436" i="1" s="1"/>
  <c r="S437" i="1"/>
  <c r="T437" i="1" s="1"/>
  <c r="U437" i="1" s="1"/>
  <c r="S428" i="1"/>
  <c r="T428" i="1" s="1"/>
  <c r="U428" i="1" s="1"/>
  <c r="AB428" i="1" s="1"/>
  <c r="S427" i="1"/>
  <c r="T427" i="1" s="1"/>
  <c r="U427" i="1" s="1"/>
  <c r="AB427" i="1" s="1"/>
  <c r="S426" i="1"/>
  <c r="T426" i="1" s="1"/>
  <c r="U426" i="1" s="1"/>
  <c r="S442" i="1"/>
  <c r="T442" i="1" s="1"/>
  <c r="U442" i="1" s="1"/>
  <c r="S441" i="1"/>
  <c r="T441" i="1" s="1"/>
  <c r="U441" i="1" s="1"/>
  <c r="AB441" i="1" s="1"/>
  <c r="S443" i="1"/>
  <c r="T443" i="1" s="1"/>
  <c r="U443" i="1" s="1"/>
  <c r="S444" i="1"/>
  <c r="T444" i="1" s="1"/>
  <c r="U444" i="1" s="1"/>
  <c r="AB444" i="1" s="1"/>
  <c r="S445" i="1"/>
  <c r="T445" i="1" s="1"/>
  <c r="U445" i="1" s="1"/>
  <c r="S446" i="1"/>
  <c r="T446" i="1" s="1"/>
  <c r="U446" i="1" s="1"/>
  <c r="AB446" i="1" s="1"/>
  <c r="S447" i="1"/>
  <c r="T447" i="1" s="1"/>
  <c r="U447" i="1" s="1"/>
  <c r="AB447" i="1" s="1"/>
  <c r="S448" i="1"/>
  <c r="T448" i="1" s="1"/>
  <c r="U448" i="1" s="1"/>
  <c r="AB448" i="1" s="1"/>
  <c r="S449" i="1"/>
  <c r="T449" i="1" s="1"/>
  <c r="U449" i="1" s="1"/>
  <c r="AB449" i="1" s="1"/>
  <c r="S450" i="1"/>
  <c r="T450" i="1" s="1"/>
  <c r="U450" i="1" s="1"/>
  <c r="AB450" i="1" s="1"/>
  <c r="S451" i="1"/>
  <c r="T451" i="1" s="1"/>
  <c r="U451" i="1" s="1"/>
  <c r="S452" i="1"/>
  <c r="T452" i="1" s="1"/>
  <c r="U452" i="1" s="1"/>
  <c r="S454" i="1"/>
  <c r="T454" i="1" s="1"/>
  <c r="U454" i="1" s="1"/>
  <c r="S455" i="1"/>
  <c r="T455" i="1" s="1"/>
  <c r="U455" i="1" s="1"/>
  <c r="AB455" i="1" s="1"/>
  <c r="S453" i="1"/>
  <c r="T453" i="1" s="1"/>
  <c r="U453" i="1" s="1"/>
  <c r="S456" i="1"/>
  <c r="T456" i="1" s="1"/>
  <c r="U456" i="1" s="1"/>
  <c r="S457" i="1"/>
  <c r="T457" i="1" s="1"/>
  <c r="U457" i="1" s="1"/>
  <c r="AB457" i="1" s="1"/>
  <c r="S458" i="1"/>
  <c r="T458" i="1" s="1"/>
  <c r="U458" i="1" s="1"/>
  <c r="AB458" i="1" s="1"/>
  <c r="S459" i="1"/>
  <c r="T459" i="1" s="1"/>
  <c r="U459" i="1" s="1"/>
  <c r="S460" i="1"/>
  <c r="T460" i="1" s="1"/>
  <c r="U460" i="1" s="1"/>
  <c r="S461" i="1"/>
  <c r="T461" i="1" s="1"/>
  <c r="U461" i="1" s="1"/>
  <c r="AB461" i="1" s="1"/>
  <c r="S462" i="1"/>
  <c r="T462" i="1" s="1"/>
  <c r="U462" i="1" s="1"/>
  <c r="AB462" i="1" s="1"/>
  <c r="S463" i="1"/>
  <c r="T463" i="1" s="1"/>
  <c r="U463" i="1" s="1"/>
  <c r="S464" i="1"/>
  <c r="T464" i="1" s="1"/>
  <c r="U464" i="1" s="1"/>
  <c r="S465" i="1"/>
  <c r="T465" i="1" s="1"/>
  <c r="U465" i="1" s="1"/>
  <c r="S466" i="1"/>
  <c r="T466" i="1" s="1"/>
  <c r="U466" i="1" s="1"/>
  <c r="AB466" i="1" s="1"/>
  <c r="S467" i="1"/>
  <c r="T467" i="1" s="1"/>
  <c r="U467" i="1" s="1"/>
  <c r="S468" i="1"/>
  <c r="T468" i="1" s="1"/>
  <c r="U468" i="1" s="1"/>
  <c r="S469" i="1"/>
  <c r="T469" i="1" s="1"/>
  <c r="U469" i="1" s="1"/>
  <c r="AB469" i="1" s="1"/>
  <c r="S470" i="1"/>
  <c r="T470" i="1" s="1"/>
  <c r="U470" i="1" s="1"/>
  <c r="AB470" i="1" s="1"/>
  <c r="S471" i="1"/>
  <c r="T471" i="1" s="1"/>
  <c r="U471" i="1" s="1"/>
  <c r="AB471" i="1" s="1"/>
  <c r="S472" i="1"/>
  <c r="T472" i="1" s="1"/>
  <c r="U472" i="1" s="1"/>
  <c r="AB472" i="1" s="1"/>
  <c r="S473" i="1"/>
  <c r="T473" i="1" s="1"/>
  <c r="U473" i="1" s="1"/>
  <c r="AB473" i="1" s="1"/>
  <c r="S474" i="1"/>
  <c r="T474" i="1" s="1"/>
  <c r="U474" i="1" s="1"/>
  <c r="S475" i="1"/>
  <c r="T475" i="1" s="1"/>
  <c r="U475" i="1" s="1"/>
  <c r="AB475" i="1" s="1"/>
  <c r="S476" i="1"/>
  <c r="T476" i="1" s="1"/>
  <c r="U476" i="1" s="1"/>
  <c r="AB476" i="1" s="1"/>
  <c r="S479" i="1"/>
  <c r="T479" i="1" s="1"/>
  <c r="U479" i="1" s="1"/>
  <c r="AB479" i="1" s="1"/>
  <c r="S477" i="1"/>
  <c r="T477" i="1" s="1"/>
  <c r="U477" i="1" s="1"/>
  <c r="AB477" i="1" s="1"/>
  <c r="S478" i="1"/>
  <c r="T478" i="1" s="1"/>
  <c r="U478" i="1" s="1"/>
  <c r="S482" i="1"/>
  <c r="T482" i="1" s="1"/>
  <c r="U482" i="1" s="1"/>
  <c r="AB482" i="1" s="1"/>
  <c r="S480" i="1"/>
  <c r="T480" i="1" s="1"/>
  <c r="U480" i="1" s="1"/>
  <c r="S481" i="1"/>
  <c r="T481" i="1" s="1"/>
  <c r="U481" i="1" s="1"/>
  <c r="AB481" i="1" s="1"/>
  <c r="S483" i="1"/>
  <c r="T483" i="1" s="1"/>
  <c r="U483" i="1" s="1"/>
  <c r="AB483" i="1" s="1"/>
  <c r="S484" i="1"/>
  <c r="T484" i="1" s="1"/>
  <c r="U484" i="1" s="1"/>
  <c r="S485" i="1"/>
  <c r="T485" i="1" s="1"/>
  <c r="U485" i="1" s="1"/>
  <c r="S499" i="1"/>
  <c r="T499" i="1" s="1"/>
  <c r="U499" i="1" s="1"/>
  <c r="AB499" i="1" s="1"/>
  <c r="S501" i="1"/>
  <c r="T501" i="1" s="1"/>
  <c r="U501" i="1" s="1"/>
  <c r="S500" i="1"/>
  <c r="T500" i="1" s="1"/>
  <c r="U500" i="1" s="1"/>
  <c r="S490" i="1"/>
  <c r="T490" i="1" s="1"/>
  <c r="U490" i="1" s="1"/>
  <c r="S491" i="1"/>
  <c r="T491" i="1" s="1"/>
  <c r="U491" i="1" s="1"/>
  <c r="AB491" i="1" s="1"/>
  <c r="S492" i="1"/>
  <c r="T492" i="1" s="1"/>
  <c r="U492" i="1" s="1"/>
  <c r="AB492" i="1" s="1"/>
  <c r="S493" i="1"/>
  <c r="T493" i="1" s="1"/>
  <c r="U493" i="1" s="1"/>
  <c r="S494" i="1"/>
  <c r="T494" i="1" s="1"/>
  <c r="U494" i="1" s="1"/>
  <c r="S495" i="1"/>
  <c r="T495" i="1" s="1"/>
  <c r="U495" i="1" s="1"/>
  <c r="AB495" i="1" s="1"/>
  <c r="S496" i="1"/>
  <c r="T496" i="1" s="1"/>
  <c r="U496" i="1" s="1"/>
  <c r="AB496" i="1" s="1"/>
  <c r="S497" i="1"/>
  <c r="T497" i="1" s="1"/>
  <c r="U497" i="1" s="1"/>
  <c r="S498" i="1"/>
  <c r="T498" i="1" s="1"/>
  <c r="U498" i="1" s="1"/>
  <c r="S489" i="1"/>
  <c r="T489" i="1" s="1"/>
  <c r="U489" i="1" s="1"/>
  <c r="AB489" i="1" s="1"/>
  <c r="S488" i="1"/>
  <c r="T488" i="1" s="1"/>
  <c r="U488" i="1" s="1"/>
  <c r="AB488" i="1" s="1"/>
  <c r="S487" i="1"/>
  <c r="T487" i="1" s="1"/>
  <c r="U487" i="1" s="1"/>
  <c r="S503" i="1"/>
  <c r="T503" i="1" s="1"/>
  <c r="U503" i="1" s="1"/>
  <c r="S502" i="1"/>
  <c r="T502" i="1" s="1"/>
  <c r="U502" i="1" s="1"/>
  <c r="AB502" i="1" s="1"/>
  <c r="S504" i="1"/>
  <c r="T504" i="1" s="1"/>
  <c r="U504" i="1" s="1"/>
  <c r="S505" i="1"/>
  <c r="T505" i="1" s="1"/>
  <c r="U505" i="1" s="1"/>
  <c r="AB505" i="1" s="1"/>
  <c r="S506" i="1"/>
  <c r="T506" i="1" s="1"/>
  <c r="U506" i="1" s="1"/>
  <c r="S507" i="1"/>
  <c r="T507" i="1" s="1"/>
  <c r="U507" i="1" s="1"/>
  <c r="AB507" i="1" s="1"/>
  <c r="S508" i="1"/>
  <c r="T508" i="1" s="1"/>
  <c r="U508" i="1" s="1"/>
  <c r="AB508" i="1" s="1"/>
  <c r="S509" i="1"/>
  <c r="T509" i="1" s="1"/>
  <c r="U509" i="1" s="1"/>
  <c r="AB509" i="1" s="1"/>
  <c r="S510" i="1"/>
  <c r="T510" i="1" s="1"/>
  <c r="U510" i="1" s="1"/>
  <c r="AB510" i="1" s="1"/>
  <c r="S511" i="1"/>
  <c r="T511" i="1" s="1"/>
  <c r="U511" i="1" s="1"/>
  <c r="AB511" i="1" s="1"/>
  <c r="S512" i="1"/>
  <c r="T512" i="1" s="1"/>
  <c r="U512" i="1" s="1"/>
  <c r="S513" i="1"/>
  <c r="T513" i="1" s="1"/>
  <c r="U513" i="1" s="1"/>
  <c r="S515" i="1"/>
  <c r="T515" i="1" s="1"/>
  <c r="U515" i="1" s="1"/>
  <c r="S516" i="1"/>
  <c r="T516" i="1" s="1"/>
  <c r="U516" i="1" s="1"/>
  <c r="AB516" i="1" s="1"/>
  <c r="S514" i="1"/>
  <c r="T514" i="1" s="1"/>
  <c r="U514" i="1" s="1"/>
  <c r="S517" i="1"/>
  <c r="T517" i="1" s="1"/>
  <c r="U517" i="1" s="1"/>
  <c r="S518" i="1"/>
  <c r="T518" i="1" s="1"/>
  <c r="U518" i="1" s="1"/>
  <c r="AB518" i="1" s="1"/>
  <c r="S519" i="1"/>
  <c r="T519" i="1" s="1"/>
  <c r="U519" i="1" s="1"/>
  <c r="AB519" i="1" s="1"/>
  <c r="S520" i="1"/>
  <c r="T520" i="1" s="1"/>
  <c r="U520" i="1" s="1"/>
  <c r="S521" i="1"/>
  <c r="T521" i="1" s="1"/>
  <c r="U521" i="1" s="1"/>
  <c r="S522" i="1"/>
  <c r="T522" i="1" s="1"/>
  <c r="U522" i="1" s="1"/>
  <c r="AB522" i="1" s="1"/>
  <c r="S523" i="1"/>
  <c r="T523" i="1" s="1"/>
  <c r="U523" i="1" s="1"/>
  <c r="AB523" i="1" s="1"/>
  <c r="S524" i="1"/>
  <c r="T524" i="1" s="1"/>
  <c r="U524" i="1" s="1"/>
  <c r="S525" i="1"/>
  <c r="T525" i="1" s="1"/>
  <c r="U525" i="1" s="1"/>
  <c r="S526" i="1"/>
  <c r="T526" i="1" s="1"/>
  <c r="U526" i="1" s="1"/>
  <c r="S527" i="1"/>
  <c r="T527" i="1" s="1"/>
  <c r="U527" i="1" s="1"/>
  <c r="AB527" i="1" s="1"/>
  <c r="S528" i="1"/>
  <c r="T528" i="1" s="1"/>
  <c r="U528" i="1" s="1"/>
  <c r="S529" i="1"/>
  <c r="T529" i="1" s="1"/>
  <c r="U529" i="1" s="1"/>
  <c r="S530" i="1"/>
  <c r="T530" i="1" s="1"/>
  <c r="U530" i="1" s="1"/>
  <c r="AB530" i="1" s="1"/>
  <c r="S531" i="1"/>
  <c r="T531" i="1" s="1"/>
  <c r="U531" i="1" s="1"/>
  <c r="AB531" i="1" s="1"/>
  <c r="S532" i="1"/>
  <c r="T532" i="1" s="1"/>
  <c r="U532" i="1" s="1"/>
  <c r="AB532" i="1" s="1"/>
  <c r="S533" i="1"/>
  <c r="T533" i="1" s="1"/>
  <c r="U533" i="1" s="1"/>
  <c r="AB533" i="1" s="1"/>
  <c r="S534" i="1"/>
  <c r="T534" i="1" s="1"/>
  <c r="U534" i="1" s="1"/>
  <c r="AB534" i="1" s="1"/>
  <c r="S535" i="1"/>
  <c r="T535" i="1" s="1"/>
  <c r="U535" i="1" s="1"/>
  <c r="S536" i="1"/>
  <c r="T536" i="1" s="1"/>
  <c r="U536" i="1" s="1"/>
  <c r="AB536" i="1" s="1"/>
  <c r="S537" i="1"/>
  <c r="T537" i="1" s="1"/>
  <c r="U537" i="1" s="1"/>
  <c r="AB537" i="1" s="1"/>
  <c r="S540" i="1"/>
  <c r="T540" i="1" s="1"/>
  <c r="U540" i="1" s="1"/>
  <c r="S538" i="1"/>
  <c r="T538" i="1" s="1"/>
  <c r="U538" i="1" s="1"/>
  <c r="AB538" i="1" s="1"/>
  <c r="S539" i="1"/>
  <c r="T539" i="1" s="1"/>
  <c r="U539" i="1" s="1"/>
  <c r="S543" i="1"/>
  <c r="T543" i="1" s="1"/>
  <c r="U543" i="1" s="1"/>
  <c r="AB543" i="1" s="1"/>
  <c r="S541" i="1"/>
  <c r="T541" i="1" s="1"/>
  <c r="U541" i="1" s="1"/>
  <c r="S542" i="1"/>
  <c r="T542" i="1" s="1"/>
  <c r="U542" i="1" s="1"/>
  <c r="AB542" i="1" s="1"/>
  <c r="S544" i="1"/>
  <c r="T544" i="1" s="1"/>
  <c r="U544" i="1" s="1"/>
  <c r="AB544" i="1" s="1"/>
  <c r="S545" i="1"/>
  <c r="T545" i="1" s="1"/>
  <c r="U545" i="1" s="1"/>
  <c r="S546" i="1"/>
  <c r="T546" i="1" s="1"/>
  <c r="U546" i="1" s="1"/>
  <c r="S560" i="1"/>
  <c r="T560" i="1" s="1"/>
  <c r="U560" i="1" s="1"/>
  <c r="AB560" i="1" s="1"/>
  <c r="S562" i="1"/>
  <c r="T562" i="1" s="1"/>
  <c r="U562" i="1" s="1"/>
  <c r="S561" i="1"/>
  <c r="T561" i="1" s="1"/>
  <c r="U561" i="1" s="1"/>
  <c r="S551" i="1"/>
  <c r="T551" i="1" s="1"/>
  <c r="U551" i="1" s="1"/>
  <c r="S552" i="1"/>
  <c r="T552" i="1" s="1"/>
  <c r="U552" i="1" s="1"/>
  <c r="AB552" i="1" s="1"/>
  <c r="S553" i="1"/>
  <c r="T553" i="1" s="1"/>
  <c r="U553" i="1" s="1"/>
  <c r="AB553" i="1" s="1"/>
  <c r="S554" i="1"/>
  <c r="T554" i="1" s="1"/>
  <c r="U554" i="1" s="1"/>
  <c r="S555" i="1"/>
  <c r="T555" i="1" s="1"/>
  <c r="U555" i="1" s="1"/>
  <c r="S556" i="1"/>
  <c r="T556" i="1" s="1"/>
  <c r="U556" i="1" s="1"/>
  <c r="AB556" i="1" s="1"/>
  <c r="S557" i="1"/>
  <c r="T557" i="1" s="1"/>
  <c r="U557" i="1" s="1"/>
  <c r="AB557" i="1" s="1"/>
  <c r="S558" i="1"/>
  <c r="T558" i="1" s="1"/>
  <c r="U558" i="1" s="1"/>
  <c r="S559" i="1"/>
  <c r="T559" i="1" s="1"/>
  <c r="U559" i="1" s="1"/>
  <c r="S550" i="1"/>
  <c r="T550" i="1" s="1"/>
  <c r="U550" i="1" s="1"/>
  <c r="AB550" i="1" s="1"/>
  <c r="S549" i="1"/>
  <c r="T549" i="1" s="1"/>
  <c r="U549" i="1" s="1"/>
  <c r="AB549" i="1" s="1"/>
  <c r="S548" i="1"/>
  <c r="T548" i="1" s="1"/>
  <c r="U548" i="1" s="1"/>
  <c r="S564" i="1"/>
  <c r="T564" i="1" s="1"/>
  <c r="U564" i="1" s="1"/>
  <c r="S563" i="1"/>
  <c r="T563" i="1" s="1"/>
  <c r="U563" i="1" s="1"/>
  <c r="AB563" i="1" s="1"/>
  <c r="S565" i="1"/>
  <c r="T565" i="1" s="1"/>
  <c r="U565" i="1" s="1"/>
  <c r="S566" i="1"/>
  <c r="T566" i="1" s="1"/>
  <c r="U566" i="1" s="1"/>
  <c r="AB566" i="1" s="1"/>
  <c r="S567" i="1"/>
  <c r="T567" i="1" s="1"/>
  <c r="U567" i="1" s="1"/>
  <c r="S568" i="1"/>
  <c r="T568" i="1" s="1"/>
  <c r="U568" i="1" s="1"/>
  <c r="AB568" i="1" s="1"/>
  <c r="S569" i="1"/>
  <c r="T569" i="1" s="1"/>
  <c r="U569" i="1" s="1"/>
  <c r="AB569" i="1" s="1"/>
  <c r="S570" i="1"/>
  <c r="T570" i="1" s="1"/>
  <c r="U570" i="1" s="1"/>
  <c r="AB570" i="1" s="1"/>
  <c r="S571" i="1"/>
  <c r="T571" i="1" s="1"/>
  <c r="U571" i="1" s="1"/>
  <c r="AB571" i="1" s="1"/>
  <c r="S572" i="1"/>
  <c r="T572" i="1" s="1"/>
  <c r="U572" i="1" s="1"/>
  <c r="AB572" i="1" s="1"/>
  <c r="S573" i="1"/>
  <c r="T573" i="1" s="1"/>
  <c r="U573" i="1" s="1"/>
  <c r="S574" i="1"/>
  <c r="T574" i="1" s="1"/>
  <c r="U574" i="1" s="1"/>
  <c r="S576" i="1"/>
  <c r="T576" i="1" s="1"/>
  <c r="U576" i="1" s="1"/>
  <c r="S577" i="1"/>
  <c r="T577" i="1" s="1"/>
  <c r="U577" i="1" s="1"/>
  <c r="AB577" i="1" s="1"/>
  <c r="S575" i="1"/>
  <c r="T575" i="1" s="1"/>
  <c r="U575" i="1" s="1"/>
  <c r="S578" i="1"/>
  <c r="T578" i="1" s="1"/>
  <c r="U578" i="1" s="1"/>
  <c r="S579" i="1"/>
  <c r="T579" i="1" s="1"/>
  <c r="U579" i="1" s="1"/>
  <c r="AB579" i="1" s="1"/>
  <c r="S580" i="1"/>
  <c r="T580" i="1" s="1"/>
  <c r="U580" i="1" s="1"/>
  <c r="AB580" i="1" s="1"/>
  <c r="S581" i="1"/>
  <c r="T581" i="1" s="1"/>
  <c r="U581" i="1" s="1"/>
  <c r="S582" i="1"/>
  <c r="T582" i="1" s="1"/>
  <c r="U582" i="1" s="1"/>
  <c r="S583" i="1"/>
  <c r="T583" i="1" s="1"/>
  <c r="U583" i="1" s="1"/>
  <c r="AB583" i="1" s="1"/>
  <c r="S584" i="1"/>
  <c r="T584" i="1" s="1"/>
  <c r="U584" i="1" s="1"/>
  <c r="AB584" i="1" s="1"/>
  <c r="S585" i="1"/>
  <c r="T585" i="1" s="1"/>
  <c r="U585" i="1" s="1"/>
  <c r="S586" i="1"/>
  <c r="T586" i="1" s="1"/>
  <c r="U586" i="1" s="1"/>
  <c r="S587" i="1"/>
  <c r="T587" i="1" s="1"/>
  <c r="U587" i="1" s="1"/>
  <c r="S588" i="1"/>
  <c r="T588" i="1" s="1"/>
  <c r="U588" i="1" s="1"/>
  <c r="AB588" i="1" s="1"/>
  <c r="S589" i="1"/>
  <c r="T589" i="1" s="1"/>
  <c r="U589" i="1" s="1"/>
  <c r="S590" i="1"/>
  <c r="T590" i="1" s="1"/>
  <c r="U590" i="1" s="1"/>
  <c r="S591" i="1"/>
  <c r="T591" i="1" s="1"/>
  <c r="U591" i="1" s="1"/>
  <c r="AB591" i="1" s="1"/>
  <c r="S592" i="1"/>
  <c r="T592" i="1" s="1"/>
  <c r="U592" i="1" s="1"/>
  <c r="AB592" i="1" s="1"/>
  <c r="S593" i="1"/>
  <c r="T593" i="1" s="1"/>
  <c r="U593" i="1" s="1"/>
  <c r="AB593" i="1" s="1"/>
  <c r="S594" i="1"/>
  <c r="T594" i="1" s="1"/>
  <c r="U594" i="1" s="1"/>
  <c r="AB594" i="1" s="1"/>
  <c r="S595" i="1"/>
  <c r="T595" i="1" s="1"/>
  <c r="U595" i="1" s="1"/>
  <c r="AB595" i="1" s="1"/>
  <c r="S596" i="1"/>
  <c r="T596" i="1" s="1"/>
  <c r="U596" i="1" s="1"/>
  <c r="S597" i="1"/>
  <c r="T597" i="1" s="1"/>
  <c r="U597" i="1" s="1"/>
  <c r="AB597" i="1" s="1"/>
  <c r="S598" i="1"/>
  <c r="T598" i="1" s="1"/>
  <c r="U598" i="1" s="1"/>
  <c r="AB598" i="1" s="1"/>
  <c r="S601" i="1"/>
  <c r="T601" i="1" s="1"/>
  <c r="U601" i="1" s="1"/>
  <c r="S599" i="1"/>
  <c r="T599" i="1" s="1"/>
  <c r="U599" i="1" s="1"/>
  <c r="AB599" i="1" s="1"/>
  <c r="S600" i="1"/>
  <c r="T600" i="1" s="1"/>
  <c r="U600" i="1" s="1"/>
  <c r="S604" i="1"/>
  <c r="T604" i="1" s="1"/>
  <c r="U604" i="1" s="1"/>
  <c r="AB604" i="1" s="1"/>
  <c r="S602" i="1"/>
  <c r="T602" i="1" s="1"/>
  <c r="U602" i="1" s="1"/>
  <c r="S603" i="1"/>
  <c r="T603" i="1" s="1"/>
  <c r="U603" i="1" s="1"/>
  <c r="AB603" i="1" s="1"/>
  <c r="S605" i="1"/>
  <c r="T605" i="1" s="1"/>
  <c r="U605" i="1" s="1"/>
  <c r="AB605" i="1" s="1"/>
  <c r="S606" i="1"/>
  <c r="T606" i="1" s="1"/>
  <c r="U606" i="1" s="1"/>
  <c r="S607" i="1"/>
  <c r="T607" i="1" s="1"/>
  <c r="U607" i="1" s="1"/>
  <c r="S620" i="1"/>
  <c r="T620" i="1" s="1"/>
  <c r="U620" i="1" s="1"/>
  <c r="AB620" i="1" s="1"/>
  <c r="S622" i="1"/>
  <c r="T622" i="1" s="1"/>
  <c r="U622" i="1" s="1"/>
  <c r="S621" i="1"/>
  <c r="T621" i="1" s="1"/>
  <c r="U621" i="1" s="1"/>
  <c r="S611" i="1"/>
  <c r="T611" i="1" s="1"/>
  <c r="U611" i="1" s="1"/>
  <c r="S612" i="1"/>
  <c r="T612" i="1" s="1"/>
  <c r="U612" i="1" s="1"/>
  <c r="AB612" i="1" s="1"/>
  <c r="S613" i="1"/>
  <c r="T613" i="1" s="1"/>
  <c r="U613" i="1" s="1"/>
  <c r="AB613" i="1" s="1"/>
  <c r="S614" i="1"/>
  <c r="T614" i="1" s="1"/>
  <c r="U614" i="1" s="1"/>
  <c r="S615" i="1"/>
  <c r="T615" i="1" s="1"/>
  <c r="U615" i="1" s="1"/>
  <c r="S616" i="1"/>
  <c r="T616" i="1" s="1"/>
  <c r="U616" i="1" s="1"/>
  <c r="AB616" i="1" s="1"/>
  <c r="S617" i="1"/>
  <c r="T617" i="1" s="1"/>
  <c r="U617" i="1" s="1"/>
  <c r="AB617" i="1" s="1"/>
  <c r="S618" i="1"/>
  <c r="T618" i="1" s="1"/>
  <c r="U618" i="1" s="1"/>
  <c r="S619" i="1"/>
  <c r="T619" i="1" s="1"/>
  <c r="U619" i="1" s="1"/>
  <c r="S610" i="1"/>
  <c r="T610" i="1" s="1"/>
  <c r="U610" i="1" s="1"/>
  <c r="AB610" i="1" s="1"/>
  <c r="S609" i="1"/>
  <c r="T609" i="1" s="1"/>
  <c r="U609" i="1" s="1"/>
  <c r="AB609" i="1" s="1"/>
  <c r="S608" i="1"/>
  <c r="T608" i="1" s="1"/>
  <c r="U608" i="1" s="1"/>
  <c r="S624" i="1"/>
  <c r="T624" i="1" s="1"/>
  <c r="U624" i="1" s="1"/>
  <c r="S623" i="1"/>
  <c r="T623" i="1" s="1"/>
  <c r="U623" i="1" s="1"/>
  <c r="AB623" i="1" s="1"/>
  <c r="S625" i="1"/>
  <c r="T625" i="1" s="1"/>
  <c r="U625" i="1" s="1"/>
  <c r="S626" i="1"/>
  <c r="T626" i="1" s="1"/>
  <c r="U626" i="1" s="1"/>
  <c r="AB626" i="1" s="1"/>
  <c r="S627" i="1"/>
  <c r="T627" i="1" s="1"/>
  <c r="U627" i="1" s="1"/>
  <c r="S628" i="1"/>
  <c r="T628" i="1" s="1"/>
  <c r="U628" i="1" s="1"/>
  <c r="AB628" i="1" s="1"/>
  <c r="S629" i="1"/>
  <c r="T629" i="1" s="1"/>
  <c r="U629" i="1" s="1"/>
  <c r="AB629" i="1" s="1"/>
  <c r="S630" i="1"/>
  <c r="T630" i="1" s="1"/>
  <c r="U630" i="1" s="1"/>
  <c r="AB630" i="1" s="1"/>
  <c r="S631" i="1"/>
  <c r="T631" i="1" s="1"/>
  <c r="U631" i="1" s="1"/>
  <c r="AB631" i="1" s="1"/>
  <c r="S632" i="1"/>
  <c r="T632" i="1" s="1"/>
  <c r="U632" i="1" s="1"/>
  <c r="AB632" i="1" s="1"/>
  <c r="S633" i="1"/>
  <c r="T633" i="1" s="1"/>
  <c r="U633" i="1" s="1"/>
  <c r="S634" i="1"/>
  <c r="T634" i="1" s="1"/>
  <c r="U634" i="1" s="1"/>
  <c r="S636" i="1"/>
  <c r="T636" i="1" s="1"/>
  <c r="U636" i="1" s="1"/>
  <c r="S637" i="1"/>
  <c r="T637" i="1" s="1"/>
  <c r="U637" i="1" s="1"/>
  <c r="AB637" i="1" s="1"/>
  <c r="S635" i="1"/>
  <c r="T635" i="1" s="1"/>
  <c r="U635" i="1" s="1"/>
  <c r="S638" i="1"/>
  <c r="T638" i="1" s="1"/>
  <c r="U638" i="1" s="1"/>
  <c r="S639" i="1"/>
  <c r="T639" i="1" s="1"/>
  <c r="U639" i="1" s="1"/>
  <c r="AB639" i="1" s="1"/>
  <c r="S640" i="1"/>
  <c r="T640" i="1" s="1"/>
  <c r="U640" i="1" s="1"/>
  <c r="AB640" i="1" s="1"/>
  <c r="S641" i="1"/>
  <c r="T641" i="1" s="1"/>
  <c r="U641" i="1" s="1"/>
  <c r="S642" i="1"/>
  <c r="T642" i="1" s="1"/>
  <c r="U642" i="1" s="1"/>
  <c r="S643" i="1"/>
  <c r="T643" i="1" s="1"/>
  <c r="U643" i="1" s="1"/>
  <c r="AB643" i="1" s="1"/>
  <c r="S644" i="1"/>
  <c r="T644" i="1" s="1"/>
  <c r="U644" i="1" s="1"/>
  <c r="AB644" i="1" s="1"/>
  <c r="S645" i="1"/>
  <c r="T645" i="1" s="1"/>
  <c r="U645" i="1" s="1"/>
  <c r="S646" i="1"/>
  <c r="T646" i="1" s="1"/>
  <c r="U646" i="1" s="1"/>
  <c r="S647" i="1"/>
  <c r="T647" i="1" s="1"/>
  <c r="U647" i="1" s="1"/>
  <c r="S648" i="1"/>
  <c r="T648" i="1" s="1"/>
  <c r="U648" i="1" s="1"/>
  <c r="AB648" i="1" s="1"/>
  <c r="S649" i="1"/>
  <c r="T649" i="1" s="1"/>
  <c r="U649" i="1" s="1"/>
  <c r="S650" i="1"/>
  <c r="T650" i="1" s="1"/>
  <c r="U650" i="1" s="1"/>
  <c r="S651" i="1"/>
  <c r="T651" i="1" s="1"/>
  <c r="U651" i="1" s="1"/>
  <c r="AB651" i="1" s="1"/>
  <c r="S652" i="1"/>
  <c r="T652" i="1" s="1"/>
  <c r="U652" i="1" s="1"/>
  <c r="AB652" i="1" s="1"/>
  <c r="S653" i="1"/>
  <c r="T653" i="1" s="1"/>
  <c r="U653" i="1" s="1"/>
  <c r="AB653" i="1" s="1"/>
  <c r="S654" i="1"/>
  <c r="T654" i="1" s="1"/>
  <c r="U654" i="1" s="1"/>
  <c r="AB654" i="1" s="1"/>
  <c r="S655" i="1"/>
  <c r="T655" i="1" s="1"/>
  <c r="U655" i="1" s="1"/>
  <c r="AB655" i="1" s="1"/>
  <c r="S656" i="1"/>
  <c r="T656" i="1" s="1"/>
  <c r="U656" i="1" s="1"/>
  <c r="S657" i="1"/>
  <c r="T657" i="1" s="1"/>
  <c r="U657" i="1" s="1"/>
  <c r="AB657" i="1" s="1"/>
  <c r="S658" i="1"/>
  <c r="T658" i="1" s="1"/>
  <c r="U658" i="1" s="1"/>
  <c r="AB658" i="1" s="1"/>
  <c r="S661" i="1"/>
  <c r="T661" i="1" s="1"/>
  <c r="U661" i="1" s="1"/>
  <c r="S659" i="1"/>
  <c r="T659" i="1" s="1"/>
  <c r="U659" i="1" s="1"/>
  <c r="AB659" i="1" s="1"/>
  <c r="S660" i="1"/>
  <c r="T660" i="1" s="1"/>
  <c r="U660" i="1" s="1"/>
  <c r="S664" i="1"/>
  <c r="T664" i="1" s="1"/>
  <c r="U664" i="1" s="1"/>
  <c r="AB664" i="1" s="1"/>
  <c r="S662" i="1"/>
  <c r="T662" i="1" s="1"/>
  <c r="U662" i="1" s="1"/>
  <c r="S663" i="1"/>
  <c r="T663" i="1" s="1"/>
  <c r="U663" i="1" s="1"/>
  <c r="AB663" i="1" s="1"/>
  <c r="S665" i="1"/>
  <c r="T665" i="1" s="1"/>
  <c r="U665" i="1" s="1"/>
  <c r="AB665" i="1" s="1"/>
  <c r="S666" i="1"/>
  <c r="T666" i="1" s="1"/>
  <c r="U666" i="1" s="1"/>
  <c r="S667" i="1"/>
  <c r="T667" i="1" s="1"/>
  <c r="U667" i="1" s="1"/>
  <c r="S681" i="1"/>
  <c r="T681" i="1" s="1"/>
  <c r="U681" i="1" s="1"/>
  <c r="AB681" i="1" s="1"/>
  <c r="S683" i="1"/>
  <c r="T683" i="1" s="1"/>
  <c r="U683" i="1" s="1"/>
  <c r="S682" i="1"/>
  <c r="T682" i="1" s="1"/>
  <c r="U682" i="1" s="1"/>
  <c r="S672" i="1"/>
  <c r="T672" i="1" s="1"/>
  <c r="U672" i="1" s="1"/>
  <c r="S673" i="1"/>
  <c r="T673" i="1" s="1"/>
  <c r="U673" i="1" s="1"/>
  <c r="AB673" i="1" s="1"/>
  <c r="S674" i="1"/>
  <c r="T674" i="1" s="1"/>
  <c r="U674" i="1" s="1"/>
  <c r="AB674" i="1" s="1"/>
  <c r="S675" i="1"/>
  <c r="T675" i="1" s="1"/>
  <c r="U675" i="1" s="1"/>
  <c r="S676" i="1"/>
  <c r="T676" i="1" s="1"/>
  <c r="U676" i="1" s="1"/>
  <c r="S677" i="1"/>
  <c r="T677" i="1" s="1"/>
  <c r="U677" i="1" s="1"/>
  <c r="AB677" i="1" s="1"/>
  <c r="S678" i="1"/>
  <c r="T678" i="1" s="1"/>
  <c r="U678" i="1" s="1"/>
  <c r="AB678" i="1" s="1"/>
  <c r="S679" i="1"/>
  <c r="T679" i="1" s="1"/>
  <c r="U679" i="1" s="1"/>
  <c r="S680" i="1"/>
  <c r="T680" i="1" s="1"/>
  <c r="U680" i="1" s="1"/>
  <c r="S671" i="1"/>
  <c r="T671" i="1" s="1"/>
  <c r="U671" i="1" s="1"/>
  <c r="AB671" i="1" s="1"/>
  <c r="S670" i="1"/>
  <c r="T670" i="1" s="1"/>
  <c r="U670" i="1" s="1"/>
  <c r="AB670" i="1" s="1"/>
  <c r="S669" i="1"/>
  <c r="T669" i="1" s="1"/>
  <c r="U669" i="1" s="1"/>
  <c r="S685" i="1"/>
  <c r="T685" i="1" s="1"/>
  <c r="U685" i="1" s="1"/>
  <c r="S684" i="1"/>
  <c r="T684" i="1" s="1"/>
  <c r="U684" i="1" s="1"/>
  <c r="AB684" i="1" s="1"/>
  <c r="S686" i="1"/>
  <c r="T686" i="1" s="1"/>
  <c r="U686" i="1" s="1"/>
  <c r="S687" i="1"/>
  <c r="T687" i="1" s="1"/>
  <c r="U687" i="1" s="1"/>
  <c r="AB687" i="1" s="1"/>
  <c r="S688" i="1"/>
  <c r="T688" i="1" s="1"/>
  <c r="U688" i="1" s="1"/>
  <c r="S689" i="1"/>
  <c r="T689" i="1" s="1"/>
  <c r="U689" i="1" s="1"/>
  <c r="AB689" i="1" s="1"/>
  <c r="S690" i="1"/>
  <c r="T690" i="1" s="1"/>
  <c r="U690" i="1" s="1"/>
  <c r="AB690" i="1" s="1"/>
  <c r="S691" i="1"/>
  <c r="T691" i="1" s="1"/>
  <c r="U691" i="1" s="1"/>
  <c r="AB691" i="1" s="1"/>
  <c r="S692" i="1"/>
  <c r="T692" i="1" s="1"/>
  <c r="U692" i="1" s="1"/>
  <c r="AB692" i="1" s="1"/>
  <c r="S693" i="1"/>
  <c r="T693" i="1" s="1"/>
  <c r="U693" i="1" s="1"/>
  <c r="AB693" i="1" s="1"/>
  <c r="S694" i="1"/>
  <c r="T694" i="1" s="1"/>
  <c r="U694" i="1" s="1"/>
  <c r="S695" i="1"/>
  <c r="T695" i="1" s="1"/>
  <c r="U695" i="1" s="1"/>
  <c r="S697" i="1"/>
  <c r="T697" i="1" s="1"/>
  <c r="U697" i="1" s="1"/>
  <c r="S698" i="1"/>
  <c r="T698" i="1" s="1"/>
  <c r="U698" i="1" s="1"/>
  <c r="AB698" i="1" s="1"/>
  <c r="S696" i="1"/>
  <c r="T696" i="1" s="1"/>
  <c r="U696" i="1" s="1"/>
  <c r="S699" i="1"/>
  <c r="T699" i="1" s="1"/>
  <c r="U699" i="1" s="1"/>
  <c r="S700" i="1"/>
  <c r="T700" i="1" s="1"/>
  <c r="U700" i="1" s="1"/>
  <c r="AB700" i="1" s="1"/>
  <c r="S701" i="1"/>
  <c r="T701" i="1" s="1"/>
  <c r="U701" i="1" s="1"/>
  <c r="AB701" i="1" s="1"/>
  <c r="S702" i="1"/>
  <c r="T702" i="1" s="1"/>
  <c r="U702" i="1" s="1"/>
  <c r="S703" i="1"/>
  <c r="T703" i="1" s="1"/>
  <c r="U703" i="1" s="1"/>
  <c r="S704" i="1"/>
  <c r="T704" i="1" s="1"/>
  <c r="U704" i="1" s="1"/>
  <c r="AB704" i="1" s="1"/>
  <c r="S705" i="1"/>
  <c r="T705" i="1" s="1"/>
  <c r="U705" i="1" s="1"/>
  <c r="AB705" i="1" s="1"/>
  <c r="S706" i="1"/>
  <c r="T706" i="1" s="1"/>
  <c r="U706" i="1" s="1"/>
  <c r="S707" i="1"/>
  <c r="T707" i="1" s="1"/>
  <c r="U707" i="1" s="1"/>
  <c r="S708" i="1"/>
  <c r="T708" i="1" s="1"/>
  <c r="U708" i="1" s="1"/>
  <c r="S709" i="1"/>
  <c r="T709" i="1" s="1"/>
  <c r="U709" i="1" s="1"/>
  <c r="AB709" i="1" s="1"/>
  <c r="S710" i="1"/>
  <c r="T710" i="1" s="1"/>
  <c r="U710" i="1" s="1"/>
  <c r="S711" i="1"/>
  <c r="T711" i="1" s="1"/>
  <c r="U711" i="1" s="1"/>
  <c r="S712" i="1"/>
  <c r="T712" i="1" s="1"/>
  <c r="U712" i="1" s="1"/>
  <c r="AB712" i="1" s="1"/>
  <c r="S713" i="1"/>
  <c r="T713" i="1" s="1"/>
  <c r="U713" i="1" s="1"/>
  <c r="AB713" i="1" s="1"/>
  <c r="S714" i="1"/>
  <c r="T714" i="1" s="1"/>
  <c r="U714" i="1" s="1"/>
  <c r="AB714" i="1" s="1"/>
  <c r="S715" i="1"/>
  <c r="T715" i="1" s="1"/>
  <c r="U715" i="1" s="1"/>
  <c r="AB715" i="1" s="1"/>
  <c r="S716" i="1"/>
  <c r="T716" i="1" s="1"/>
  <c r="U716" i="1" s="1"/>
  <c r="AB716" i="1" s="1"/>
  <c r="S717" i="1"/>
  <c r="T717" i="1" s="1"/>
  <c r="U717" i="1" s="1"/>
  <c r="S718" i="1"/>
  <c r="T718" i="1" s="1"/>
  <c r="U718" i="1" s="1"/>
  <c r="AB718" i="1" s="1"/>
  <c r="S719" i="1"/>
  <c r="T719" i="1" s="1"/>
  <c r="U719" i="1" s="1"/>
  <c r="AB719" i="1" s="1"/>
  <c r="S722" i="1"/>
  <c r="T722" i="1" s="1"/>
  <c r="U722" i="1" s="1"/>
  <c r="S720" i="1"/>
  <c r="T720" i="1" s="1"/>
  <c r="U720" i="1" s="1"/>
  <c r="AB720" i="1" s="1"/>
  <c r="S721" i="1"/>
  <c r="T721" i="1" s="1"/>
  <c r="U721" i="1" s="1"/>
  <c r="S725" i="1"/>
  <c r="T725" i="1" s="1"/>
  <c r="U725" i="1" s="1"/>
  <c r="AB725" i="1" s="1"/>
  <c r="S723" i="1"/>
  <c r="T723" i="1" s="1"/>
  <c r="U723" i="1" s="1"/>
  <c r="S724" i="1"/>
  <c r="T724" i="1" s="1"/>
  <c r="U724" i="1" s="1"/>
  <c r="AB724" i="1" s="1"/>
  <c r="S726" i="1"/>
  <c r="T726" i="1" s="1"/>
  <c r="U726" i="1" s="1"/>
  <c r="AB726" i="1" s="1"/>
  <c r="S727" i="1"/>
  <c r="T727" i="1" s="1"/>
  <c r="U727" i="1" s="1"/>
  <c r="S728" i="1"/>
  <c r="T728" i="1" s="1"/>
  <c r="U728" i="1" s="1"/>
  <c r="S741" i="1"/>
  <c r="T741" i="1" s="1"/>
  <c r="U741" i="1" s="1"/>
  <c r="AB741" i="1" s="1"/>
  <c r="S743" i="1"/>
  <c r="T743" i="1" s="1"/>
  <c r="U743" i="1" s="1"/>
  <c r="S742" i="1"/>
  <c r="T742" i="1" s="1"/>
  <c r="U742" i="1" s="1"/>
  <c r="S732" i="1"/>
  <c r="T732" i="1" s="1"/>
  <c r="U732" i="1" s="1"/>
  <c r="S733" i="1"/>
  <c r="T733" i="1" s="1"/>
  <c r="U733" i="1" s="1"/>
  <c r="AB733" i="1" s="1"/>
  <c r="S734" i="1"/>
  <c r="T734" i="1" s="1"/>
  <c r="U734" i="1" s="1"/>
  <c r="AB734" i="1" s="1"/>
  <c r="S735" i="1"/>
  <c r="T735" i="1" s="1"/>
  <c r="U735" i="1" s="1"/>
  <c r="S736" i="1"/>
  <c r="T736" i="1" s="1"/>
  <c r="U736" i="1" s="1"/>
  <c r="S737" i="1"/>
  <c r="T737" i="1" s="1"/>
  <c r="U737" i="1" s="1"/>
  <c r="AB737" i="1" s="1"/>
  <c r="S738" i="1"/>
  <c r="T738" i="1" s="1"/>
  <c r="U738" i="1" s="1"/>
  <c r="AB738" i="1" s="1"/>
  <c r="S739" i="1"/>
  <c r="T739" i="1" s="1"/>
  <c r="U739" i="1" s="1"/>
  <c r="S740" i="1"/>
  <c r="T740" i="1" s="1"/>
  <c r="U740" i="1" s="1"/>
  <c r="S731" i="1"/>
  <c r="T731" i="1" s="1"/>
  <c r="U731" i="1" s="1"/>
  <c r="AB731" i="1" s="1"/>
  <c r="S730" i="1"/>
  <c r="T730" i="1" s="1"/>
  <c r="U730" i="1" s="1"/>
  <c r="AB730" i="1" s="1"/>
  <c r="S729" i="1"/>
  <c r="T729" i="1" s="1"/>
  <c r="U729" i="1" s="1"/>
  <c r="S745" i="1"/>
  <c r="T745" i="1" s="1"/>
  <c r="U745" i="1" s="1"/>
  <c r="S744" i="1"/>
  <c r="T744" i="1" s="1"/>
  <c r="U744" i="1" s="1"/>
  <c r="AB744" i="1" s="1"/>
  <c r="S746" i="1"/>
  <c r="T746" i="1" s="1"/>
  <c r="U746" i="1" s="1"/>
  <c r="S747" i="1"/>
  <c r="T747" i="1" s="1"/>
  <c r="U747" i="1" s="1"/>
  <c r="AB747" i="1" s="1"/>
  <c r="S748" i="1"/>
  <c r="T748" i="1" s="1"/>
  <c r="U748" i="1" s="1"/>
  <c r="S749" i="1"/>
  <c r="T749" i="1" s="1"/>
  <c r="U749" i="1" s="1"/>
  <c r="AB749" i="1" s="1"/>
  <c r="S750" i="1"/>
  <c r="T750" i="1" s="1"/>
  <c r="U750" i="1" s="1"/>
  <c r="AB750" i="1" s="1"/>
  <c r="S751" i="1"/>
  <c r="T751" i="1" s="1"/>
  <c r="U751" i="1" s="1"/>
  <c r="AB751" i="1" s="1"/>
  <c r="S752" i="1"/>
  <c r="T752" i="1" s="1"/>
  <c r="U752" i="1" s="1"/>
  <c r="AB752" i="1" s="1"/>
  <c r="S753" i="1"/>
  <c r="T753" i="1" s="1"/>
  <c r="U753" i="1" s="1"/>
  <c r="AB753" i="1" s="1"/>
  <c r="S754" i="1"/>
  <c r="T754" i="1" s="1"/>
  <c r="U754" i="1" s="1"/>
  <c r="S755" i="1"/>
  <c r="T755" i="1" s="1"/>
  <c r="U755" i="1" s="1"/>
  <c r="S757" i="1"/>
  <c r="T757" i="1" s="1"/>
  <c r="U757" i="1" s="1"/>
  <c r="S758" i="1"/>
  <c r="T758" i="1" s="1"/>
  <c r="U758" i="1" s="1"/>
  <c r="AB758" i="1" s="1"/>
  <c r="S756" i="1"/>
  <c r="T756" i="1" s="1"/>
  <c r="U756" i="1" s="1"/>
  <c r="S759" i="1"/>
  <c r="T759" i="1" s="1"/>
  <c r="U759" i="1" s="1"/>
  <c r="AB759" i="1" s="1"/>
  <c r="S760" i="1"/>
  <c r="T760" i="1" s="1"/>
  <c r="U760" i="1" s="1"/>
  <c r="AB760" i="1" s="1"/>
  <c r="S761" i="1"/>
  <c r="T761" i="1" s="1"/>
  <c r="U761" i="1" s="1"/>
  <c r="AB761" i="1" s="1"/>
  <c r="S762" i="1"/>
  <c r="T762" i="1" s="1"/>
  <c r="U762" i="1" s="1"/>
  <c r="S763" i="1"/>
  <c r="T763" i="1" s="1"/>
  <c r="U763" i="1" s="1"/>
  <c r="AB763" i="1" s="1"/>
  <c r="S764" i="1"/>
  <c r="T764" i="1" s="1"/>
  <c r="U764" i="1" s="1"/>
  <c r="AB764" i="1" s="1"/>
  <c r="S765" i="1"/>
  <c r="T765" i="1" s="1"/>
  <c r="U765" i="1" s="1"/>
  <c r="AB765" i="1" s="1"/>
  <c r="S766" i="1"/>
  <c r="T766" i="1" s="1"/>
  <c r="U766" i="1" s="1"/>
  <c r="S767" i="1"/>
  <c r="T767" i="1" s="1"/>
  <c r="U767" i="1" s="1"/>
  <c r="AB767" i="1" s="1"/>
  <c r="S768" i="1"/>
  <c r="T768" i="1" s="1"/>
  <c r="U768" i="1" s="1"/>
  <c r="S769" i="1"/>
  <c r="T769" i="1" s="1"/>
  <c r="U769" i="1" s="1"/>
  <c r="AB769" i="1" s="1"/>
  <c r="S770" i="1"/>
  <c r="T770" i="1" s="1"/>
  <c r="U770" i="1" s="1"/>
  <c r="S771" i="1"/>
  <c r="T771" i="1" s="1"/>
  <c r="U771" i="1" s="1"/>
  <c r="AB771" i="1" s="1"/>
  <c r="S772" i="1"/>
  <c r="T772" i="1" s="1"/>
  <c r="U772" i="1" s="1"/>
  <c r="AB772" i="1" s="1"/>
  <c r="S773" i="1"/>
  <c r="T773" i="1" s="1"/>
  <c r="U773" i="1" s="1"/>
  <c r="AB773" i="1" s="1"/>
  <c r="S774" i="1"/>
  <c r="T774" i="1" s="1"/>
  <c r="U774" i="1" s="1"/>
  <c r="AB774" i="1" s="1"/>
  <c r="S775" i="1"/>
  <c r="T775" i="1" s="1"/>
  <c r="U775" i="1" s="1"/>
  <c r="AB775" i="1" s="1"/>
  <c r="S776" i="1"/>
  <c r="T776" i="1" s="1"/>
  <c r="U776" i="1" s="1"/>
  <c r="AB776" i="1" s="1"/>
  <c r="S777" i="1"/>
  <c r="T777" i="1" s="1"/>
  <c r="U777" i="1" s="1"/>
  <c r="S778" i="1"/>
  <c r="T778" i="1" s="1"/>
  <c r="U778" i="1" s="1"/>
  <c r="AB778" i="1" s="1"/>
  <c r="S779" i="1"/>
  <c r="T779" i="1" s="1"/>
  <c r="U779" i="1" s="1"/>
  <c r="AB779" i="1" s="1"/>
  <c r="S782" i="1"/>
  <c r="T782" i="1" s="1"/>
  <c r="U782" i="1" s="1"/>
  <c r="S780" i="1"/>
  <c r="T780" i="1" s="1"/>
  <c r="U780" i="1" s="1"/>
  <c r="AB780" i="1" s="1"/>
  <c r="S781" i="1"/>
  <c r="T781" i="1" s="1"/>
  <c r="U781" i="1" s="1"/>
  <c r="S785" i="1"/>
  <c r="T785" i="1" s="1"/>
  <c r="U785" i="1" s="1"/>
  <c r="AB785" i="1" s="1"/>
  <c r="S783" i="1"/>
  <c r="T783" i="1" s="1"/>
  <c r="U783" i="1" s="1"/>
  <c r="S784" i="1"/>
  <c r="T784" i="1" s="1"/>
  <c r="U784" i="1" s="1"/>
  <c r="AB784" i="1" s="1"/>
  <c r="S786" i="1"/>
  <c r="T786" i="1" s="1"/>
  <c r="U786" i="1" s="1"/>
  <c r="AB786" i="1" s="1"/>
  <c r="S787" i="1"/>
  <c r="T787" i="1" s="1"/>
  <c r="U787" i="1" s="1"/>
  <c r="S788" i="1"/>
  <c r="T788" i="1" s="1"/>
  <c r="U788" i="1" s="1"/>
  <c r="S15" i="1"/>
  <c r="T15" i="1" s="1"/>
  <c r="U15" i="1" s="1"/>
  <c r="AB15" i="1" s="1"/>
  <c r="X17" i="1"/>
  <c r="X16" i="1"/>
  <c r="X6" i="1"/>
  <c r="X7" i="1"/>
  <c r="X8" i="1"/>
  <c r="X9" i="1"/>
  <c r="X10" i="1"/>
  <c r="X11" i="1"/>
  <c r="X12" i="1"/>
  <c r="X13" i="1"/>
  <c r="X14" i="1"/>
  <c r="X5" i="1"/>
  <c r="X4" i="1"/>
  <c r="X3" i="1"/>
  <c r="X19" i="1"/>
  <c r="X18" i="1"/>
  <c r="X20" i="1"/>
  <c r="X21" i="1"/>
  <c r="X22" i="1"/>
  <c r="X23" i="1"/>
  <c r="X24" i="1"/>
  <c r="X25" i="1"/>
  <c r="X26" i="1"/>
  <c r="X27" i="1"/>
  <c r="X28" i="1"/>
  <c r="X29" i="1"/>
  <c r="X31" i="1"/>
  <c r="X32" i="1"/>
  <c r="X30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6" i="1"/>
  <c r="X54" i="1"/>
  <c r="X55" i="1"/>
  <c r="X59" i="1"/>
  <c r="X57" i="1"/>
  <c r="X58" i="1"/>
  <c r="X60" i="1"/>
  <c r="X61" i="1"/>
  <c r="X62" i="1"/>
  <c r="X75" i="1"/>
  <c r="X77" i="1"/>
  <c r="X76" i="1"/>
  <c r="X66" i="1"/>
  <c r="X67" i="1"/>
  <c r="X68" i="1"/>
  <c r="X69" i="1"/>
  <c r="X70" i="1"/>
  <c r="X71" i="1"/>
  <c r="X72" i="1"/>
  <c r="X73" i="1"/>
  <c r="X74" i="1"/>
  <c r="X65" i="1"/>
  <c r="X64" i="1"/>
  <c r="X63" i="1"/>
  <c r="X79" i="1"/>
  <c r="X78" i="1"/>
  <c r="X80" i="1"/>
  <c r="X81" i="1"/>
  <c r="X82" i="1"/>
  <c r="X83" i="1"/>
  <c r="X84" i="1"/>
  <c r="X85" i="1"/>
  <c r="X86" i="1"/>
  <c r="X87" i="1"/>
  <c r="X88" i="1"/>
  <c r="X89" i="1"/>
  <c r="X91" i="1"/>
  <c r="X92" i="1"/>
  <c r="X90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6" i="1"/>
  <c r="X114" i="1"/>
  <c r="X115" i="1"/>
  <c r="X119" i="1"/>
  <c r="X117" i="1"/>
  <c r="X118" i="1"/>
  <c r="X120" i="1"/>
  <c r="X121" i="1"/>
  <c r="X122" i="1"/>
  <c r="X136" i="1"/>
  <c r="X138" i="1"/>
  <c r="X137" i="1"/>
  <c r="X127" i="1"/>
  <c r="X128" i="1"/>
  <c r="X129" i="1"/>
  <c r="X130" i="1"/>
  <c r="X131" i="1"/>
  <c r="X132" i="1"/>
  <c r="X133" i="1"/>
  <c r="X134" i="1"/>
  <c r="X135" i="1"/>
  <c r="X126" i="1"/>
  <c r="X125" i="1"/>
  <c r="X124" i="1"/>
  <c r="X140" i="1"/>
  <c r="X139" i="1"/>
  <c r="X141" i="1"/>
  <c r="X142" i="1"/>
  <c r="X143" i="1"/>
  <c r="X144" i="1"/>
  <c r="X145" i="1"/>
  <c r="X146" i="1"/>
  <c r="X147" i="1"/>
  <c r="X148" i="1"/>
  <c r="X149" i="1"/>
  <c r="X150" i="1"/>
  <c r="X152" i="1"/>
  <c r="X153" i="1"/>
  <c r="X151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7" i="1"/>
  <c r="X175" i="1"/>
  <c r="X176" i="1"/>
  <c r="X180" i="1"/>
  <c r="X178" i="1"/>
  <c r="X179" i="1"/>
  <c r="X181" i="1"/>
  <c r="X182" i="1"/>
  <c r="X183" i="1"/>
  <c r="X196" i="1"/>
  <c r="X198" i="1"/>
  <c r="X197" i="1"/>
  <c r="X187" i="1"/>
  <c r="X188" i="1"/>
  <c r="X189" i="1"/>
  <c r="X190" i="1"/>
  <c r="X191" i="1"/>
  <c r="X192" i="1"/>
  <c r="X193" i="1"/>
  <c r="X194" i="1"/>
  <c r="X195" i="1"/>
  <c r="X186" i="1"/>
  <c r="X185" i="1"/>
  <c r="X184" i="1"/>
  <c r="X200" i="1"/>
  <c r="X199" i="1"/>
  <c r="X201" i="1"/>
  <c r="X202" i="1"/>
  <c r="X203" i="1"/>
  <c r="X204" i="1"/>
  <c r="X205" i="1"/>
  <c r="X206" i="1"/>
  <c r="X207" i="1"/>
  <c r="X208" i="1"/>
  <c r="X209" i="1"/>
  <c r="X210" i="1"/>
  <c r="X212" i="1"/>
  <c r="X213" i="1"/>
  <c r="X211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7" i="1"/>
  <c r="X235" i="1"/>
  <c r="X236" i="1"/>
  <c r="X240" i="1"/>
  <c r="X238" i="1"/>
  <c r="X239" i="1"/>
  <c r="X241" i="1"/>
  <c r="X242" i="1"/>
  <c r="X243" i="1"/>
  <c r="X257" i="1"/>
  <c r="X259" i="1"/>
  <c r="X258" i="1"/>
  <c r="X248" i="1"/>
  <c r="X249" i="1"/>
  <c r="X250" i="1"/>
  <c r="X251" i="1"/>
  <c r="X252" i="1"/>
  <c r="X253" i="1"/>
  <c r="X254" i="1"/>
  <c r="X255" i="1"/>
  <c r="X256" i="1"/>
  <c r="X247" i="1"/>
  <c r="X246" i="1"/>
  <c r="X245" i="1"/>
  <c r="X261" i="1"/>
  <c r="X260" i="1"/>
  <c r="X262" i="1"/>
  <c r="X263" i="1"/>
  <c r="X264" i="1"/>
  <c r="X265" i="1"/>
  <c r="X266" i="1"/>
  <c r="X267" i="1"/>
  <c r="X268" i="1"/>
  <c r="X269" i="1"/>
  <c r="X270" i="1"/>
  <c r="X271" i="1"/>
  <c r="X273" i="1"/>
  <c r="X274" i="1"/>
  <c r="X272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8" i="1"/>
  <c r="X296" i="1"/>
  <c r="X297" i="1"/>
  <c r="X301" i="1"/>
  <c r="X299" i="1"/>
  <c r="X300" i="1"/>
  <c r="X302" i="1"/>
  <c r="X303" i="1"/>
  <c r="X304" i="1"/>
  <c r="X317" i="1"/>
  <c r="X319" i="1"/>
  <c r="X318" i="1"/>
  <c r="X308" i="1"/>
  <c r="X309" i="1"/>
  <c r="X310" i="1"/>
  <c r="X311" i="1"/>
  <c r="X312" i="1"/>
  <c r="X313" i="1"/>
  <c r="X314" i="1"/>
  <c r="X315" i="1"/>
  <c r="X316" i="1"/>
  <c r="X307" i="1"/>
  <c r="X306" i="1"/>
  <c r="X305" i="1"/>
  <c r="X321" i="1"/>
  <c r="X320" i="1"/>
  <c r="X322" i="1"/>
  <c r="X323" i="1"/>
  <c r="X324" i="1"/>
  <c r="X325" i="1"/>
  <c r="X326" i="1"/>
  <c r="X327" i="1"/>
  <c r="X328" i="1"/>
  <c r="X329" i="1"/>
  <c r="X330" i="1"/>
  <c r="X331" i="1"/>
  <c r="X333" i="1"/>
  <c r="X334" i="1"/>
  <c r="X332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8" i="1"/>
  <c r="X356" i="1"/>
  <c r="X357" i="1"/>
  <c r="X361" i="1"/>
  <c r="X359" i="1"/>
  <c r="X360" i="1"/>
  <c r="X362" i="1"/>
  <c r="X363" i="1"/>
  <c r="X364" i="1"/>
  <c r="X378" i="1"/>
  <c r="X380" i="1"/>
  <c r="X379" i="1"/>
  <c r="X369" i="1"/>
  <c r="X370" i="1"/>
  <c r="X371" i="1"/>
  <c r="X372" i="1"/>
  <c r="X373" i="1"/>
  <c r="X374" i="1"/>
  <c r="X375" i="1"/>
  <c r="X376" i="1"/>
  <c r="X377" i="1"/>
  <c r="X368" i="1"/>
  <c r="X367" i="1"/>
  <c r="X366" i="1"/>
  <c r="X382" i="1"/>
  <c r="X381" i="1"/>
  <c r="X383" i="1"/>
  <c r="X384" i="1"/>
  <c r="X385" i="1"/>
  <c r="X386" i="1"/>
  <c r="X387" i="1"/>
  <c r="X388" i="1"/>
  <c r="X389" i="1"/>
  <c r="X390" i="1"/>
  <c r="X391" i="1"/>
  <c r="X392" i="1"/>
  <c r="X394" i="1"/>
  <c r="X395" i="1"/>
  <c r="X393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9" i="1"/>
  <c r="X417" i="1"/>
  <c r="X418" i="1"/>
  <c r="X422" i="1"/>
  <c r="X420" i="1"/>
  <c r="X421" i="1"/>
  <c r="X423" i="1"/>
  <c r="X424" i="1"/>
  <c r="X425" i="1"/>
  <c r="X438" i="1"/>
  <c r="X440" i="1"/>
  <c r="X439" i="1"/>
  <c r="X429" i="1"/>
  <c r="X430" i="1"/>
  <c r="X431" i="1"/>
  <c r="X432" i="1"/>
  <c r="X433" i="1"/>
  <c r="X434" i="1"/>
  <c r="X435" i="1"/>
  <c r="X436" i="1"/>
  <c r="X437" i="1"/>
  <c r="X428" i="1"/>
  <c r="X427" i="1"/>
  <c r="X426" i="1"/>
  <c r="X442" i="1"/>
  <c r="X441" i="1"/>
  <c r="X443" i="1"/>
  <c r="X444" i="1"/>
  <c r="X445" i="1"/>
  <c r="X446" i="1"/>
  <c r="X447" i="1"/>
  <c r="X448" i="1"/>
  <c r="X449" i="1"/>
  <c r="X450" i="1"/>
  <c r="X451" i="1"/>
  <c r="X452" i="1"/>
  <c r="X454" i="1"/>
  <c r="X455" i="1"/>
  <c r="X453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9" i="1"/>
  <c r="X477" i="1"/>
  <c r="X478" i="1"/>
  <c r="X482" i="1"/>
  <c r="X480" i="1"/>
  <c r="X481" i="1"/>
  <c r="X483" i="1"/>
  <c r="X484" i="1"/>
  <c r="X485" i="1"/>
  <c r="X499" i="1"/>
  <c r="X501" i="1"/>
  <c r="X500" i="1"/>
  <c r="X490" i="1"/>
  <c r="X491" i="1"/>
  <c r="X492" i="1"/>
  <c r="X493" i="1"/>
  <c r="X494" i="1"/>
  <c r="X495" i="1"/>
  <c r="X496" i="1"/>
  <c r="X497" i="1"/>
  <c r="X498" i="1"/>
  <c r="X489" i="1"/>
  <c r="X488" i="1"/>
  <c r="X487" i="1"/>
  <c r="X503" i="1"/>
  <c r="X502" i="1"/>
  <c r="X504" i="1"/>
  <c r="X505" i="1"/>
  <c r="X506" i="1"/>
  <c r="X507" i="1"/>
  <c r="X508" i="1"/>
  <c r="X509" i="1"/>
  <c r="X510" i="1"/>
  <c r="X511" i="1"/>
  <c r="X512" i="1"/>
  <c r="X513" i="1"/>
  <c r="X515" i="1"/>
  <c r="X516" i="1"/>
  <c r="X514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40" i="1"/>
  <c r="X538" i="1"/>
  <c r="X539" i="1"/>
  <c r="X543" i="1"/>
  <c r="X541" i="1"/>
  <c r="X542" i="1"/>
  <c r="X544" i="1"/>
  <c r="X545" i="1"/>
  <c r="X546" i="1"/>
  <c r="X560" i="1"/>
  <c r="X562" i="1"/>
  <c r="X561" i="1"/>
  <c r="X551" i="1"/>
  <c r="X552" i="1"/>
  <c r="X553" i="1"/>
  <c r="X554" i="1"/>
  <c r="X555" i="1"/>
  <c r="X556" i="1"/>
  <c r="X557" i="1"/>
  <c r="X558" i="1"/>
  <c r="X559" i="1"/>
  <c r="X550" i="1"/>
  <c r="X549" i="1"/>
  <c r="X548" i="1"/>
  <c r="X564" i="1"/>
  <c r="X563" i="1"/>
  <c r="X565" i="1"/>
  <c r="X566" i="1"/>
  <c r="X567" i="1"/>
  <c r="X568" i="1"/>
  <c r="X569" i="1"/>
  <c r="X570" i="1"/>
  <c r="X571" i="1"/>
  <c r="X572" i="1"/>
  <c r="X573" i="1"/>
  <c r="X574" i="1"/>
  <c r="X576" i="1"/>
  <c r="X577" i="1"/>
  <c r="X575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601" i="1"/>
  <c r="X599" i="1"/>
  <c r="X600" i="1"/>
  <c r="X604" i="1"/>
  <c r="X602" i="1"/>
  <c r="X603" i="1"/>
  <c r="X605" i="1"/>
  <c r="X606" i="1"/>
  <c r="X607" i="1"/>
  <c r="X620" i="1"/>
  <c r="X622" i="1"/>
  <c r="X621" i="1"/>
  <c r="X611" i="1"/>
  <c r="X612" i="1"/>
  <c r="X613" i="1"/>
  <c r="X614" i="1"/>
  <c r="X615" i="1"/>
  <c r="X616" i="1"/>
  <c r="X617" i="1"/>
  <c r="X618" i="1"/>
  <c r="X619" i="1"/>
  <c r="X610" i="1"/>
  <c r="X609" i="1"/>
  <c r="X608" i="1"/>
  <c r="X624" i="1"/>
  <c r="X623" i="1"/>
  <c r="X625" i="1"/>
  <c r="X626" i="1"/>
  <c r="X627" i="1"/>
  <c r="X628" i="1"/>
  <c r="X629" i="1"/>
  <c r="X630" i="1"/>
  <c r="X631" i="1"/>
  <c r="X632" i="1"/>
  <c r="X633" i="1"/>
  <c r="X634" i="1"/>
  <c r="X636" i="1"/>
  <c r="X637" i="1"/>
  <c r="X635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61" i="1"/>
  <c r="X659" i="1"/>
  <c r="X660" i="1"/>
  <c r="X664" i="1"/>
  <c r="X662" i="1"/>
  <c r="X663" i="1"/>
  <c r="X665" i="1"/>
  <c r="X666" i="1"/>
  <c r="X667" i="1"/>
  <c r="X681" i="1"/>
  <c r="X683" i="1"/>
  <c r="X682" i="1"/>
  <c r="X672" i="1"/>
  <c r="X673" i="1"/>
  <c r="X674" i="1"/>
  <c r="X675" i="1"/>
  <c r="X676" i="1"/>
  <c r="X677" i="1"/>
  <c r="X678" i="1"/>
  <c r="X679" i="1"/>
  <c r="X680" i="1"/>
  <c r="X671" i="1"/>
  <c r="X670" i="1"/>
  <c r="X669" i="1"/>
  <c r="X685" i="1"/>
  <c r="X684" i="1"/>
  <c r="X686" i="1"/>
  <c r="X687" i="1"/>
  <c r="X688" i="1"/>
  <c r="X689" i="1"/>
  <c r="X690" i="1"/>
  <c r="X691" i="1"/>
  <c r="X692" i="1"/>
  <c r="X693" i="1"/>
  <c r="X694" i="1"/>
  <c r="X695" i="1"/>
  <c r="X697" i="1"/>
  <c r="X698" i="1"/>
  <c r="X696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2" i="1"/>
  <c r="X720" i="1"/>
  <c r="X721" i="1"/>
  <c r="X725" i="1"/>
  <c r="X723" i="1"/>
  <c r="X724" i="1"/>
  <c r="X726" i="1"/>
  <c r="X727" i="1"/>
  <c r="X728" i="1"/>
  <c r="X741" i="1"/>
  <c r="X743" i="1"/>
  <c r="X742" i="1"/>
  <c r="X732" i="1"/>
  <c r="X733" i="1"/>
  <c r="X734" i="1"/>
  <c r="X735" i="1"/>
  <c r="X736" i="1"/>
  <c r="X737" i="1"/>
  <c r="X738" i="1"/>
  <c r="X739" i="1"/>
  <c r="X740" i="1"/>
  <c r="X731" i="1"/>
  <c r="X730" i="1"/>
  <c r="X729" i="1"/>
  <c r="X745" i="1"/>
  <c r="X744" i="1"/>
  <c r="X746" i="1"/>
  <c r="X747" i="1"/>
  <c r="X748" i="1"/>
  <c r="X749" i="1"/>
  <c r="X750" i="1"/>
  <c r="X751" i="1"/>
  <c r="X752" i="1"/>
  <c r="X753" i="1"/>
  <c r="X754" i="1"/>
  <c r="X755" i="1"/>
  <c r="X757" i="1"/>
  <c r="X758" i="1"/>
  <c r="X756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2" i="1"/>
  <c r="X780" i="1"/>
  <c r="X781" i="1"/>
  <c r="X785" i="1"/>
  <c r="X783" i="1"/>
  <c r="X784" i="1"/>
  <c r="X786" i="1"/>
  <c r="X787" i="1"/>
  <c r="X788" i="1"/>
  <c r="X15" i="1"/>
  <c r="AB29" i="1" l="1"/>
  <c r="AB73" i="1"/>
  <c r="AB110" i="1"/>
  <c r="AB50" i="1"/>
  <c r="AB78" i="1"/>
  <c r="AB18" i="1"/>
  <c r="AB86" i="1"/>
  <c r="AB26" i="1"/>
  <c r="AB782" i="1"/>
  <c r="AB722" i="1"/>
  <c r="AB661" i="1"/>
  <c r="AB622" i="1"/>
  <c r="AB601" i="1"/>
  <c r="AB562" i="1"/>
  <c r="AB540" i="1"/>
  <c r="AB501" i="1"/>
  <c r="AB440" i="1"/>
  <c r="AB380" i="1"/>
  <c r="AB319" i="1"/>
  <c r="AB259" i="1"/>
  <c r="AB198" i="1"/>
  <c r="AB77" i="1"/>
  <c r="AB344" i="1"/>
  <c r="AB756" i="1"/>
  <c r="AB635" i="1"/>
  <c r="AB575" i="1"/>
  <c r="AB514" i="1"/>
  <c r="AB453" i="1"/>
  <c r="AB393" i="1"/>
  <c r="AB272" i="1"/>
  <c r="AB223" i="1"/>
  <c r="AB211" i="1"/>
  <c r="AB163" i="1"/>
  <c r="AB777" i="1"/>
  <c r="AB717" i="1"/>
  <c r="AB656" i="1"/>
  <c r="AB596" i="1"/>
  <c r="AB535" i="1"/>
  <c r="AB474" i="1"/>
  <c r="AB414" i="1"/>
  <c r="AB353" i="1"/>
  <c r="AB293" i="1"/>
  <c r="AB232" i="1"/>
  <c r="AB172" i="1"/>
  <c r="AB111" i="1"/>
  <c r="AB51" i="1"/>
  <c r="AB729" i="1"/>
  <c r="AB669" i="1"/>
  <c r="AB608" i="1"/>
  <c r="AB548" i="1"/>
  <c r="AB487" i="1"/>
  <c r="AB426" i="1"/>
  <c r="AB366" i="1"/>
  <c r="AB305" i="1"/>
  <c r="AB245" i="1"/>
  <c r="AB184" i="1"/>
  <c r="AB124" i="1"/>
  <c r="AB768" i="1"/>
  <c r="AB708" i="1"/>
  <c r="AB647" i="1"/>
  <c r="AB64" i="1"/>
  <c r="AB284" i="1"/>
  <c r="AB696" i="1"/>
  <c r="AB587" i="1"/>
  <c r="AB526" i="1"/>
  <c r="AB465" i="1"/>
  <c r="AB405" i="1"/>
  <c r="AB332" i="1"/>
  <c r="AB151" i="1"/>
  <c r="AB743" i="1"/>
  <c r="AB683" i="1"/>
  <c r="AB13" i="1"/>
  <c r="AB44" i="1"/>
  <c r="AB787" i="1"/>
  <c r="AB755" i="1"/>
  <c r="AB739" i="1"/>
  <c r="AB781" i="1"/>
  <c r="AB770" i="1"/>
  <c r="AB766" i="1"/>
  <c r="AB762" i="1"/>
  <c r="AB754" i="1"/>
  <c r="AB746" i="1"/>
  <c r="AB721" i="1"/>
  <c r="AB710" i="1"/>
  <c r="AB706" i="1"/>
  <c r="AB702" i="1"/>
  <c r="AB694" i="1"/>
  <c r="AB686" i="1"/>
  <c r="AB660" i="1"/>
  <c r="AB649" i="1"/>
  <c r="AB645" i="1"/>
  <c r="AB641" i="1"/>
  <c r="AB633" i="1"/>
  <c r="AB625" i="1"/>
  <c r="AB600" i="1"/>
  <c r="AB589" i="1"/>
  <c r="AB585" i="1"/>
  <c r="AB581" i="1"/>
  <c r="AB573" i="1"/>
  <c r="AB565" i="1"/>
  <c r="AB539" i="1"/>
  <c r="AB528" i="1"/>
  <c r="AB524" i="1"/>
  <c r="AB520" i="1"/>
  <c r="AB512" i="1"/>
  <c r="AB504" i="1"/>
  <c r="AB478" i="1"/>
  <c r="AB467" i="1"/>
  <c r="AB463" i="1"/>
  <c r="AB459" i="1"/>
  <c r="AB451" i="1"/>
  <c r="AB443" i="1"/>
  <c r="AB418" i="1"/>
  <c r="AB407" i="1"/>
  <c r="AB403" i="1"/>
  <c r="AB399" i="1"/>
  <c r="AB346" i="1"/>
  <c r="AB342" i="1"/>
  <c r="AB338" i="1"/>
  <c r="AB330" i="1"/>
  <c r="AB322" i="1"/>
  <c r="AB297" i="1"/>
  <c r="AB286" i="1"/>
  <c r="AB282" i="1"/>
  <c r="AB278" i="1"/>
  <c r="AB225" i="1"/>
  <c r="AB221" i="1"/>
  <c r="AB217" i="1"/>
  <c r="AB165" i="1"/>
  <c r="AB161" i="1"/>
  <c r="AB157" i="1"/>
  <c r="AB118" i="1"/>
  <c r="AB83" i="1"/>
  <c r="AB71" i="1"/>
  <c r="AB67" i="1"/>
  <c r="AB75" i="1"/>
  <c r="AB58" i="1"/>
  <c r="AB23" i="1"/>
  <c r="AB11" i="1"/>
  <c r="AB7" i="1"/>
  <c r="AB52" i="1"/>
  <c r="AB48" i="1"/>
  <c r="AB788" i="1"/>
  <c r="AB783" i="1"/>
  <c r="AB757" i="1"/>
  <c r="AB748" i="1"/>
  <c r="AB745" i="1"/>
  <c r="AB740" i="1"/>
  <c r="AB736" i="1"/>
  <c r="AB732" i="1"/>
  <c r="AB728" i="1"/>
  <c r="AB723" i="1"/>
  <c r="AB697" i="1"/>
  <c r="AB688" i="1"/>
  <c r="AB685" i="1"/>
  <c r="AB680" i="1"/>
  <c r="AB676" i="1"/>
  <c r="AB672" i="1"/>
  <c r="AB667" i="1"/>
  <c r="AB662" i="1"/>
  <c r="AB636" i="1"/>
  <c r="AB627" i="1"/>
  <c r="AB624" i="1"/>
  <c r="AB619" i="1"/>
  <c r="AB615" i="1"/>
  <c r="AB611" i="1"/>
  <c r="AB607" i="1"/>
  <c r="AB602" i="1"/>
  <c r="AB576" i="1"/>
  <c r="AB567" i="1"/>
  <c r="AB564" i="1"/>
  <c r="AB559" i="1"/>
  <c r="AB555" i="1"/>
  <c r="AB551" i="1"/>
  <c r="AB546" i="1"/>
  <c r="AB541" i="1"/>
  <c r="AB515" i="1"/>
  <c r="AB506" i="1"/>
  <c r="AB503" i="1"/>
  <c r="AB498" i="1"/>
  <c r="AB494" i="1"/>
  <c r="AB490" i="1"/>
  <c r="AB485" i="1"/>
  <c r="AB480" i="1"/>
  <c r="AB454" i="1"/>
  <c r="AB445" i="1"/>
  <c r="AB442" i="1"/>
  <c r="AB437" i="1"/>
  <c r="AB433" i="1"/>
  <c r="AB429" i="1"/>
  <c r="AB425" i="1"/>
  <c r="AB394" i="1"/>
  <c r="AB385" i="1"/>
  <c r="AB377" i="1"/>
  <c r="AB373" i="1"/>
  <c r="AB369" i="1"/>
  <c r="AB321" i="1"/>
  <c r="AB261" i="1"/>
  <c r="AB200" i="1"/>
  <c r="AB140" i="1"/>
  <c r="AB122" i="1"/>
  <c r="AB117" i="1"/>
  <c r="AB116" i="1"/>
  <c r="AB106" i="1"/>
  <c r="AB102" i="1"/>
  <c r="AB98" i="1"/>
  <c r="AB94" i="1"/>
  <c r="AB91" i="1"/>
  <c r="AB82" i="1"/>
  <c r="AB74" i="1"/>
  <c r="AB70" i="1"/>
  <c r="AB66" i="1"/>
  <c r="AB62" i="1"/>
  <c r="AB57" i="1"/>
  <c r="AB56" i="1"/>
  <c r="AB46" i="1"/>
  <c r="AB42" i="1"/>
  <c r="AB38" i="1"/>
  <c r="AB34" i="1"/>
  <c r="AB31" i="1"/>
  <c r="AB22" i="1"/>
  <c r="AB14" i="1"/>
  <c r="AB10" i="1"/>
  <c r="AB6" i="1"/>
  <c r="AB735" i="1"/>
  <c r="AB742" i="1"/>
  <c r="AB727" i="1"/>
  <c r="AB711" i="1"/>
  <c r="AB707" i="1"/>
  <c r="AB703" i="1"/>
  <c r="AB699" i="1"/>
  <c r="AB695" i="1"/>
  <c r="AB679" i="1"/>
  <c r="AB675" i="1"/>
  <c r="AB682" i="1"/>
  <c r="AB666" i="1"/>
  <c r="AB650" i="1"/>
  <c r="AB646" i="1"/>
  <c r="AB642" i="1"/>
  <c r="AB638" i="1"/>
  <c r="AB634" i="1"/>
  <c r="AB618" i="1"/>
  <c r="AB614" i="1"/>
  <c r="AB621" i="1"/>
  <c r="AB606" i="1"/>
  <c r="AB590" i="1"/>
  <c r="AB586" i="1"/>
  <c r="AB582" i="1"/>
  <c r="AB578" i="1"/>
  <c r="AB574" i="1"/>
  <c r="AB558" i="1"/>
  <c r="AB554" i="1"/>
  <c r="AB561" i="1"/>
  <c r="AB545" i="1"/>
  <c r="AB529" i="1"/>
  <c r="AB525" i="1"/>
  <c r="AB521" i="1"/>
  <c r="AB517" i="1"/>
  <c r="AB513" i="1"/>
  <c r="AB497" i="1"/>
  <c r="AB493" i="1"/>
  <c r="AB500" i="1"/>
  <c r="AB484" i="1"/>
  <c r="AB468" i="1"/>
  <c r="AB464" i="1"/>
  <c r="AB460" i="1"/>
  <c r="AB456" i="1"/>
  <c r="AB452" i="1"/>
  <c r="AB436" i="1"/>
  <c r="AB432" i="1"/>
  <c r="AB439" i="1"/>
  <c r="AB424" i="1"/>
  <c r="AB376" i="1"/>
  <c r="AB372" i="1"/>
  <c r="AB379" i="1"/>
  <c r="AB331" i="1"/>
  <c r="AB315" i="1"/>
  <c r="AB311" i="1"/>
  <c r="AB318" i="1"/>
  <c r="AB303" i="1"/>
  <c r="AB271" i="1"/>
  <c r="AB255" i="1"/>
  <c r="AB251" i="1"/>
  <c r="AB258" i="1"/>
  <c r="AB242" i="1"/>
  <c r="AB210" i="1"/>
  <c r="AB194" i="1"/>
  <c r="AB190" i="1"/>
  <c r="AB197" i="1"/>
  <c r="AB182" i="1"/>
  <c r="AB150" i="1"/>
  <c r="AB134" i="1"/>
  <c r="AB130" i="1"/>
  <c r="AB137" i="1"/>
  <c r="AB113" i="1"/>
  <c r="AB109" i="1"/>
  <c r="AB105" i="1"/>
  <c r="AB101" i="1"/>
  <c r="AB97" i="1"/>
  <c r="AB93" i="1"/>
  <c r="AB85" i="1"/>
  <c r="AB63" i="1"/>
  <c r="AB53" i="1"/>
  <c r="AB49" i="1"/>
  <c r="AB45" i="1"/>
  <c r="AB41" i="1"/>
  <c r="AB37" i="1"/>
  <c r="AB25" i="1"/>
  <c r="AB3" i="1"/>
  <c r="AB382" i="1"/>
  <c r="AB392" i="1"/>
  <c r="AB391" i="1"/>
  <c r="AB383" i="1"/>
  <c r="AB363" i="1"/>
  <c r="AB357" i="1"/>
  <c r="AB270" i="1"/>
  <c r="AB266" i="1"/>
  <c r="AB262" i="1"/>
  <c r="AB236" i="1"/>
  <c r="AB209" i="1"/>
  <c r="AB205" i="1"/>
  <c r="AB201" i="1"/>
  <c r="AB176" i="1"/>
  <c r="AB149" i="1"/>
  <c r="AB145" i="1"/>
  <c r="AB141" i="1"/>
  <c r="AB115" i="1"/>
  <c r="AB112" i="1"/>
  <c r="AB108" i="1"/>
  <c r="AB89" i="1"/>
  <c r="AB88" i="1"/>
  <c r="AB84" i="1"/>
  <c r="AB80" i="1"/>
  <c r="AB55" i="1"/>
  <c r="AB33" i="1"/>
  <c r="AB9" i="1"/>
  <c r="AB16" i="1"/>
  <c r="AB40" i="1"/>
  <c r="AB36" i="1"/>
  <c r="AB28" i="1"/>
  <c r="AB24" i="1"/>
  <c r="AB20" i="1"/>
  <c r="AB4" i="1"/>
  <c r="AB12" i="1"/>
  <c r="AB8" i="1"/>
  <c r="AB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tc={18C1DA5A-699D-6D48-A901-8874FCC5B8E5}</author>
  </authors>
  <commentList>
    <comment ref="Q9" authorId="0" shapeId="0" xr:uid="{18C1DA5A-699D-6D48-A901-8874FCC5B8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original porometer file has a mislabeling of data points for this pot. It is either wrong am.pm stamp, or the wrong time inputted.
Reply:
    Swapped the time inputted since the value seems correct relative to the other genotypes.</t>
      </text>
    </comment>
  </commentList>
</comments>
</file>

<file path=xl/sharedStrings.xml><?xml version="1.0" encoding="utf-8"?>
<sst xmlns="http://schemas.openxmlformats.org/spreadsheetml/2006/main" count="2533" uniqueCount="58">
  <si>
    <t>population</t>
  </si>
  <si>
    <t>elevation</t>
  </si>
  <si>
    <t>genotype</t>
  </si>
  <si>
    <t>am.pm</t>
  </si>
  <si>
    <t>date</t>
  </si>
  <si>
    <t>treatment</t>
  </si>
  <si>
    <t>CCR-COL</t>
  </si>
  <si>
    <t>am</t>
  </si>
  <si>
    <t>predrought</t>
  </si>
  <si>
    <t>JLA-JAK</t>
  </si>
  <si>
    <t>NRV-NEW</t>
  </si>
  <si>
    <t>TSZ-SAN</t>
  </si>
  <si>
    <t>pm</t>
  </si>
  <si>
    <t>drought</t>
  </si>
  <si>
    <t>postdrought</t>
  </si>
  <si>
    <t>Tree height (m)*</t>
  </si>
  <si>
    <t>* measured on Aug 22, 2023.</t>
  </si>
  <si>
    <t>** Mean surface area inside of the pot, based on mean soil height.</t>
  </si>
  <si>
    <t>Pre drought Vcmax</t>
  </si>
  <si>
    <t>Post drought Vcmax</t>
  </si>
  <si>
    <t>Pre drought jmax</t>
  </si>
  <si>
    <t>Post drought jmax</t>
  </si>
  <si>
    <t>Replicate #</t>
  </si>
  <si>
    <t>rh (%)</t>
  </si>
  <si>
    <r>
      <t>Tair (</t>
    </r>
    <r>
      <rPr>
        <vertAlign val="superscript"/>
        <sz val="12"/>
        <color theme="1"/>
        <rFont val="Calibri (Body)"/>
      </rPr>
      <t>o</t>
    </r>
    <r>
      <rPr>
        <sz val="12"/>
        <color theme="1"/>
        <rFont val="Calibri"/>
        <family val="2"/>
        <scheme val="minor"/>
      </rPr>
      <t>C)</t>
    </r>
  </si>
  <si>
    <r>
      <t>Tleaf (</t>
    </r>
    <r>
      <rPr>
        <vertAlign val="superscript"/>
        <sz val="12"/>
        <color theme="1"/>
        <rFont val="Calibri (Body)"/>
      </rPr>
      <t>o</t>
    </r>
    <r>
      <rPr>
        <sz val="12"/>
        <color theme="1"/>
        <rFont val="Calibri"/>
        <family val="2"/>
        <scheme val="minor"/>
      </rPr>
      <t>C)</t>
    </r>
  </si>
  <si>
    <t>E (g m-2 s-1)</t>
  </si>
  <si>
    <t>Ypd (MPa)</t>
  </si>
  <si>
    <t>Ymd (MPa)</t>
  </si>
  <si>
    <t>Delta Y (MPa)</t>
  </si>
  <si>
    <t>SLA (mm2 mg-1)</t>
  </si>
  <si>
    <t>Rooting depth (cm)</t>
  </si>
  <si>
    <r>
      <t>Pre drought BA (mm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)</t>
    </r>
  </si>
  <si>
    <r>
      <t>Post drought BA (mm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)</t>
    </r>
  </si>
  <si>
    <r>
      <t>Ground area (mm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)</t>
    </r>
  </si>
  <si>
    <r>
      <t>Pre drought A</t>
    </r>
    <r>
      <rPr>
        <vertAlign val="subscript"/>
        <sz val="12"/>
        <color theme="1"/>
        <rFont val="Calibri (Body)"/>
      </rPr>
      <t>b</t>
    </r>
    <r>
      <rPr>
        <sz val="12"/>
        <color theme="1"/>
        <rFont val="Calibri"/>
        <family val="2"/>
        <scheme val="minor"/>
      </rPr>
      <t>:A</t>
    </r>
    <r>
      <rPr>
        <vertAlign val="subscript"/>
        <sz val="12"/>
        <color theme="1"/>
        <rFont val="Calibri (Body)"/>
      </rPr>
      <t>g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 xml:space="preserve"> (mm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mm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>)</t>
    </r>
  </si>
  <si>
    <t>Mean leaf width (cm)</t>
  </si>
  <si>
    <r>
      <t>Predrought A</t>
    </r>
    <r>
      <rPr>
        <vertAlign val="subscript"/>
        <sz val="12"/>
        <color theme="1"/>
        <rFont val="Calibri (Body)"/>
      </rPr>
      <t>net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u</t>
    </r>
    <r>
      <rPr>
        <sz val="12"/>
        <color theme="1"/>
        <rFont val="Calibri"/>
        <family val="2"/>
        <scheme val="minor"/>
      </rPr>
      <t>mol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 xml:space="preserve"> s</t>
    </r>
    <r>
      <rPr>
        <vertAlign val="superscript"/>
        <sz val="12"/>
        <color theme="1"/>
        <rFont val="Calibri (Body)"/>
      </rPr>
      <t>-1</t>
    </r>
  </si>
  <si>
    <r>
      <t>Postdrought A</t>
    </r>
    <r>
      <rPr>
        <vertAlign val="subscript"/>
        <sz val="12"/>
        <color theme="1"/>
        <rFont val="Calibri (Body)"/>
      </rPr>
      <t>net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u</t>
    </r>
    <r>
      <rPr>
        <sz val="12"/>
        <color theme="1"/>
        <rFont val="Calibri"/>
        <family val="2"/>
        <scheme val="minor"/>
      </rPr>
      <t>mol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 xml:space="preserve"> s</t>
    </r>
    <r>
      <rPr>
        <vertAlign val="superscript"/>
        <sz val="12"/>
        <color theme="1"/>
        <rFont val="Calibri (Body)"/>
      </rPr>
      <t>-1</t>
    </r>
  </si>
  <si>
    <t>vpd (kPa)</t>
  </si>
  <si>
    <r>
      <t>gsw.(mol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 xml:space="preserve"> s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</si>
  <si>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E (mol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 xml:space="preserve"> s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</si>
  <si>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E (kg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 xml:space="preserve"> s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</si>
  <si>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E (kg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 xml:space="preserve"> hr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</si>
  <si>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Total leaf area (m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)</t>
    </r>
  </si>
  <si>
    <r>
      <t>A</t>
    </r>
    <r>
      <rPr>
        <vertAlign val="subscript"/>
        <sz val="12"/>
        <color theme="1"/>
        <rFont val="Calibri (Body)"/>
      </rPr>
      <t>l</t>
    </r>
    <r>
      <rPr>
        <sz val="12"/>
        <color theme="1"/>
        <rFont val="Calibri"/>
        <family val="2"/>
        <scheme val="minor"/>
      </rPr>
      <t>:A</t>
    </r>
    <r>
      <rPr>
        <vertAlign val="subscript"/>
        <sz val="12"/>
        <color theme="1"/>
        <rFont val="Calibri (Body)"/>
      </rPr>
      <t>b</t>
    </r>
    <r>
      <rPr>
        <sz val="12"/>
        <color theme="1"/>
        <rFont val="Calibri"/>
        <family val="2"/>
        <scheme val="minor"/>
      </rPr>
      <t xml:space="preserve"> (m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cm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>)</t>
    </r>
  </si>
  <si>
    <r>
      <t>A</t>
    </r>
    <r>
      <rPr>
        <vertAlign val="subscript"/>
        <sz val="12"/>
        <color theme="1"/>
        <rFont val="Calibri (Body)"/>
      </rPr>
      <t>l</t>
    </r>
    <r>
      <rPr>
        <sz val="12"/>
        <color theme="1"/>
        <rFont val="Calibri"/>
        <family val="2"/>
        <scheme val="minor"/>
      </rPr>
      <t>:A</t>
    </r>
    <r>
      <rPr>
        <vertAlign val="subscript"/>
        <sz val="12"/>
        <color theme="1"/>
        <rFont val="Calibri (Body)"/>
      </rPr>
      <t>b</t>
    </r>
    <r>
      <rPr>
        <sz val="12"/>
        <color theme="1"/>
        <rFont val="Calibri"/>
        <family val="2"/>
        <scheme val="minor"/>
      </rPr>
      <t xml:space="preserve"> (m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>)</t>
    </r>
  </si>
  <si>
    <r>
      <t>K (Kg hr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 xml:space="preserve"> MPa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 xml:space="preserve">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 xml:space="preserve">) </t>
    </r>
  </si>
  <si>
    <r>
      <t>A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Calibri"/>
        <family val="2"/>
        <scheme val="minor"/>
      </rPr>
      <t xml:space="preserve"> (m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)</t>
    </r>
  </si>
  <si>
    <r>
      <t>A</t>
    </r>
    <r>
      <rPr>
        <vertAlign val="subscript"/>
        <sz val="12"/>
        <color theme="1"/>
        <rFont val="Calibri (Body)"/>
      </rPr>
      <t>l</t>
    </r>
    <r>
      <rPr>
        <sz val="12"/>
        <color theme="1"/>
        <rFont val="Calibri"/>
        <family val="2"/>
        <scheme val="minor"/>
      </rPr>
      <t>:A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Calibri"/>
        <family val="2"/>
        <scheme val="minor"/>
      </rPr>
      <t xml:space="preserve"> (m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m</t>
    </r>
    <r>
      <rPr>
        <vertAlign val="superscript"/>
        <sz val="12"/>
        <color theme="1"/>
        <rFont val="Calibri (Body)"/>
      </rPr>
      <t>-2</t>
    </r>
    <r>
      <rPr>
        <sz val="12"/>
        <color theme="1"/>
        <rFont val="Calibri"/>
        <family val="2"/>
        <scheme val="minor"/>
      </rPr>
      <t>)</t>
    </r>
  </si>
  <si>
    <t>hydraulics</t>
  </si>
  <si>
    <t>i_cs</t>
  </si>
  <si>
    <t>i_bs</t>
  </si>
  <si>
    <t>Bar pressure (kPa)</t>
  </si>
  <si>
    <t>E (mmol m-2 s-1)</t>
  </si>
  <si>
    <t>Air VP (kPa)</t>
  </si>
  <si>
    <t>Tair (K)</t>
  </si>
  <si>
    <t>Leaf VP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</si>
</sst>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"/>
    <numFmt numFmtId="166" formatCode="0.000"/>
    <numFmt numFmtId="167" formatCode="0.0"/>
    <numFmt numFmtId="168" formatCode="0.0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vertAlign val="sub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nnikkat, Colin" id="{AA810D99-5AE2-FA40-BC08-E29600D7A33C}" userId="S::pannikkc@oregonstate.edu::8b16e42b-e52c-45e3-85dd-91f37108d39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9" dT="2025-07-22T21:35:10.62" personId="{AA810D99-5AE2-FA40-BC08-E29600D7A33C}" id="{18C1DA5A-699D-6D48-A901-8874FCC5B8E5}">
    <text>The original porometer file has a mislabeling of data points for this pot. It is either wrong am.pm stamp, or the wrong time inputted.</text>
  </threadedComment>
  <threadedComment ref="Q9" dT="2025-07-22T21:40:24.23" personId="{AA810D99-5AE2-FA40-BC08-E29600D7A33C}" id="{164BB8C6-C1A3-3C4A-BF68-B3D09B55ABBE}" parentId="{18C1DA5A-699D-6D48-A901-8874FCC5B8E5}">
    <text>Swapped the time inputted since the value seems correct relative to the other genotypes.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8"/>
  <sheetViews>
    <sheetView tabSelected="1" zoomScale="97" zoomScaleNormal="97" workbookViewId="0">
      <selection activeCell="P16" sqref="P16"/>
    </sheetView>
  </sheetViews>
  <sheetFormatPr baseColWidth="10" defaultRowHeight="16" x14ac:dyDescent="0.2"/>
  <cols>
    <col min="8" max="12" width="10.83203125" style="2"/>
    <col min="13" max="17" width="17.1640625" style="2" customWidth="1"/>
    <col min="18" max="18" width="16.83203125" style="2" customWidth="1"/>
    <col min="19" max="19" width="13.33203125" style="2" customWidth="1"/>
    <col min="20" max="20" width="14.6640625" style="2" customWidth="1"/>
    <col min="21" max="21" width="14.83203125" style="2" customWidth="1"/>
    <col min="22" max="22" width="18.6640625" style="2" customWidth="1"/>
    <col min="23" max="23" width="15.1640625" style="2" customWidth="1"/>
    <col min="24" max="24" width="14.83203125" style="2" customWidth="1"/>
    <col min="25" max="26" width="10.83203125" style="2"/>
    <col min="27" max="27" width="13" style="2" customWidth="1"/>
    <col min="28" max="28" width="18.6640625" style="2" customWidth="1"/>
  </cols>
  <sheetData>
    <row r="1" spans="1:28" x14ac:dyDescent="0.2">
      <c r="R1" s="11"/>
      <c r="S1" s="11"/>
      <c r="T1" s="11"/>
      <c r="U1" s="11"/>
    </row>
    <row r="2" spans="1:28" ht="20" x14ac:dyDescent="0.25">
      <c r="A2" t="s">
        <v>0</v>
      </c>
      <c r="B2" t="s">
        <v>1</v>
      </c>
      <c r="C2" t="s">
        <v>2</v>
      </c>
      <c r="D2" t="s">
        <v>22</v>
      </c>
      <c r="E2" t="s">
        <v>3</v>
      </c>
      <c r="F2" t="s">
        <v>4</v>
      </c>
      <c r="G2" t="s">
        <v>5</v>
      </c>
      <c r="H2" s="2" t="s">
        <v>23</v>
      </c>
      <c r="I2" s="2" t="s">
        <v>24</v>
      </c>
      <c r="J2" s="2" t="s">
        <v>25</v>
      </c>
      <c r="K2" s="2" t="s">
        <v>56</v>
      </c>
      <c r="L2" s="2" t="s">
        <v>39</v>
      </c>
      <c r="M2" s="2" t="s">
        <v>40</v>
      </c>
      <c r="N2" s="2" t="s">
        <v>57</v>
      </c>
      <c r="O2" s="2" t="s">
        <v>55</v>
      </c>
      <c r="P2" s="2" t="s">
        <v>53</v>
      </c>
      <c r="Q2" s="2" t="s">
        <v>54</v>
      </c>
      <c r="R2" s="2" t="s">
        <v>41</v>
      </c>
      <c r="S2" s="2" t="s">
        <v>26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27</v>
      </c>
      <c r="Z2" s="2" t="s">
        <v>28</v>
      </c>
      <c r="AA2" s="2" t="s">
        <v>29</v>
      </c>
      <c r="AB2" s="2" t="s">
        <v>47</v>
      </c>
    </row>
    <row r="3" spans="1:28" x14ac:dyDescent="0.2">
      <c r="A3" t="s">
        <v>6</v>
      </c>
      <c r="B3">
        <v>72</v>
      </c>
      <c r="C3">
        <v>156</v>
      </c>
      <c r="D3">
        <v>43</v>
      </c>
      <c r="E3" t="s">
        <v>7</v>
      </c>
      <c r="F3" s="1">
        <v>45127</v>
      </c>
      <c r="G3" t="s">
        <v>8</v>
      </c>
      <c r="H3" s="2">
        <v>25.5</v>
      </c>
      <c r="I3" s="2">
        <v>38.26</v>
      </c>
      <c r="J3" s="2">
        <v>33.03</v>
      </c>
      <c r="K3" s="2">
        <f>273.15+I3</f>
        <v>311.40999999999997</v>
      </c>
      <c r="L3" s="2">
        <v>3.33</v>
      </c>
      <c r="M3" s="2">
        <v>0.24</v>
      </c>
      <c r="N3" s="6">
        <f t="shared" ref="N3:N34" si="0">0.611*EXP((17.502*J3)/(240.97+J3))</f>
        <v>5.0387753530460113</v>
      </c>
      <c r="O3" s="6">
        <f t="shared" ref="O3:O34" si="1">(0.611*EXP((17.502*I3)/(240.97+I3)))*(H3/100)</f>
        <v>1.7142369540956452</v>
      </c>
      <c r="P3" s="6">
        <f t="shared" ref="P3:P34" si="2">101.325*EXP(-380/(29.27*K3))</f>
        <v>97.187637361557563</v>
      </c>
      <c r="Q3" s="6">
        <f>(M3*(N3-O3)/P3)*1000</f>
        <v>8.2097809701842994</v>
      </c>
      <c r="R3" s="10">
        <f>Q3/1000</f>
        <v>8.2097809701842991E-3</v>
      </c>
      <c r="S3" s="3">
        <f t="shared" ref="S3:S34" si="3">R3*18</f>
        <v>0.14777605746331737</v>
      </c>
      <c r="T3" s="4">
        <f t="shared" ref="T3:T34" si="4">S3/1000</f>
        <v>1.4777605746331738E-4</v>
      </c>
      <c r="U3" s="3">
        <f t="shared" ref="U3:U34" si="5">T3*3600</f>
        <v>0.53199380686794251</v>
      </c>
      <c r="V3" s="2">
        <v>18.53</v>
      </c>
      <c r="W3" s="2">
        <v>3.87</v>
      </c>
      <c r="X3" s="2">
        <f t="shared" ref="X3:X34" si="6">W3*10000</f>
        <v>38700</v>
      </c>
      <c r="Y3" s="5">
        <v>-0.41</v>
      </c>
      <c r="Z3" s="5">
        <v>-2.5299999999999998</v>
      </c>
      <c r="AA3" s="2">
        <f t="shared" ref="AA3:AA34" si="7">Y3-Z3</f>
        <v>2.1199999999999997</v>
      </c>
      <c r="AB3" s="3">
        <f t="shared" ref="AB3:AB34" si="8">U3/AA3</f>
        <v>0.25094047493770877</v>
      </c>
    </row>
    <row r="4" spans="1:28" x14ac:dyDescent="0.2">
      <c r="A4" t="s">
        <v>6</v>
      </c>
      <c r="B4">
        <v>72</v>
      </c>
      <c r="C4">
        <v>156</v>
      </c>
      <c r="D4">
        <v>44</v>
      </c>
      <c r="E4" t="s">
        <v>7</v>
      </c>
      <c r="F4" s="1">
        <v>45128</v>
      </c>
      <c r="G4" t="s">
        <v>8</v>
      </c>
      <c r="H4" s="2">
        <v>32.18</v>
      </c>
      <c r="I4" s="2">
        <v>36.76</v>
      </c>
      <c r="J4" s="2">
        <v>33.22</v>
      </c>
      <c r="K4" s="2">
        <f t="shared" ref="K4:K67" si="9">273.15+I4</f>
        <v>309.90999999999997</v>
      </c>
      <c r="L4" s="2">
        <v>3.11</v>
      </c>
      <c r="M4" s="2">
        <v>0.24</v>
      </c>
      <c r="N4" s="6">
        <f t="shared" si="0"/>
        <v>5.0928066302822517</v>
      </c>
      <c r="O4" s="6">
        <f t="shared" si="1"/>
        <v>1.9938346676490897</v>
      </c>
      <c r="P4" s="6">
        <f t="shared" si="2"/>
        <v>97.168028553411219</v>
      </c>
      <c r="Q4" s="6">
        <f t="shared" ref="Q4:Q67" si="10">(M4*(N4-O4)/P4)*1000</f>
        <v>7.6543003095213917</v>
      </c>
      <c r="R4" s="10">
        <f t="shared" ref="R4:R67" si="11">Q4/1000</f>
        <v>7.6543003095213913E-3</v>
      </c>
      <c r="S4" s="3">
        <f t="shared" si="3"/>
        <v>0.13777740557138504</v>
      </c>
      <c r="T4" s="4">
        <f t="shared" si="4"/>
        <v>1.3777740557138505E-4</v>
      </c>
      <c r="U4" s="3">
        <f t="shared" si="5"/>
        <v>0.49599866005698617</v>
      </c>
      <c r="V4" s="2">
        <v>5.08</v>
      </c>
      <c r="W4" s="2">
        <v>1.59</v>
      </c>
      <c r="X4" s="2">
        <f t="shared" si="6"/>
        <v>15900</v>
      </c>
      <c r="Y4" s="5">
        <v>-0.57999999999999996</v>
      </c>
      <c r="Z4" s="5">
        <v>-2.34</v>
      </c>
      <c r="AA4" s="2">
        <f t="shared" si="7"/>
        <v>1.7599999999999998</v>
      </c>
      <c r="AB4" s="3">
        <f t="shared" si="8"/>
        <v>0.28181742048692399</v>
      </c>
    </row>
    <row r="5" spans="1:28" x14ac:dyDescent="0.2">
      <c r="A5" t="s">
        <v>6</v>
      </c>
      <c r="B5">
        <v>72</v>
      </c>
      <c r="C5">
        <v>156</v>
      </c>
      <c r="D5">
        <v>45</v>
      </c>
      <c r="E5" t="s">
        <v>7</v>
      </c>
      <c r="F5" s="1">
        <v>45127</v>
      </c>
      <c r="G5" t="s">
        <v>8</v>
      </c>
      <c r="H5" s="2">
        <v>21</v>
      </c>
      <c r="I5" s="2">
        <v>40.22</v>
      </c>
      <c r="J5" s="2">
        <v>33.770000000000003</v>
      </c>
      <c r="K5" s="2">
        <f t="shared" si="9"/>
        <v>313.37</v>
      </c>
      <c r="L5" s="2">
        <v>3.69</v>
      </c>
      <c r="M5" s="2">
        <v>0.36</v>
      </c>
      <c r="N5" s="6">
        <f t="shared" si="0"/>
        <v>5.2520643939363438</v>
      </c>
      <c r="O5" s="6">
        <f t="shared" si="1"/>
        <v>1.5684561267665202</v>
      </c>
      <c r="P5" s="6">
        <f t="shared" si="2"/>
        <v>97.212982497248404</v>
      </c>
      <c r="Q5" s="6">
        <f t="shared" si="10"/>
        <v>13.641171601937748</v>
      </c>
      <c r="R5" s="10">
        <f t="shared" si="11"/>
        <v>1.3641171601937747E-2</v>
      </c>
      <c r="S5" s="3">
        <f t="shared" si="3"/>
        <v>0.24554108883487943</v>
      </c>
      <c r="T5" s="4">
        <f t="shared" si="4"/>
        <v>2.4554108883487945E-4</v>
      </c>
      <c r="U5" s="3">
        <f t="shared" si="5"/>
        <v>0.88394791980556597</v>
      </c>
      <c r="V5" s="2">
        <v>13.38</v>
      </c>
      <c r="W5" s="2">
        <v>3.64</v>
      </c>
      <c r="X5" s="2">
        <f t="shared" si="6"/>
        <v>36400</v>
      </c>
      <c r="Y5" s="5">
        <v>-0.49</v>
      </c>
      <c r="Z5" s="5">
        <v>-1.96</v>
      </c>
      <c r="AA5" s="2">
        <f t="shared" si="7"/>
        <v>1.47</v>
      </c>
      <c r="AB5" s="3">
        <f t="shared" si="8"/>
        <v>0.60132511551399048</v>
      </c>
    </row>
    <row r="6" spans="1:28" x14ac:dyDescent="0.2">
      <c r="A6" t="s">
        <v>6</v>
      </c>
      <c r="B6">
        <v>72</v>
      </c>
      <c r="C6">
        <v>149</v>
      </c>
      <c r="D6">
        <v>46</v>
      </c>
      <c r="E6" t="s">
        <v>7</v>
      </c>
      <c r="F6" s="1">
        <v>45127</v>
      </c>
      <c r="G6" t="s">
        <v>8</v>
      </c>
      <c r="H6" s="2">
        <v>23.12</v>
      </c>
      <c r="I6" s="2">
        <v>38.65</v>
      </c>
      <c r="J6" s="2">
        <v>33.68</v>
      </c>
      <c r="K6" s="2">
        <f t="shared" si="9"/>
        <v>311.79999999999995</v>
      </c>
      <c r="L6" s="2">
        <v>3.64</v>
      </c>
      <c r="M6" s="2">
        <v>0.28999999999999998</v>
      </c>
      <c r="N6" s="6">
        <f t="shared" si="0"/>
        <v>5.2257114062421568</v>
      </c>
      <c r="O6" s="6">
        <f t="shared" si="1"/>
        <v>1.5873306803660261</v>
      </c>
      <c r="P6" s="6">
        <f t="shared" si="2"/>
        <v>97.192705391401759</v>
      </c>
      <c r="Q6" s="6">
        <f t="shared" si="10"/>
        <v>10.856065856537221</v>
      </c>
      <c r="R6" s="10">
        <f t="shared" si="11"/>
        <v>1.0856065856537221E-2</v>
      </c>
      <c r="S6" s="3">
        <f t="shared" si="3"/>
        <v>0.19540918541766999</v>
      </c>
      <c r="T6" s="4">
        <f t="shared" si="4"/>
        <v>1.9540918541767E-4</v>
      </c>
      <c r="U6" s="3">
        <f t="shared" si="5"/>
        <v>0.70347306750361205</v>
      </c>
      <c r="V6" s="2">
        <v>10.99</v>
      </c>
      <c r="W6" s="2">
        <v>2.0499999999999998</v>
      </c>
      <c r="X6" s="2">
        <f t="shared" si="6"/>
        <v>20500</v>
      </c>
      <c r="Y6" s="5">
        <v>-0.5</v>
      </c>
      <c r="Z6" s="5">
        <v>-2.96</v>
      </c>
      <c r="AA6" s="2">
        <f t="shared" si="7"/>
        <v>2.46</v>
      </c>
      <c r="AB6" s="3">
        <f t="shared" si="8"/>
        <v>0.28596466158683415</v>
      </c>
    </row>
    <row r="7" spans="1:28" x14ac:dyDescent="0.2">
      <c r="A7" t="s">
        <v>6</v>
      </c>
      <c r="B7">
        <v>72</v>
      </c>
      <c r="C7">
        <v>149</v>
      </c>
      <c r="D7">
        <v>47</v>
      </c>
      <c r="E7" t="s">
        <v>7</v>
      </c>
      <c r="F7" s="1">
        <v>45128</v>
      </c>
      <c r="G7" t="s">
        <v>8</v>
      </c>
      <c r="H7" s="2">
        <v>35.369999999999997</v>
      </c>
      <c r="I7" s="2">
        <v>34.49</v>
      </c>
      <c r="J7" s="2">
        <v>31.41</v>
      </c>
      <c r="K7" s="2">
        <f t="shared" si="9"/>
        <v>307.64</v>
      </c>
      <c r="L7" s="2">
        <v>2.67</v>
      </c>
      <c r="M7" s="2">
        <v>0.3</v>
      </c>
      <c r="N7" s="6">
        <f t="shared" si="0"/>
        <v>4.5979794517437051</v>
      </c>
      <c r="O7" s="6">
        <f t="shared" si="1"/>
        <v>1.9337070179840781</v>
      </c>
      <c r="P7" s="6">
        <f t="shared" si="2"/>
        <v>97.137997911866506</v>
      </c>
      <c r="Q7" s="6">
        <f t="shared" si="10"/>
        <v>8.2283117555405845</v>
      </c>
      <c r="R7" s="10">
        <f t="shared" si="11"/>
        <v>8.2283117555405853E-3</v>
      </c>
      <c r="S7" s="3">
        <f t="shared" si="3"/>
        <v>0.14810961159973055</v>
      </c>
      <c r="T7" s="4">
        <f t="shared" si="4"/>
        <v>1.4810961159973055E-4</v>
      </c>
      <c r="U7" s="3">
        <f t="shared" si="5"/>
        <v>0.53319460175903</v>
      </c>
      <c r="V7" s="2">
        <v>10.98</v>
      </c>
      <c r="W7" s="2">
        <v>2.5099999999999998</v>
      </c>
      <c r="X7" s="2">
        <f t="shared" si="6"/>
        <v>25099.999999999996</v>
      </c>
      <c r="Y7" s="5">
        <v>-0.57999999999999996</v>
      </c>
      <c r="Z7" s="5">
        <v>-2.41</v>
      </c>
      <c r="AA7" s="2">
        <f t="shared" si="7"/>
        <v>1.83</v>
      </c>
      <c r="AB7" s="3">
        <f t="shared" si="8"/>
        <v>0.29136317036012566</v>
      </c>
    </row>
    <row r="8" spans="1:28" x14ac:dyDescent="0.2">
      <c r="A8" t="s">
        <v>6</v>
      </c>
      <c r="B8">
        <v>72</v>
      </c>
      <c r="C8">
        <v>149</v>
      </c>
      <c r="D8">
        <v>48</v>
      </c>
      <c r="E8" t="s">
        <v>7</v>
      </c>
      <c r="F8" s="1">
        <v>45128</v>
      </c>
      <c r="G8" t="s">
        <v>8</v>
      </c>
      <c r="H8" s="2">
        <v>33.08</v>
      </c>
      <c r="I8" s="2">
        <v>36.29</v>
      </c>
      <c r="J8" s="2">
        <v>33.43</v>
      </c>
      <c r="K8" s="2">
        <f t="shared" si="9"/>
        <v>309.44</v>
      </c>
      <c r="L8" s="2">
        <v>3.16</v>
      </c>
      <c r="M8" s="2">
        <v>0.19</v>
      </c>
      <c r="N8" s="6">
        <f t="shared" si="0"/>
        <v>5.1531111815954231</v>
      </c>
      <c r="O8" s="6">
        <f t="shared" si="1"/>
        <v>1.9975106015586246</v>
      </c>
      <c r="P8" s="6">
        <f t="shared" si="2"/>
        <v>97.161846165309797</v>
      </c>
      <c r="Q8" s="6">
        <f t="shared" si="10"/>
        <v>6.1707772533150704</v>
      </c>
      <c r="R8" s="10">
        <f t="shared" si="11"/>
        <v>6.1707772533150709E-3</v>
      </c>
      <c r="S8" s="3">
        <f t="shared" si="3"/>
        <v>0.11107399055967128</v>
      </c>
      <c r="T8" s="4">
        <f t="shared" si="4"/>
        <v>1.1107399055967127E-4</v>
      </c>
      <c r="U8" s="3">
        <f t="shared" si="5"/>
        <v>0.39986636601481657</v>
      </c>
      <c r="V8" s="2">
        <v>17.25</v>
      </c>
      <c r="W8" s="2">
        <v>2.85</v>
      </c>
      <c r="X8" s="2">
        <f t="shared" si="6"/>
        <v>28500</v>
      </c>
      <c r="Y8" s="5">
        <v>-0.81</v>
      </c>
      <c r="Z8" s="5">
        <v>-2.7</v>
      </c>
      <c r="AA8" s="2">
        <f t="shared" si="7"/>
        <v>1.8900000000000001</v>
      </c>
      <c r="AB8" s="3">
        <f t="shared" si="8"/>
        <v>0.21156950582794526</v>
      </c>
    </row>
    <row r="9" spans="1:28" x14ac:dyDescent="0.2">
      <c r="A9" t="s">
        <v>6</v>
      </c>
      <c r="B9">
        <v>72</v>
      </c>
      <c r="C9">
        <v>152</v>
      </c>
      <c r="D9">
        <v>49</v>
      </c>
      <c r="E9" t="s">
        <v>7</v>
      </c>
      <c r="F9" s="1">
        <v>45128</v>
      </c>
      <c r="G9" t="s">
        <v>8</v>
      </c>
      <c r="H9" s="2">
        <v>37.770000000000003</v>
      </c>
      <c r="I9" s="2">
        <v>32.81</v>
      </c>
      <c r="J9" s="2">
        <v>29.61</v>
      </c>
      <c r="K9" s="2">
        <f t="shared" si="9"/>
        <v>305.95999999999998</v>
      </c>
      <c r="L9" s="2">
        <v>2.27</v>
      </c>
      <c r="M9" s="2">
        <v>0.43</v>
      </c>
      <c r="N9" s="6">
        <f t="shared" si="0"/>
        <v>4.1479465012641219</v>
      </c>
      <c r="O9" s="6">
        <f t="shared" si="1"/>
        <v>1.8797511540703478</v>
      </c>
      <c r="P9" s="6">
        <f t="shared" si="2"/>
        <v>97.115491745090409</v>
      </c>
      <c r="Q9" s="6">
        <f t="shared" si="10"/>
        <v>10.042929112209634</v>
      </c>
      <c r="R9" s="10">
        <f t="shared" si="11"/>
        <v>1.0042929112209635E-2</v>
      </c>
      <c r="S9" s="3">
        <f t="shared" si="3"/>
        <v>0.18077272401977343</v>
      </c>
      <c r="T9" s="4">
        <f t="shared" si="4"/>
        <v>1.8077272401977344E-4</v>
      </c>
      <c r="U9" s="3">
        <f t="shared" si="5"/>
        <v>0.65078180647118433</v>
      </c>
      <c r="V9" s="2">
        <v>16.68</v>
      </c>
      <c r="W9" s="2">
        <v>2.78</v>
      </c>
      <c r="X9" s="2">
        <f t="shared" si="6"/>
        <v>27799.999999999996</v>
      </c>
      <c r="Y9" s="5">
        <v>-0.61</v>
      </c>
      <c r="Z9" s="5">
        <v>-2.57</v>
      </c>
      <c r="AA9" s="2">
        <f t="shared" si="7"/>
        <v>1.96</v>
      </c>
      <c r="AB9" s="3">
        <f t="shared" si="8"/>
        <v>0.33203153391386958</v>
      </c>
    </row>
    <row r="10" spans="1:28" x14ac:dyDescent="0.2">
      <c r="A10" t="s">
        <v>6</v>
      </c>
      <c r="B10">
        <v>72</v>
      </c>
      <c r="C10">
        <v>152</v>
      </c>
      <c r="D10">
        <v>50</v>
      </c>
      <c r="E10" t="s">
        <v>7</v>
      </c>
      <c r="F10" s="1">
        <v>45128</v>
      </c>
      <c r="G10" t="s">
        <v>8</v>
      </c>
      <c r="H10" s="2">
        <v>33.39</v>
      </c>
      <c r="I10" s="2">
        <v>36.270000000000003</v>
      </c>
      <c r="J10" s="2">
        <v>31.57</v>
      </c>
      <c r="K10" s="2">
        <f t="shared" si="9"/>
        <v>309.41999999999996</v>
      </c>
      <c r="L10" s="2">
        <v>2.63</v>
      </c>
      <c r="M10" s="2">
        <v>0.41</v>
      </c>
      <c r="N10" s="6">
        <f t="shared" si="0"/>
        <v>4.6399657482349035</v>
      </c>
      <c r="O10" s="6">
        <f t="shared" si="1"/>
        <v>2.0140184580437199</v>
      </c>
      <c r="P10" s="6">
        <f t="shared" si="2"/>
        <v>97.161582677088958</v>
      </c>
      <c r="Q10" s="6">
        <f t="shared" si="10"/>
        <v>11.080906252387143</v>
      </c>
      <c r="R10" s="10">
        <f t="shared" si="11"/>
        <v>1.1080906252387142E-2</v>
      </c>
      <c r="S10" s="3">
        <f t="shared" si="3"/>
        <v>0.19945631254296856</v>
      </c>
      <c r="T10" s="4">
        <f t="shared" si="4"/>
        <v>1.9945631254296857E-4</v>
      </c>
      <c r="U10" s="3">
        <f t="shared" si="5"/>
        <v>0.71804272515468681</v>
      </c>
      <c r="V10" s="2">
        <v>29.47</v>
      </c>
      <c r="W10" s="2">
        <v>3.96</v>
      </c>
      <c r="X10" s="2">
        <f t="shared" si="6"/>
        <v>39600</v>
      </c>
      <c r="Y10" s="5">
        <v>-0.92</v>
      </c>
      <c r="Z10" s="5">
        <v>-2.25</v>
      </c>
      <c r="AA10" s="2">
        <f t="shared" si="7"/>
        <v>1.33</v>
      </c>
      <c r="AB10" s="3">
        <f t="shared" si="8"/>
        <v>0.53988174823660662</v>
      </c>
    </row>
    <row r="11" spans="1:28" x14ac:dyDescent="0.2">
      <c r="A11" t="s">
        <v>6</v>
      </c>
      <c r="B11">
        <v>72</v>
      </c>
      <c r="C11">
        <v>152</v>
      </c>
      <c r="D11">
        <v>51</v>
      </c>
      <c r="E11" t="s">
        <v>7</v>
      </c>
      <c r="F11" s="1">
        <v>45128</v>
      </c>
      <c r="G11" t="s">
        <v>8</v>
      </c>
      <c r="H11" s="2">
        <v>32.14</v>
      </c>
      <c r="I11" s="2">
        <v>36.799999999999997</v>
      </c>
      <c r="J11" s="2">
        <v>32.39</v>
      </c>
      <c r="K11" s="2">
        <f t="shared" si="9"/>
        <v>309.95</v>
      </c>
      <c r="L11" s="2">
        <v>2.87</v>
      </c>
      <c r="M11" s="2">
        <v>0.39</v>
      </c>
      <c r="N11" s="6">
        <f t="shared" si="0"/>
        <v>4.8604273188327527</v>
      </c>
      <c r="O11" s="6">
        <f t="shared" si="1"/>
        <v>1.995715712119531</v>
      </c>
      <c r="P11" s="6">
        <f t="shared" si="2"/>
        <v>97.168553866473687</v>
      </c>
      <c r="Q11" s="6">
        <f t="shared" si="10"/>
        <v>11.497933046872685</v>
      </c>
      <c r="R11" s="10">
        <f t="shared" si="11"/>
        <v>1.1497933046872685E-2</v>
      </c>
      <c r="S11" s="3">
        <f t="shared" si="3"/>
        <v>0.20696279484370833</v>
      </c>
      <c r="T11" s="4">
        <f t="shared" si="4"/>
        <v>2.0696279484370834E-4</v>
      </c>
      <c r="U11" s="3">
        <f t="shared" si="5"/>
        <v>0.74506606143734999</v>
      </c>
      <c r="V11" s="2">
        <v>11.56</v>
      </c>
      <c r="W11" s="2">
        <v>1.91</v>
      </c>
      <c r="X11" s="2">
        <f t="shared" si="6"/>
        <v>19100</v>
      </c>
      <c r="Y11" s="5">
        <v>-0.85</v>
      </c>
      <c r="Z11" s="5">
        <v>-2.76</v>
      </c>
      <c r="AA11" s="2">
        <f t="shared" si="7"/>
        <v>1.9099999999999997</v>
      </c>
      <c r="AB11" s="3">
        <f t="shared" si="8"/>
        <v>0.3900869431609163</v>
      </c>
    </row>
    <row r="12" spans="1:28" x14ac:dyDescent="0.2">
      <c r="A12" t="s">
        <v>6</v>
      </c>
      <c r="B12">
        <v>72</v>
      </c>
      <c r="C12">
        <v>155</v>
      </c>
      <c r="D12">
        <v>58</v>
      </c>
      <c r="E12" t="s">
        <v>7</v>
      </c>
      <c r="F12" s="1">
        <v>45128</v>
      </c>
      <c r="G12" t="s">
        <v>8</v>
      </c>
      <c r="H12" s="2">
        <v>35.9</v>
      </c>
      <c r="I12" s="2">
        <v>34.130000000000003</v>
      </c>
      <c r="J12" s="2">
        <v>31.69</v>
      </c>
      <c r="K12" s="2">
        <f t="shared" si="9"/>
        <v>307.27999999999997</v>
      </c>
      <c r="L12" s="2">
        <v>2.75</v>
      </c>
      <c r="M12" s="2">
        <v>0.24</v>
      </c>
      <c r="N12" s="6">
        <f t="shared" si="0"/>
        <v>4.6716741768934655</v>
      </c>
      <c r="O12" s="6">
        <f t="shared" si="1"/>
        <v>1.9237502007499354</v>
      </c>
      <c r="P12" s="6">
        <f t="shared" si="2"/>
        <v>97.133195441538163</v>
      </c>
      <c r="Q12" s="6">
        <f t="shared" si="10"/>
        <v>6.7896639380239838</v>
      </c>
      <c r="R12" s="10">
        <f t="shared" si="11"/>
        <v>6.7896639380239836E-3</v>
      </c>
      <c r="S12" s="3">
        <f t="shared" si="3"/>
        <v>0.12221395088443171</v>
      </c>
      <c r="T12" s="4">
        <f t="shared" si="4"/>
        <v>1.2221395088443172E-4</v>
      </c>
      <c r="U12" s="3">
        <f t="shared" si="5"/>
        <v>0.43997022318395418</v>
      </c>
      <c r="V12" s="2">
        <v>25.14</v>
      </c>
      <c r="W12" s="2">
        <v>4.53</v>
      </c>
      <c r="X12" s="2">
        <f t="shared" si="6"/>
        <v>45300</v>
      </c>
      <c r="Y12" s="5">
        <v>-0.83</v>
      </c>
      <c r="Z12" s="5">
        <v>-2.87</v>
      </c>
      <c r="AA12" s="2">
        <f t="shared" si="7"/>
        <v>2.04</v>
      </c>
      <c r="AB12" s="3">
        <f t="shared" si="8"/>
        <v>0.21567167803135009</v>
      </c>
    </row>
    <row r="13" spans="1:28" x14ac:dyDescent="0.2">
      <c r="A13" t="s">
        <v>6</v>
      </c>
      <c r="B13">
        <v>72</v>
      </c>
      <c r="C13">
        <v>155</v>
      </c>
      <c r="D13">
        <v>59</v>
      </c>
      <c r="E13" t="s">
        <v>7</v>
      </c>
      <c r="F13" s="1">
        <v>45127</v>
      </c>
      <c r="G13" t="s">
        <v>8</v>
      </c>
      <c r="H13" s="2">
        <v>27.18</v>
      </c>
      <c r="I13" s="2">
        <v>35.53</v>
      </c>
      <c r="J13" s="2">
        <v>32.08</v>
      </c>
      <c r="K13" s="2">
        <f t="shared" si="9"/>
        <v>308.67999999999995</v>
      </c>
      <c r="L13" s="2">
        <v>3.2</v>
      </c>
      <c r="M13" s="2">
        <v>0.25</v>
      </c>
      <c r="N13" s="6">
        <f t="shared" si="0"/>
        <v>4.7760333024054171</v>
      </c>
      <c r="O13" s="6">
        <f t="shared" si="1"/>
        <v>1.574037663651515</v>
      </c>
      <c r="P13" s="6">
        <f t="shared" si="2"/>
        <v>97.151810114528402</v>
      </c>
      <c r="Q13" s="6">
        <f t="shared" si="10"/>
        <v>8.2396705603817306</v>
      </c>
      <c r="R13" s="10">
        <f t="shared" si="11"/>
        <v>8.2396705603817299E-3</v>
      </c>
      <c r="S13" s="3">
        <f t="shared" si="3"/>
        <v>0.14831407008687114</v>
      </c>
      <c r="T13" s="4">
        <f t="shared" si="4"/>
        <v>1.4831407008687115E-4</v>
      </c>
      <c r="U13" s="3">
        <f t="shared" si="5"/>
        <v>0.53393065231273618</v>
      </c>
      <c r="V13" s="2">
        <v>16.940000000000001</v>
      </c>
      <c r="W13" s="2">
        <v>3.17</v>
      </c>
      <c r="X13" s="2">
        <f t="shared" si="6"/>
        <v>31700</v>
      </c>
      <c r="Y13" s="5">
        <v>-0.42</v>
      </c>
      <c r="Z13" s="5">
        <v>-2.19</v>
      </c>
      <c r="AA13" s="2">
        <f t="shared" si="7"/>
        <v>1.77</v>
      </c>
      <c r="AB13" s="3">
        <f t="shared" si="8"/>
        <v>0.30165573576990745</v>
      </c>
    </row>
    <row r="14" spans="1:28" x14ac:dyDescent="0.2">
      <c r="A14" t="s">
        <v>6</v>
      </c>
      <c r="B14">
        <v>72</v>
      </c>
      <c r="C14">
        <v>155</v>
      </c>
      <c r="D14">
        <v>60</v>
      </c>
      <c r="E14" t="s">
        <v>7</v>
      </c>
      <c r="F14" s="1">
        <v>45128</v>
      </c>
      <c r="G14" t="s">
        <v>8</v>
      </c>
      <c r="H14" s="2">
        <v>34.94</v>
      </c>
      <c r="I14" s="2">
        <v>35.159999999999997</v>
      </c>
      <c r="J14" s="2">
        <v>32.159999999999997</v>
      </c>
      <c r="K14" s="2">
        <f t="shared" si="9"/>
        <v>308.30999999999995</v>
      </c>
      <c r="L14" s="2">
        <v>2.82</v>
      </c>
      <c r="M14" s="2">
        <v>0.2</v>
      </c>
      <c r="N14" s="6">
        <f t="shared" si="0"/>
        <v>4.7976893483457017</v>
      </c>
      <c r="O14" s="6">
        <f t="shared" si="1"/>
        <v>1.9824961387858933</v>
      </c>
      <c r="P14" s="6">
        <f t="shared" si="2"/>
        <v>97.146906611679981</v>
      </c>
      <c r="Q14" s="6">
        <f t="shared" si="10"/>
        <v>5.795744419969699</v>
      </c>
      <c r="R14" s="10">
        <f t="shared" si="11"/>
        <v>5.795744419969699E-3</v>
      </c>
      <c r="S14" s="3">
        <f t="shared" si="3"/>
        <v>0.10432339955945458</v>
      </c>
      <c r="T14" s="4">
        <f t="shared" si="4"/>
        <v>1.0432339955945457E-4</v>
      </c>
      <c r="U14" s="3">
        <f t="shared" si="5"/>
        <v>0.37556423841403647</v>
      </c>
      <c r="V14" s="2">
        <v>22.24</v>
      </c>
      <c r="W14" s="2">
        <v>4.22</v>
      </c>
      <c r="X14" s="2">
        <f t="shared" si="6"/>
        <v>42200</v>
      </c>
      <c r="Y14" s="5">
        <v>-0.47</v>
      </c>
      <c r="Z14" s="5">
        <v>-2.4900000000000002</v>
      </c>
      <c r="AA14" s="2">
        <f t="shared" si="7"/>
        <v>2.0200000000000005</v>
      </c>
      <c r="AB14" s="3">
        <f t="shared" si="8"/>
        <v>0.18592289030397841</v>
      </c>
    </row>
    <row r="15" spans="1:28" x14ac:dyDescent="0.2">
      <c r="A15" t="s">
        <v>6</v>
      </c>
      <c r="B15">
        <v>72</v>
      </c>
      <c r="C15">
        <v>5</v>
      </c>
      <c r="D15">
        <v>61</v>
      </c>
      <c r="E15" t="s">
        <v>7</v>
      </c>
      <c r="F15" s="1">
        <v>45128</v>
      </c>
      <c r="G15" t="s">
        <v>8</v>
      </c>
      <c r="H15" s="2">
        <v>33.450000000000003</v>
      </c>
      <c r="I15" s="2">
        <v>36.56</v>
      </c>
      <c r="J15" s="2">
        <v>34.15</v>
      </c>
      <c r="K15" s="2">
        <f t="shared" si="9"/>
        <v>309.70999999999998</v>
      </c>
      <c r="L15" s="2">
        <v>3.32</v>
      </c>
      <c r="M15" s="2">
        <v>0.2</v>
      </c>
      <c r="N15" s="6">
        <f t="shared" si="0"/>
        <v>5.3646110177852968</v>
      </c>
      <c r="O15" s="6">
        <f t="shared" si="1"/>
        <v>2.0499657953609338</v>
      </c>
      <c r="P15" s="6">
        <f t="shared" si="2"/>
        <v>97.165399995384362</v>
      </c>
      <c r="Q15" s="6">
        <f t="shared" si="10"/>
        <v>6.8226863113450236</v>
      </c>
      <c r="R15" s="10">
        <f t="shared" si="11"/>
        <v>6.8226863113450232E-3</v>
      </c>
      <c r="S15" s="3">
        <f t="shared" si="3"/>
        <v>0.12280835360421041</v>
      </c>
      <c r="T15" s="4">
        <f t="shared" si="4"/>
        <v>1.2280835360421041E-4</v>
      </c>
      <c r="U15" s="3">
        <f t="shared" si="5"/>
        <v>0.44211007297515748</v>
      </c>
      <c r="V15" s="2">
        <v>5.59</v>
      </c>
      <c r="W15" s="2">
        <v>1.83</v>
      </c>
      <c r="X15" s="2">
        <f t="shared" si="6"/>
        <v>18300</v>
      </c>
      <c r="Y15" s="5">
        <v>-0.88</v>
      </c>
      <c r="Z15" s="5">
        <v>-2.19</v>
      </c>
      <c r="AA15" s="2">
        <f t="shared" si="7"/>
        <v>1.31</v>
      </c>
      <c r="AB15" s="3">
        <f t="shared" si="8"/>
        <v>0.33748860532454766</v>
      </c>
    </row>
    <row r="16" spans="1:28" x14ac:dyDescent="0.2">
      <c r="A16" t="s">
        <v>6</v>
      </c>
      <c r="B16">
        <v>72</v>
      </c>
      <c r="C16">
        <v>5</v>
      </c>
      <c r="D16">
        <v>63</v>
      </c>
      <c r="E16" t="s">
        <v>7</v>
      </c>
      <c r="F16" s="1">
        <v>45127</v>
      </c>
      <c r="G16" t="s">
        <v>8</v>
      </c>
      <c r="H16" s="2">
        <v>29.16</v>
      </c>
      <c r="I16" s="2">
        <v>33.659999999999997</v>
      </c>
      <c r="J16" s="2">
        <v>31.02</v>
      </c>
      <c r="K16" s="2">
        <f t="shared" si="9"/>
        <v>306.80999999999995</v>
      </c>
      <c r="L16" s="2">
        <v>2.98</v>
      </c>
      <c r="M16" s="2">
        <v>0.22</v>
      </c>
      <c r="N16" s="6">
        <f t="shared" si="0"/>
        <v>4.4970211562583922</v>
      </c>
      <c r="O16" s="6">
        <f t="shared" si="1"/>
        <v>1.5221143340803007</v>
      </c>
      <c r="P16" s="6">
        <f t="shared" si="2"/>
        <v>97.126908946903214</v>
      </c>
      <c r="Q16" s="6">
        <f t="shared" si="10"/>
        <v>6.7383952395413642</v>
      </c>
      <c r="R16" s="10">
        <f t="shared" si="11"/>
        <v>6.7383952395413645E-3</v>
      </c>
      <c r="S16" s="3">
        <f t="shared" si="3"/>
        <v>0.12129111431174457</v>
      </c>
      <c r="T16" s="4">
        <f t="shared" si="4"/>
        <v>1.2129111431174456E-4</v>
      </c>
      <c r="U16" s="3">
        <f t="shared" si="5"/>
        <v>0.43664801152228044</v>
      </c>
      <c r="V16" s="2">
        <v>13.53</v>
      </c>
      <c r="W16" s="2">
        <v>2.78</v>
      </c>
      <c r="X16" s="2">
        <f t="shared" si="6"/>
        <v>27799.999999999996</v>
      </c>
      <c r="Y16" s="5">
        <v>-0.75</v>
      </c>
      <c r="Z16" s="5">
        <v>-2.35</v>
      </c>
      <c r="AA16" s="2">
        <f t="shared" si="7"/>
        <v>1.6</v>
      </c>
      <c r="AB16" s="3">
        <f t="shared" si="8"/>
        <v>0.27290500720142524</v>
      </c>
    </row>
    <row r="17" spans="1:28" x14ac:dyDescent="0.2">
      <c r="A17" t="s">
        <v>6</v>
      </c>
      <c r="B17">
        <v>72</v>
      </c>
      <c r="C17">
        <v>5</v>
      </c>
      <c r="D17">
        <v>85</v>
      </c>
      <c r="E17" t="s">
        <v>7</v>
      </c>
      <c r="F17" s="1">
        <v>45128</v>
      </c>
      <c r="G17" t="s">
        <v>8</v>
      </c>
      <c r="H17" s="2">
        <v>35.04</v>
      </c>
      <c r="I17" s="2">
        <v>35.340000000000003</v>
      </c>
      <c r="J17" s="2">
        <v>32.450000000000003</v>
      </c>
      <c r="K17" s="2">
        <f t="shared" si="9"/>
        <v>308.49</v>
      </c>
      <c r="L17" s="2">
        <v>2.87</v>
      </c>
      <c r="M17" s="2">
        <v>0.18</v>
      </c>
      <c r="N17" s="6">
        <f t="shared" si="0"/>
        <v>4.8769107074897207</v>
      </c>
      <c r="O17" s="6">
        <f t="shared" si="1"/>
        <v>2.00805071205194</v>
      </c>
      <c r="P17" s="6">
        <f t="shared" si="2"/>
        <v>97.149293537866242</v>
      </c>
      <c r="Q17" s="6">
        <f t="shared" si="10"/>
        <v>5.3154766275013969</v>
      </c>
      <c r="R17" s="10">
        <f t="shared" si="11"/>
        <v>5.3154766275013967E-3</v>
      </c>
      <c r="S17" s="3">
        <f t="shared" si="3"/>
        <v>9.5678579295025143E-2</v>
      </c>
      <c r="T17" s="4">
        <f t="shared" si="4"/>
        <v>9.5678579295025145E-5</v>
      </c>
      <c r="U17" s="3">
        <f t="shared" si="5"/>
        <v>0.34444288546209051</v>
      </c>
      <c r="V17" s="2">
        <v>8.26</v>
      </c>
      <c r="W17" s="2">
        <v>2.33</v>
      </c>
      <c r="X17" s="2">
        <f t="shared" si="6"/>
        <v>23300</v>
      </c>
      <c r="Y17" s="5">
        <v>-0.68</v>
      </c>
      <c r="Z17" s="5">
        <v>-2.16</v>
      </c>
      <c r="AA17" s="2">
        <f t="shared" si="7"/>
        <v>1.48</v>
      </c>
      <c r="AB17" s="3">
        <f t="shared" si="8"/>
        <v>0.23273167936627737</v>
      </c>
    </row>
    <row r="18" spans="1:28" x14ac:dyDescent="0.2">
      <c r="A18" t="s">
        <v>9</v>
      </c>
      <c r="B18">
        <v>1521</v>
      </c>
      <c r="C18">
        <v>153</v>
      </c>
      <c r="D18">
        <v>69</v>
      </c>
      <c r="E18" t="s">
        <v>7</v>
      </c>
      <c r="F18" s="1">
        <v>45128</v>
      </c>
      <c r="G18" t="s">
        <v>8</v>
      </c>
      <c r="H18" s="2">
        <v>32.979999999999997</v>
      </c>
      <c r="I18" s="2">
        <v>36.39</v>
      </c>
      <c r="J18" s="2">
        <v>32.19</v>
      </c>
      <c r="K18" s="2">
        <f t="shared" si="9"/>
        <v>309.53999999999996</v>
      </c>
      <c r="L18" s="2">
        <v>2.8</v>
      </c>
      <c r="M18" s="2">
        <v>0.27</v>
      </c>
      <c r="N18" s="6">
        <f t="shared" si="0"/>
        <v>4.8058323744391975</v>
      </c>
      <c r="O18" s="6">
        <f t="shared" si="1"/>
        <v>2.0024239724202313</v>
      </c>
      <c r="P18" s="6">
        <f t="shared" si="2"/>
        <v>97.163163106389533</v>
      </c>
      <c r="Q18" s="6">
        <f t="shared" si="10"/>
        <v>7.7901978933757583</v>
      </c>
      <c r="R18" s="10">
        <f t="shared" si="11"/>
        <v>7.7901978933757584E-3</v>
      </c>
      <c r="S18" s="3">
        <f t="shared" si="3"/>
        <v>0.14022356208076364</v>
      </c>
      <c r="T18" s="4">
        <f t="shared" si="4"/>
        <v>1.4022356208076364E-4</v>
      </c>
      <c r="U18" s="3">
        <f t="shared" si="5"/>
        <v>0.50480482349074907</v>
      </c>
      <c r="V18" s="2">
        <v>1.89</v>
      </c>
      <c r="W18" s="2">
        <v>0.42</v>
      </c>
      <c r="X18" s="2">
        <f t="shared" si="6"/>
        <v>4200</v>
      </c>
      <c r="Y18" s="5">
        <v>-0.12</v>
      </c>
      <c r="Z18" s="5">
        <v>-2.02</v>
      </c>
      <c r="AA18" s="2">
        <f t="shared" si="7"/>
        <v>1.9</v>
      </c>
      <c r="AB18" s="3">
        <f t="shared" si="8"/>
        <v>0.26568674920565744</v>
      </c>
    </row>
    <row r="19" spans="1:28" x14ac:dyDescent="0.2">
      <c r="A19" t="s">
        <v>9</v>
      </c>
      <c r="B19">
        <v>1521</v>
      </c>
      <c r="C19">
        <v>153</v>
      </c>
      <c r="D19">
        <v>76</v>
      </c>
      <c r="E19" t="s">
        <v>7</v>
      </c>
      <c r="F19" s="1">
        <v>45128</v>
      </c>
      <c r="G19" t="s">
        <v>8</v>
      </c>
      <c r="H19" s="2">
        <v>32.74</v>
      </c>
      <c r="I19" s="2">
        <v>36.36</v>
      </c>
      <c r="J19" s="2">
        <v>33.590000000000003</v>
      </c>
      <c r="K19" s="2">
        <f t="shared" si="9"/>
        <v>309.51</v>
      </c>
      <c r="L19" s="2">
        <v>3.22</v>
      </c>
      <c r="M19" s="2">
        <v>0.15</v>
      </c>
      <c r="N19" s="6">
        <f t="shared" si="0"/>
        <v>5.1994735014955991</v>
      </c>
      <c r="O19" s="6">
        <f t="shared" si="1"/>
        <v>1.9845849896140817</v>
      </c>
      <c r="P19" s="6">
        <f t="shared" si="2"/>
        <v>97.162768111544992</v>
      </c>
      <c r="Q19" s="6">
        <f t="shared" si="10"/>
        <v>4.9631488084881772</v>
      </c>
      <c r="R19" s="10">
        <f t="shared" si="11"/>
        <v>4.9631488084881771E-3</v>
      </c>
      <c r="S19" s="3">
        <f t="shared" si="3"/>
        <v>8.9336678552787194E-2</v>
      </c>
      <c r="T19" s="4">
        <f t="shared" si="4"/>
        <v>8.9336678552787187E-5</v>
      </c>
      <c r="U19" s="3">
        <f t="shared" si="5"/>
        <v>0.32161204279003386</v>
      </c>
      <c r="V19" s="2">
        <v>1.63</v>
      </c>
      <c r="W19" s="2">
        <v>0.4</v>
      </c>
      <c r="X19" s="2">
        <f t="shared" si="6"/>
        <v>4000</v>
      </c>
      <c r="Y19" s="5">
        <v>-0.78</v>
      </c>
      <c r="Z19" s="5">
        <v>-2.2000000000000002</v>
      </c>
      <c r="AA19" s="2">
        <f t="shared" si="7"/>
        <v>1.4200000000000002</v>
      </c>
      <c r="AB19" s="3">
        <f t="shared" si="8"/>
        <v>0.2264873540774886</v>
      </c>
    </row>
    <row r="20" spans="1:28" x14ac:dyDescent="0.2">
      <c r="A20" t="s">
        <v>9</v>
      </c>
      <c r="B20">
        <v>1521</v>
      </c>
      <c r="C20">
        <v>153</v>
      </c>
      <c r="D20">
        <v>90</v>
      </c>
      <c r="E20" t="s">
        <v>7</v>
      </c>
      <c r="F20" s="1">
        <v>45127</v>
      </c>
      <c r="G20" t="s">
        <v>8</v>
      </c>
      <c r="H20" s="2">
        <v>21.7</v>
      </c>
      <c r="I20" s="2">
        <v>39.200000000000003</v>
      </c>
      <c r="J20" s="2">
        <v>35.47</v>
      </c>
      <c r="K20" s="2">
        <f t="shared" si="9"/>
        <v>312.34999999999997</v>
      </c>
      <c r="L20" s="2">
        <v>4.25</v>
      </c>
      <c r="M20" s="2">
        <v>0.16</v>
      </c>
      <c r="N20" s="6">
        <f t="shared" si="0"/>
        <v>5.7720209002144065</v>
      </c>
      <c r="O20" s="6">
        <f t="shared" si="1"/>
        <v>1.5346110900825007</v>
      </c>
      <c r="P20" s="6">
        <f t="shared" si="2"/>
        <v>97.199831550830424</v>
      </c>
      <c r="Q20" s="6">
        <f t="shared" si="10"/>
        <v>6.9751722693732656</v>
      </c>
      <c r="R20" s="10">
        <f t="shared" si="11"/>
        <v>6.9751722693732659E-3</v>
      </c>
      <c r="S20" s="3">
        <f t="shared" si="3"/>
        <v>0.12555310084871879</v>
      </c>
      <c r="T20" s="4">
        <f t="shared" si="4"/>
        <v>1.2555310084871879E-4</v>
      </c>
      <c r="U20" s="3">
        <f t="shared" si="5"/>
        <v>0.45199116305538767</v>
      </c>
      <c r="V20" s="2">
        <v>3.81</v>
      </c>
      <c r="W20" s="2">
        <v>0.53</v>
      </c>
      <c r="X20" s="2">
        <f t="shared" si="6"/>
        <v>5300</v>
      </c>
      <c r="Y20" s="5">
        <v>-0.39</v>
      </c>
      <c r="Z20" s="5">
        <v>-2.1800000000000002</v>
      </c>
      <c r="AA20" s="2">
        <f t="shared" si="7"/>
        <v>1.79</v>
      </c>
      <c r="AB20" s="3">
        <f t="shared" si="8"/>
        <v>0.25250902963988137</v>
      </c>
    </row>
    <row r="21" spans="1:28" x14ac:dyDescent="0.2">
      <c r="A21" t="s">
        <v>9</v>
      </c>
      <c r="B21">
        <v>1521</v>
      </c>
      <c r="C21">
        <v>155</v>
      </c>
      <c r="D21">
        <v>62</v>
      </c>
      <c r="E21" t="s">
        <v>7</v>
      </c>
      <c r="F21" s="1">
        <v>45127</v>
      </c>
      <c r="G21" t="s">
        <v>8</v>
      </c>
      <c r="H21" s="2">
        <v>23.81</v>
      </c>
      <c r="I21" s="2">
        <v>37.729999999999997</v>
      </c>
      <c r="J21" s="2">
        <v>33.630000000000003</v>
      </c>
      <c r="K21" s="2">
        <f t="shared" si="9"/>
        <v>310.88</v>
      </c>
      <c r="L21" s="2">
        <v>3.67</v>
      </c>
      <c r="M21" s="2">
        <v>0.2</v>
      </c>
      <c r="N21" s="6">
        <f t="shared" si="0"/>
        <v>5.2111206117641613</v>
      </c>
      <c r="O21" s="6">
        <f t="shared" si="1"/>
        <v>1.5553061673307187</v>
      </c>
      <c r="P21" s="6">
        <f t="shared" si="2"/>
        <v>97.180730082579572</v>
      </c>
      <c r="Q21" s="6">
        <f t="shared" si="10"/>
        <v>7.5237435267812973</v>
      </c>
      <c r="R21" s="10">
        <f t="shared" si="11"/>
        <v>7.5237435267812977E-3</v>
      </c>
      <c r="S21" s="3">
        <f t="shared" si="3"/>
        <v>0.13542738348206335</v>
      </c>
      <c r="T21" s="4">
        <f t="shared" si="4"/>
        <v>1.3542738348206335E-4</v>
      </c>
      <c r="U21" s="3">
        <f t="shared" si="5"/>
        <v>0.48753858053542809</v>
      </c>
      <c r="V21" s="2">
        <v>1.17</v>
      </c>
      <c r="W21" s="2">
        <v>0.44</v>
      </c>
      <c r="X21" s="2">
        <f t="shared" si="6"/>
        <v>4400</v>
      </c>
      <c r="Y21" s="5">
        <v>-0.44</v>
      </c>
      <c r="Z21" s="5">
        <v>-1.86</v>
      </c>
      <c r="AA21" s="2">
        <f t="shared" si="7"/>
        <v>1.4200000000000002</v>
      </c>
      <c r="AB21" s="3">
        <f t="shared" si="8"/>
        <v>0.34333702854607606</v>
      </c>
    </row>
    <row r="22" spans="1:28" x14ac:dyDescent="0.2">
      <c r="A22" t="s">
        <v>9</v>
      </c>
      <c r="B22">
        <v>1521</v>
      </c>
      <c r="C22">
        <v>155</v>
      </c>
      <c r="D22">
        <v>64</v>
      </c>
      <c r="E22" t="s">
        <v>7</v>
      </c>
      <c r="F22" s="1">
        <v>45127</v>
      </c>
      <c r="G22" t="s">
        <v>8</v>
      </c>
      <c r="H22" s="2">
        <v>31.95</v>
      </c>
      <c r="I22" s="2">
        <v>32.18</v>
      </c>
      <c r="J22" s="2">
        <v>30.61</v>
      </c>
      <c r="K22" s="2">
        <f t="shared" si="9"/>
        <v>305.33</v>
      </c>
      <c r="L22" s="2">
        <v>2.86</v>
      </c>
      <c r="M22" s="2">
        <v>0.15</v>
      </c>
      <c r="N22" s="6">
        <f t="shared" si="0"/>
        <v>4.3929727508169831</v>
      </c>
      <c r="O22" s="6">
        <f t="shared" si="1"/>
        <v>1.5345957845951017</v>
      </c>
      <c r="P22" s="6">
        <f t="shared" si="2"/>
        <v>97.106989437830251</v>
      </c>
      <c r="Q22" s="6">
        <f t="shared" si="10"/>
        <v>4.4153005609115326</v>
      </c>
      <c r="R22" s="10">
        <f t="shared" si="11"/>
        <v>4.415300560911533E-3</v>
      </c>
      <c r="S22" s="3">
        <f t="shared" si="3"/>
        <v>7.94754100964076E-2</v>
      </c>
      <c r="T22" s="4">
        <f t="shared" si="4"/>
        <v>7.9475410096407605E-5</v>
      </c>
      <c r="U22" s="3">
        <f t="shared" si="5"/>
        <v>0.28611147634706735</v>
      </c>
      <c r="V22" s="2">
        <v>1.37</v>
      </c>
      <c r="W22" s="2">
        <v>0.45</v>
      </c>
      <c r="X22" s="2">
        <f t="shared" si="6"/>
        <v>4500</v>
      </c>
      <c r="Y22" s="5">
        <v>-0.28999999999999998</v>
      </c>
      <c r="Z22" s="5">
        <v>-2.15</v>
      </c>
      <c r="AA22" s="2">
        <f t="shared" si="7"/>
        <v>1.8599999999999999</v>
      </c>
      <c r="AB22" s="3">
        <f t="shared" si="8"/>
        <v>0.15382337438014373</v>
      </c>
    </row>
    <row r="23" spans="1:28" x14ac:dyDescent="0.2">
      <c r="A23" t="s">
        <v>9</v>
      </c>
      <c r="B23">
        <v>1521</v>
      </c>
      <c r="C23">
        <v>155</v>
      </c>
      <c r="D23">
        <v>66</v>
      </c>
      <c r="E23" t="s">
        <v>7</v>
      </c>
      <c r="F23" s="1">
        <v>45128</v>
      </c>
      <c r="G23" t="s">
        <v>8</v>
      </c>
      <c r="H23" s="2">
        <v>31.99</v>
      </c>
      <c r="I23" s="2">
        <v>36.69</v>
      </c>
      <c r="J23" s="2">
        <v>34.229999999999997</v>
      </c>
      <c r="K23" s="2">
        <f t="shared" si="9"/>
        <v>309.83999999999997</v>
      </c>
      <c r="L23" s="2">
        <v>3.43</v>
      </c>
      <c r="M23" s="2">
        <v>0.13</v>
      </c>
      <c r="N23" s="6">
        <f t="shared" si="0"/>
        <v>5.3885704384051198</v>
      </c>
      <c r="O23" s="6">
        <f t="shared" si="1"/>
        <v>1.9744889536433938</v>
      </c>
      <c r="P23" s="6">
        <f t="shared" si="2"/>
        <v>97.167108936018579</v>
      </c>
      <c r="Q23" s="6">
        <f t="shared" si="10"/>
        <v>4.5677040088871292</v>
      </c>
      <c r="R23" s="10">
        <f t="shared" si="11"/>
        <v>4.5677040088871294E-3</v>
      </c>
      <c r="S23" s="3">
        <f t="shared" si="3"/>
        <v>8.2218672159968337E-2</v>
      </c>
      <c r="T23" s="4">
        <f t="shared" si="4"/>
        <v>8.2218672159968341E-5</v>
      </c>
      <c r="U23" s="3">
        <f t="shared" si="5"/>
        <v>0.29598721977588605</v>
      </c>
      <c r="V23" s="2">
        <v>3.21</v>
      </c>
      <c r="W23" s="2">
        <v>0.68</v>
      </c>
      <c r="X23" s="2">
        <f t="shared" si="6"/>
        <v>6800.0000000000009</v>
      </c>
      <c r="Y23" s="5">
        <v>-0.63</v>
      </c>
      <c r="Z23" s="5">
        <v>-2.2200000000000002</v>
      </c>
      <c r="AA23" s="2">
        <f t="shared" si="7"/>
        <v>1.5900000000000003</v>
      </c>
      <c r="AB23" s="3">
        <f t="shared" si="8"/>
        <v>0.18615548413577734</v>
      </c>
    </row>
    <row r="24" spans="1:28" x14ac:dyDescent="0.2">
      <c r="A24" t="s">
        <v>9</v>
      </c>
      <c r="B24">
        <v>1521</v>
      </c>
      <c r="C24">
        <v>156</v>
      </c>
      <c r="D24">
        <v>71</v>
      </c>
      <c r="E24" t="s">
        <v>7</v>
      </c>
      <c r="F24" s="1">
        <v>45127</v>
      </c>
      <c r="G24" t="s">
        <v>8</v>
      </c>
      <c r="H24" s="2">
        <v>24.06</v>
      </c>
      <c r="I24" s="2">
        <v>37.83</v>
      </c>
      <c r="J24" s="2">
        <v>33.61</v>
      </c>
      <c r="K24" s="2">
        <f t="shared" si="9"/>
        <v>310.97999999999996</v>
      </c>
      <c r="L24" s="2">
        <v>3.63</v>
      </c>
      <c r="M24" s="2">
        <v>0.23</v>
      </c>
      <c r="N24" s="6">
        <f t="shared" si="0"/>
        <v>5.2052942231845654</v>
      </c>
      <c r="O24" s="6">
        <f t="shared" si="1"/>
        <v>1.5801902197001256</v>
      </c>
      <c r="P24" s="6">
        <f t="shared" si="2"/>
        <v>97.182035107200164</v>
      </c>
      <c r="Q24" s="6">
        <f t="shared" si="10"/>
        <v>8.5795066946447118</v>
      </c>
      <c r="R24" s="10">
        <f t="shared" si="11"/>
        <v>8.5795066946447122E-3</v>
      </c>
      <c r="S24" s="3">
        <f t="shared" si="3"/>
        <v>0.15443112050360483</v>
      </c>
      <c r="T24" s="4">
        <f t="shared" si="4"/>
        <v>1.5443112050360483E-4</v>
      </c>
      <c r="U24" s="3">
        <f t="shared" si="5"/>
        <v>0.55595203381297742</v>
      </c>
      <c r="V24" s="2">
        <v>3.35</v>
      </c>
      <c r="W24" s="2">
        <v>0.65</v>
      </c>
      <c r="X24" s="2">
        <f t="shared" si="6"/>
        <v>6500</v>
      </c>
      <c r="Y24" s="5">
        <v>-0.53</v>
      </c>
      <c r="Z24" s="5">
        <v>-1.89</v>
      </c>
      <c r="AA24" s="2">
        <f t="shared" si="7"/>
        <v>1.3599999999999999</v>
      </c>
      <c r="AB24" s="3">
        <f t="shared" si="8"/>
        <v>0.40878826015660108</v>
      </c>
    </row>
    <row r="25" spans="1:28" x14ac:dyDescent="0.2">
      <c r="A25" t="s">
        <v>9</v>
      </c>
      <c r="B25">
        <v>1521</v>
      </c>
      <c r="C25">
        <v>156</v>
      </c>
      <c r="D25">
        <v>74</v>
      </c>
      <c r="E25" t="s">
        <v>7</v>
      </c>
      <c r="F25" s="1">
        <v>45128</v>
      </c>
      <c r="G25" t="s">
        <v>8</v>
      </c>
      <c r="H25" s="2">
        <v>32.68</v>
      </c>
      <c r="I25" s="2">
        <v>36.369999999999997</v>
      </c>
      <c r="J25" s="2">
        <v>35.590000000000003</v>
      </c>
      <c r="K25" s="2">
        <f t="shared" si="9"/>
        <v>309.52</v>
      </c>
      <c r="L25" s="2">
        <v>3.83</v>
      </c>
      <c r="M25" s="2">
        <v>0.06</v>
      </c>
      <c r="N25" s="6">
        <f t="shared" si="0"/>
        <v>5.8103569888940561</v>
      </c>
      <c r="O25" s="6">
        <f t="shared" si="1"/>
        <v>1.9820345074725647</v>
      </c>
      <c r="P25" s="6">
        <f t="shared" si="2"/>
        <v>97.162899784822429</v>
      </c>
      <c r="Q25" s="6">
        <f t="shared" si="10"/>
        <v>2.3640643640111922</v>
      </c>
      <c r="R25" s="10">
        <f t="shared" si="11"/>
        <v>2.3640643640111922E-3</v>
      </c>
      <c r="S25" s="3">
        <f t="shared" si="3"/>
        <v>4.2553158552201459E-2</v>
      </c>
      <c r="T25" s="4">
        <f t="shared" si="4"/>
        <v>4.2553158552201456E-5</v>
      </c>
      <c r="U25" s="3">
        <f t="shared" si="5"/>
        <v>0.15319137078792525</v>
      </c>
      <c r="V25" s="2">
        <v>2.92</v>
      </c>
      <c r="W25" s="2">
        <v>0.64</v>
      </c>
      <c r="X25" s="2">
        <f t="shared" si="6"/>
        <v>6400</v>
      </c>
      <c r="Y25" s="5">
        <v>-0.57999999999999996</v>
      </c>
      <c r="Z25" s="5">
        <v>-1.79</v>
      </c>
      <c r="AA25" s="2">
        <f t="shared" si="7"/>
        <v>1.21</v>
      </c>
      <c r="AB25" s="3">
        <f t="shared" si="8"/>
        <v>0.12660443866770682</v>
      </c>
    </row>
    <row r="26" spans="1:28" x14ac:dyDescent="0.2">
      <c r="A26" t="s">
        <v>9</v>
      </c>
      <c r="B26">
        <v>1521</v>
      </c>
      <c r="C26">
        <v>156</v>
      </c>
      <c r="D26">
        <v>75</v>
      </c>
      <c r="E26" t="s">
        <v>7</v>
      </c>
      <c r="F26" s="1">
        <v>45128</v>
      </c>
      <c r="G26" t="s">
        <v>8</v>
      </c>
      <c r="H26" s="2">
        <v>31.76</v>
      </c>
      <c r="I26" s="2">
        <v>36.72</v>
      </c>
      <c r="J26" s="2">
        <v>32.770000000000003</v>
      </c>
      <c r="K26" s="2">
        <f t="shared" si="9"/>
        <v>309.87</v>
      </c>
      <c r="L26" s="2">
        <v>3</v>
      </c>
      <c r="M26" s="2">
        <v>0.23</v>
      </c>
      <c r="N26" s="6">
        <f t="shared" si="0"/>
        <v>4.9656463858629696</v>
      </c>
      <c r="O26" s="6">
        <f t="shared" si="1"/>
        <v>1.9635122836002201</v>
      </c>
      <c r="P26" s="6">
        <f t="shared" si="2"/>
        <v>97.167503107568265</v>
      </c>
      <c r="Q26" s="6">
        <f t="shared" si="10"/>
        <v>7.1061910766198411</v>
      </c>
      <c r="R26" s="10">
        <f t="shared" si="11"/>
        <v>7.1061910766198411E-3</v>
      </c>
      <c r="S26" s="3">
        <f t="shared" si="3"/>
        <v>0.12791143937915714</v>
      </c>
      <c r="T26" s="4">
        <f t="shared" si="4"/>
        <v>1.2791143937915714E-4</v>
      </c>
      <c r="U26" s="3">
        <f t="shared" si="5"/>
        <v>0.46048118176496572</v>
      </c>
      <c r="V26" s="2">
        <v>2.78</v>
      </c>
      <c r="W26" s="2">
        <v>0.57999999999999996</v>
      </c>
      <c r="X26" s="2">
        <f t="shared" si="6"/>
        <v>5800</v>
      </c>
      <c r="Y26" s="5">
        <v>-0.19</v>
      </c>
      <c r="Z26" s="5">
        <v>-2.25</v>
      </c>
      <c r="AA26" s="2">
        <f t="shared" si="7"/>
        <v>2.06</v>
      </c>
      <c r="AB26" s="3">
        <f t="shared" si="8"/>
        <v>0.22353455425483773</v>
      </c>
    </row>
    <row r="27" spans="1:28" x14ac:dyDescent="0.2">
      <c r="A27" t="s">
        <v>9</v>
      </c>
      <c r="B27">
        <v>1521</v>
      </c>
      <c r="C27">
        <v>157</v>
      </c>
      <c r="D27">
        <v>67</v>
      </c>
      <c r="E27" t="s">
        <v>7</v>
      </c>
      <c r="F27" s="1">
        <v>45128</v>
      </c>
      <c r="G27" t="s">
        <v>8</v>
      </c>
      <c r="H27" s="2">
        <v>34.520000000000003</v>
      </c>
      <c r="I27" s="2">
        <v>35.51</v>
      </c>
      <c r="J27" s="2">
        <v>32.57</v>
      </c>
      <c r="K27" s="2">
        <f t="shared" si="9"/>
        <v>308.65999999999997</v>
      </c>
      <c r="L27" s="2">
        <v>2.91</v>
      </c>
      <c r="M27" s="2">
        <v>0.2</v>
      </c>
      <c r="N27" s="6">
        <f t="shared" si="0"/>
        <v>4.9100234992238576</v>
      </c>
      <c r="O27" s="6">
        <f t="shared" si="1"/>
        <v>1.9969043655653067</v>
      </c>
      <c r="P27" s="6">
        <f t="shared" si="2"/>
        <v>97.151545354553448</v>
      </c>
      <c r="Q27" s="6">
        <f t="shared" si="10"/>
        <v>5.9970618542961027</v>
      </c>
      <c r="R27" s="10">
        <f t="shared" si="11"/>
        <v>5.9970618542961023E-3</v>
      </c>
      <c r="S27" s="3">
        <f t="shared" si="3"/>
        <v>0.10794711337732985</v>
      </c>
      <c r="T27" s="4">
        <f t="shared" si="4"/>
        <v>1.0794711337732985E-4</v>
      </c>
      <c r="U27" s="3">
        <f t="shared" si="5"/>
        <v>0.38860960815838747</v>
      </c>
      <c r="V27" s="2">
        <v>2.46</v>
      </c>
      <c r="W27" s="2">
        <v>0.65</v>
      </c>
      <c r="X27" s="2">
        <f t="shared" si="6"/>
        <v>6500</v>
      </c>
      <c r="Y27" s="5">
        <v>-0.62</v>
      </c>
      <c r="Z27" s="5">
        <v>-2.06</v>
      </c>
      <c r="AA27" s="2">
        <f t="shared" si="7"/>
        <v>1.44</v>
      </c>
      <c r="AB27" s="3">
        <f t="shared" si="8"/>
        <v>0.26986778344332463</v>
      </c>
    </row>
    <row r="28" spans="1:28" x14ac:dyDescent="0.2">
      <c r="A28" t="s">
        <v>9</v>
      </c>
      <c r="B28">
        <v>1521</v>
      </c>
      <c r="C28">
        <v>157</v>
      </c>
      <c r="D28">
        <v>68</v>
      </c>
      <c r="E28" t="s">
        <v>7</v>
      </c>
      <c r="F28" s="1">
        <v>45128</v>
      </c>
      <c r="G28" t="s">
        <v>8</v>
      </c>
      <c r="H28" s="2">
        <v>35.119999999999997</v>
      </c>
      <c r="I28" s="2">
        <v>34.82</v>
      </c>
      <c r="J28" s="2">
        <v>32.39</v>
      </c>
      <c r="K28" s="2">
        <f t="shared" si="9"/>
        <v>307.96999999999997</v>
      </c>
      <c r="L28" s="2">
        <v>2.91</v>
      </c>
      <c r="M28" s="2">
        <v>0.2</v>
      </c>
      <c r="N28" s="6">
        <f t="shared" si="0"/>
        <v>4.8604273188327527</v>
      </c>
      <c r="O28" s="6">
        <f t="shared" si="1"/>
        <v>1.9555387838461649</v>
      </c>
      <c r="P28" s="6">
        <f t="shared" si="2"/>
        <v>97.142390521055162</v>
      </c>
      <c r="Q28" s="6">
        <f t="shared" si="10"/>
        <v>5.9806815941120313</v>
      </c>
      <c r="R28" s="10">
        <f t="shared" si="11"/>
        <v>5.9806815941120311E-3</v>
      </c>
      <c r="S28" s="3">
        <f t="shared" si="3"/>
        <v>0.10765226869401656</v>
      </c>
      <c r="T28" s="4">
        <f t="shared" si="4"/>
        <v>1.0765226869401656E-4</v>
      </c>
      <c r="U28" s="3">
        <f t="shared" si="5"/>
        <v>0.38754816729845959</v>
      </c>
      <c r="V28" s="2">
        <v>2.9</v>
      </c>
      <c r="W28" s="2">
        <v>0.85</v>
      </c>
      <c r="X28" s="2">
        <f t="shared" si="6"/>
        <v>8500</v>
      </c>
      <c r="Y28" s="5">
        <v>-0.95</v>
      </c>
      <c r="Z28" s="5">
        <v>-2.1</v>
      </c>
      <c r="AA28" s="2">
        <f t="shared" si="7"/>
        <v>1.1500000000000001</v>
      </c>
      <c r="AB28" s="3">
        <f t="shared" si="8"/>
        <v>0.33699840634648653</v>
      </c>
    </row>
    <row r="29" spans="1:28" x14ac:dyDescent="0.2">
      <c r="A29" t="s">
        <v>9</v>
      </c>
      <c r="B29">
        <v>1521</v>
      </c>
      <c r="C29">
        <v>157</v>
      </c>
      <c r="D29">
        <v>72</v>
      </c>
      <c r="E29" t="s">
        <v>7</v>
      </c>
      <c r="F29" s="1">
        <v>45127</v>
      </c>
      <c r="G29" t="s">
        <v>8</v>
      </c>
      <c r="H29" s="2">
        <v>26.54</v>
      </c>
      <c r="I29" s="2">
        <v>35.99</v>
      </c>
      <c r="J29" s="2">
        <v>33.39</v>
      </c>
      <c r="K29" s="2">
        <f t="shared" si="9"/>
        <v>309.14</v>
      </c>
      <c r="L29" s="2">
        <v>3.57</v>
      </c>
      <c r="M29" s="2">
        <v>0.13</v>
      </c>
      <c r="N29" s="6">
        <f t="shared" si="0"/>
        <v>5.1415769474234532</v>
      </c>
      <c r="O29" s="6">
        <f t="shared" si="1"/>
        <v>1.5764086651815088</v>
      </c>
      <c r="P29" s="6">
        <f t="shared" si="2"/>
        <v>97.157890337392374</v>
      </c>
      <c r="Q29" s="6">
        <f t="shared" si="10"/>
        <v>4.7702958049211581</v>
      </c>
      <c r="R29" s="10">
        <f t="shared" si="11"/>
        <v>4.7702958049211583E-3</v>
      </c>
      <c r="S29" s="3">
        <f t="shared" si="3"/>
        <v>8.5865324488580849E-2</v>
      </c>
      <c r="T29" s="4">
        <f t="shared" si="4"/>
        <v>8.5865324488580854E-5</v>
      </c>
      <c r="U29" s="3">
        <f t="shared" si="5"/>
        <v>0.30911516815889106</v>
      </c>
      <c r="V29" s="2">
        <v>1.89</v>
      </c>
      <c r="W29" s="2">
        <v>1.52</v>
      </c>
      <c r="X29" s="2">
        <f t="shared" si="6"/>
        <v>15200</v>
      </c>
      <c r="Y29" s="5">
        <v>-0.55000000000000004</v>
      </c>
      <c r="Z29" s="5">
        <v>-2.14</v>
      </c>
      <c r="AA29" s="2">
        <f t="shared" si="7"/>
        <v>1.59</v>
      </c>
      <c r="AB29" s="3">
        <f t="shared" si="8"/>
        <v>0.19441205544584342</v>
      </c>
    </row>
    <row r="30" spans="1:28" x14ac:dyDescent="0.2">
      <c r="A30" t="s">
        <v>9</v>
      </c>
      <c r="B30">
        <v>1521</v>
      </c>
      <c r="C30">
        <v>158</v>
      </c>
      <c r="D30">
        <v>70</v>
      </c>
      <c r="E30" t="s">
        <v>7</v>
      </c>
      <c r="F30" s="1">
        <v>45128</v>
      </c>
      <c r="G30" t="s">
        <v>8</v>
      </c>
      <c r="H30" s="2">
        <v>31.91</v>
      </c>
      <c r="I30" s="2">
        <v>36.869999999999997</v>
      </c>
      <c r="J30" s="2">
        <v>33.85</v>
      </c>
      <c r="K30" s="2">
        <f t="shared" si="9"/>
        <v>310.02</v>
      </c>
      <c r="L30" s="2">
        <v>3.29</v>
      </c>
      <c r="M30" s="2">
        <v>0.19</v>
      </c>
      <c r="N30" s="6">
        <f t="shared" si="0"/>
        <v>5.2755862268297147</v>
      </c>
      <c r="O30" s="6">
        <f t="shared" si="1"/>
        <v>1.9890281370947984</v>
      </c>
      <c r="P30" s="6">
        <f t="shared" si="2"/>
        <v>97.1694728449813</v>
      </c>
      <c r="Q30" s="6">
        <f t="shared" si="10"/>
        <v>6.4263602422320441</v>
      </c>
      <c r="R30" s="10">
        <f t="shared" si="11"/>
        <v>6.4263602422320442E-3</v>
      </c>
      <c r="S30" s="3">
        <f t="shared" si="3"/>
        <v>0.1156744843601768</v>
      </c>
      <c r="T30" s="4">
        <f t="shared" si="4"/>
        <v>1.1567448436017679E-4</v>
      </c>
      <c r="U30" s="3">
        <f t="shared" si="5"/>
        <v>0.41642814369663644</v>
      </c>
      <c r="V30" s="2">
        <v>1.25</v>
      </c>
      <c r="W30" s="2">
        <v>0.24</v>
      </c>
      <c r="X30" s="2">
        <f t="shared" si="6"/>
        <v>2400</v>
      </c>
      <c r="Y30" s="5">
        <v>-0.54</v>
      </c>
      <c r="Z30" s="5">
        <v>-1.9</v>
      </c>
      <c r="AA30" s="2">
        <f t="shared" si="7"/>
        <v>1.3599999999999999</v>
      </c>
      <c r="AB30" s="3">
        <f t="shared" si="8"/>
        <v>0.30619716448282092</v>
      </c>
    </row>
    <row r="31" spans="1:28" x14ac:dyDescent="0.2">
      <c r="A31" t="s">
        <v>9</v>
      </c>
      <c r="B31">
        <v>1521</v>
      </c>
      <c r="C31">
        <v>158</v>
      </c>
      <c r="D31">
        <v>73</v>
      </c>
      <c r="E31" t="s">
        <v>7</v>
      </c>
      <c r="F31" s="1">
        <v>45128</v>
      </c>
      <c r="G31" t="s">
        <v>8</v>
      </c>
      <c r="H31" s="2">
        <v>32.83</v>
      </c>
      <c r="I31" s="2">
        <v>36.35</v>
      </c>
      <c r="J31" s="2">
        <v>32.92</v>
      </c>
      <c r="K31" s="2">
        <f t="shared" si="9"/>
        <v>309.5</v>
      </c>
      <c r="L31" s="2">
        <v>3.02</v>
      </c>
      <c r="M31" s="2">
        <v>0.22</v>
      </c>
      <c r="N31" s="6">
        <f t="shared" si="0"/>
        <v>5.0077226131601211</v>
      </c>
      <c r="O31" s="6">
        <f t="shared" si="1"/>
        <v>1.9889495001146327</v>
      </c>
      <c r="P31" s="6">
        <f t="shared" si="2"/>
        <v>97.162636429937237</v>
      </c>
      <c r="Q31" s="6">
        <f t="shared" si="10"/>
        <v>6.8352415009745373</v>
      </c>
      <c r="R31" s="10">
        <f t="shared" si="11"/>
        <v>6.8352415009745376E-3</v>
      </c>
      <c r="S31" s="3">
        <f t="shared" si="3"/>
        <v>0.12303434701754168</v>
      </c>
      <c r="T31" s="4">
        <f t="shared" si="4"/>
        <v>1.2303434701754168E-4</v>
      </c>
      <c r="U31" s="3">
        <f t="shared" si="5"/>
        <v>0.44292364926315009</v>
      </c>
      <c r="V31" s="2">
        <v>1.75</v>
      </c>
      <c r="W31" s="2">
        <v>0.39</v>
      </c>
      <c r="X31" s="2">
        <f t="shared" si="6"/>
        <v>3900</v>
      </c>
      <c r="Y31" s="5">
        <v>-0.5</v>
      </c>
      <c r="Z31" s="5">
        <v>-2.19</v>
      </c>
      <c r="AA31" s="2">
        <f t="shared" si="7"/>
        <v>1.69</v>
      </c>
      <c r="AB31" s="3">
        <f t="shared" si="8"/>
        <v>0.26208499956399417</v>
      </c>
    </row>
    <row r="32" spans="1:28" x14ac:dyDescent="0.2">
      <c r="A32" t="s">
        <v>9</v>
      </c>
      <c r="B32">
        <v>1521</v>
      </c>
      <c r="C32">
        <v>158</v>
      </c>
      <c r="D32">
        <v>81</v>
      </c>
      <c r="E32" t="s">
        <v>7</v>
      </c>
      <c r="F32" s="1">
        <v>45128</v>
      </c>
      <c r="G32" t="s">
        <v>8</v>
      </c>
      <c r="H32" s="2">
        <v>31.74</v>
      </c>
      <c r="I32" s="2">
        <v>37.090000000000003</v>
      </c>
      <c r="J32" s="2">
        <v>35.51</v>
      </c>
      <c r="K32" s="2">
        <f t="shared" si="9"/>
        <v>310.24</v>
      </c>
      <c r="L32" s="2">
        <v>3.78</v>
      </c>
      <c r="M32" s="2">
        <v>0.08</v>
      </c>
      <c r="N32" s="6">
        <f t="shared" si="0"/>
        <v>5.7847751030281191</v>
      </c>
      <c r="O32" s="6">
        <f t="shared" si="1"/>
        <v>2.0023356799248258</v>
      </c>
      <c r="P32" s="6">
        <f t="shared" si="2"/>
        <v>97.172358419846304</v>
      </c>
      <c r="Q32" s="6">
        <f t="shared" si="10"/>
        <v>3.1140044223364449</v>
      </c>
      <c r="R32" s="10">
        <f t="shared" si="11"/>
        <v>3.114004422336445E-3</v>
      </c>
      <c r="S32" s="3">
        <f t="shared" si="3"/>
        <v>5.6052079602056007E-2</v>
      </c>
      <c r="T32" s="4">
        <f t="shared" si="4"/>
        <v>5.605207960205601E-5</v>
      </c>
      <c r="U32" s="3">
        <f t="shared" si="5"/>
        <v>0.20178748656740164</v>
      </c>
      <c r="V32" s="2">
        <v>0.53</v>
      </c>
      <c r="W32" s="2">
        <v>0.2</v>
      </c>
      <c r="X32" s="2">
        <f t="shared" si="6"/>
        <v>2000</v>
      </c>
      <c r="Y32" s="5">
        <v>-0.78</v>
      </c>
      <c r="Z32" s="5">
        <v>-2.31</v>
      </c>
      <c r="AA32" s="2">
        <f t="shared" si="7"/>
        <v>1.53</v>
      </c>
      <c r="AB32" s="3">
        <f t="shared" si="8"/>
        <v>0.13188724612248473</v>
      </c>
    </row>
    <row r="33" spans="1:28" x14ac:dyDescent="0.2">
      <c r="A33" t="s">
        <v>10</v>
      </c>
      <c r="B33">
        <v>666</v>
      </c>
      <c r="C33">
        <v>101</v>
      </c>
      <c r="D33">
        <v>1</v>
      </c>
      <c r="E33" t="s">
        <v>7</v>
      </c>
      <c r="F33" s="1">
        <v>45127</v>
      </c>
      <c r="G33" t="s">
        <v>8</v>
      </c>
      <c r="H33" s="2">
        <v>20.56</v>
      </c>
      <c r="I33" s="2">
        <v>40.630000000000003</v>
      </c>
      <c r="J33" s="2">
        <v>35.67</v>
      </c>
      <c r="K33" s="2">
        <f t="shared" si="9"/>
        <v>313.77999999999997</v>
      </c>
      <c r="L33" s="2">
        <v>4.2699999999999996</v>
      </c>
      <c r="M33" s="2">
        <v>0.25</v>
      </c>
      <c r="N33" s="6">
        <f t="shared" si="0"/>
        <v>5.8360371109871583</v>
      </c>
      <c r="O33" s="6">
        <f t="shared" si="1"/>
        <v>1.5694955046192915</v>
      </c>
      <c r="P33" s="6">
        <f t="shared" si="2"/>
        <v>97.218245069567388</v>
      </c>
      <c r="Q33" s="6">
        <f t="shared" si="10"/>
        <v>10.971555810626947</v>
      </c>
      <c r="R33" s="10">
        <f t="shared" si="11"/>
        <v>1.0971555810626947E-2</v>
      </c>
      <c r="S33" s="3">
        <f t="shared" si="3"/>
        <v>0.19748800459128504</v>
      </c>
      <c r="T33" s="4">
        <f t="shared" si="4"/>
        <v>1.9748800459128504E-4</v>
      </c>
      <c r="U33" s="3">
        <f t="shared" si="5"/>
        <v>0.71095681652862619</v>
      </c>
      <c r="V33" s="2">
        <v>5.47</v>
      </c>
      <c r="W33" s="2">
        <v>1.21</v>
      </c>
      <c r="X33" s="2">
        <f t="shared" si="6"/>
        <v>12100</v>
      </c>
      <c r="Y33" s="5">
        <v>-0.39</v>
      </c>
      <c r="Z33" s="5">
        <v>-2.36</v>
      </c>
      <c r="AA33" s="2">
        <f t="shared" si="7"/>
        <v>1.9699999999999998</v>
      </c>
      <c r="AB33" s="3">
        <f t="shared" si="8"/>
        <v>0.36089178503991182</v>
      </c>
    </row>
    <row r="34" spans="1:28" x14ac:dyDescent="0.2">
      <c r="A34" t="s">
        <v>10</v>
      </c>
      <c r="B34">
        <v>666</v>
      </c>
      <c r="C34">
        <v>101</v>
      </c>
      <c r="D34">
        <v>2</v>
      </c>
      <c r="E34" t="s">
        <v>7</v>
      </c>
      <c r="F34" s="1">
        <v>45127</v>
      </c>
      <c r="G34" t="s">
        <v>8</v>
      </c>
      <c r="H34" s="2">
        <v>22.17</v>
      </c>
      <c r="I34" s="2">
        <v>39.659999999999997</v>
      </c>
      <c r="J34" s="2">
        <v>33.840000000000003</v>
      </c>
      <c r="K34" s="2">
        <f t="shared" si="9"/>
        <v>312.80999999999995</v>
      </c>
      <c r="L34" s="2">
        <v>3.67</v>
      </c>
      <c r="M34" s="2">
        <v>0.32</v>
      </c>
      <c r="N34" s="6">
        <f t="shared" si="0"/>
        <v>5.2726409965326591</v>
      </c>
      <c r="O34" s="6">
        <f t="shared" si="1"/>
        <v>1.6070167351076128</v>
      </c>
      <c r="P34" s="6">
        <f t="shared" si="2"/>
        <v>97.205772766969432</v>
      </c>
      <c r="Q34" s="6">
        <f t="shared" si="10"/>
        <v>12.067182125778034</v>
      </c>
      <c r="R34" s="10">
        <f t="shared" si="11"/>
        <v>1.2067182125778035E-2</v>
      </c>
      <c r="S34" s="3">
        <f t="shared" si="3"/>
        <v>0.21720927826400463</v>
      </c>
      <c r="T34" s="4">
        <f t="shared" si="4"/>
        <v>2.1720927826400464E-4</v>
      </c>
      <c r="U34" s="3">
        <f t="shared" si="5"/>
        <v>0.78195340175041672</v>
      </c>
      <c r="V34" s="2">
        <v>6.42</v>
      </c>
      <c r="W34" s="2">
        <v>1.41</v>
      </c>
      <c r="X34" s="2">
        <f t="shared" si="6"/>
        <v>14100</v>
      </c>
      <c r="Y34" s="5">
        <v>-0.33</v>
      </c>
      <c r="Z34" s="5">
        <v>-2.36</v>
      </c>
      <c r="AA34" s="2">
        <f t="shared" si="7"/>
        <v>2.0299999999999998</v>
      </c>
      <c r="AB34" s="3">
        <f t="shared" si="8"/>
        <v>0.38519872007409695</v>
      </c>
    </row>
    <row r="35" spans="1:28" x14ac:dyDescent="0.2">
      <c r="A35" t="s">
        <v>10</v>
      </c>
      <c r="B35">
        <v>666</v>
      </c>
      <c r="C35">
        <v>101</v>
      </c>
      <c r="D35">
        <v>3</v>
      </c>
      <c r="E35" t="s">
        <v>7</v>
      </c>
      <c r="F35" s="1">
        <v>45127</v>
      </c>
      <c r="G35" t="s">
        <v>8</v>
      </c>
      <c r="H35" s="2">
        <v>22.22</v>
      </c>
      <c r="I35" s="2">
        <v>39.25</v>
      </c>
      <c r="J35" s="2">
        <v>34.67</v>
      </c>
      <c r="K35" s="2">
        <f t="shared" si="9"/>
        <v>312.39999999999998</v>
      </c>
      <c r="L35" s="2">
        <v>3.95</v>
      </c>
      <c r="M35" s="2">
        <v>0.23</v>
      </c>
      <c r="N35" s="6">
        <f t="shared" ref="N35:N66" si="12">0.611*EXP((17.502*J35)/(240.97+J35))</f>
        <v>5.5220175460624255</v>
      </c>
      <c r="O35" s="6">
        <f t="shared" ref="O35:O66" si="13">(0.611*EXP((17.502*I35)/(240.97+I35)))*(H35/100)</f>
        <v>1.5756115353509672</v>
      </c>
      <c r="P35" s="6">
        <f t="shared" ref="P35:P66" si="14">101.325*EXP(-380/(29.27*K35))</f>
        <v>97.200478165122959</v>
      </c>
      <c r="Q35" s="6">
        <f t="shared" si="10"/>
        <v>9.3381575852095207</v>
      </c>
      <c r="R35" s="10">
        <f t="shared" si="11"/>
        <v>9.3381575852095212E-3</v>
      </c>
      <c r="S35" s="3">
        <f t="shared" ref="S35:S66" si="15">R35*18</f>
        <v>0.16808683653377138</v>
      </c>
      <c r="T35" s="4">
        <f t="shared" ref="T35:T66" si="16">S35/1000</f>
        <v>1.6808683653377139E-4</v>
      </c>
      <c r="U35" s="3">
        <f t="shared" ref="U35:U66" si="17">T35*3600</f>
        <v>0.60511261152157703</v>
      </c>
      <c r="V35" s="2">
        <v>5.07</v>
      </c>
      <c r="W35" s="2">
        <v>1.03</v>
      </c>
      <c r="X35" s="2">
        <f t="shared" ref="X35:X66" si="18">W35*10000</f>
        <v>10300</v>
      </c>
      <c r="Y35" s="5">
        <v>-0.38</v>
      </c>
      <c r="Z35" s="5">
        <v>-1.81</v>
      </c>
      <c r="AA35" s="2">
        <f t="shared" ref="AA35:AA66" si="19">Y35-Z35</f>
        <v>1.4300000000000002</v>
      </c>
      <c r="AB35" s="3">
        <f t="shared" ref="AB35:AB66" si="20">U35/AA35</f>
        <v>0.42315567239271118</v>
      </c>
    </row>
    <row r="36" spans="1:28" x14ac:dyDescent="0.2">
      <c r="A36" t="s">
        <v>10</v>
      </c>
      <c r="B36">
        <v>666</v>
      </c>
      <c r="C36">
        <v>105</v>
      </c>
      <c r="D36">
        <v>7</v>
      </c>
      <c r="E36" t="s">
        <v>7</v>
      </c>
      <c r="F36" s="1">
        <v>45127</v>
      </c>
      <c r="G36" t="s">
        <v>8</v>
      </c>
      <c r="H36" s="2">
        <v>24.99</v>
      </c>
      <c r="I36" s="2">
        <v>37.94</v>
      </c>
      <c r="J36" s="2">
        <v>33.08</v>
      </c>
      <c r="K36" s="2">
        <f t="shared" si="9"/>
        <v>311.08999999999997</v>
      </c>
      <c r="L36" s="2">
        <v>3.41</v>
      </c>
      <c r="M36" s="2">
        <v>0.22</v>
      </c>
      <c r="N36" s="6">
        <f t="shared" si="12"/>
        <v>5.0529455289485865</v>
      </c>
      <c r="O36" s="6">
        <f t="shared" si="13"/>
        <v>1.651091048315086</v>
      </c>
      <c r="P36" s="6">
        <f t="shared" si="14"/>
        <v>97.183469685456828</v>
      </c>
      <c r="Q36" s="6">
        <f t="shared" si="10"/>
        <v>7.7009803021199064</v>
      </c>
      <c r="R36" s="10">
        <f t="shared" si="11"/>
        <v>7.700980302119906E-3</v>
      </c>
      <c r="S36" s="3">
        <f t="shared" si="15"/>
        <v>0.1386176454381583</v>
      </c>
      <c r="T36" s="4">
        <f t="shared" si="16"/>
        <v>1.386176454381583E-4</v>
      </c>
      <c r="U36" s="3">
        <f t="shared" si="17"/>
        <v>0.4990235235773699</v>
      </c>
      <c r="V36" s="2">
        <v>3.34</v>
      </c>
      <c r="W36" s="2">
        <v>0.91</v>
      </c>
      <c r="X36" s="2">
        <f t="shared" si="18"/>
        <v>9100</v>
      </c>
      <c r="Y36" s="5">
        <v>-0.48</v>
      </c>
      <c r="Z36" s="5">
        <v>-2.17</v>
      </c>
      <c r="AA36" s="2">
        <f t="shared" si="19"/>
        <v>1.69</v>
      </c>
      <c r="AB36" s="3">
        <f t="shared" si="20"/>
        <v>0.29528019146589934</v>
      </c>
    </row>
    <row r="37" spans="1:28" x14ac:dyDescent="0.2">
      <c r="A37" t="s">
        <v>10</v>
      </c>
      <c r="B37">
        <v>666</v>
      </c>
      <c r="C37">
        <v>105</v>
      </c>
      <c r="D37">
        <v>8</v>
      </c>
      <c r="E37" t="s">
        <v>7</v>
      </c>
      <c r="F37" s="1">
        <v>45127</v>
      </c>
      <c r="G37" t="s">
        <v>8</v>
      </c>
      <c r="H37" s="2">
        <v>26.01</v>
      </c>
      <c r="I37" s="2">
        <v>36.58</v>
      </c>
      <c r="J37" s="2">
        <v>31.91</v>
      </c>
      <c r="K37" s="2">
        <f t="shared" si="9"/>
        <v>309.72999999999996</v>
      </c>
      <c r="L37" s="2">
        <v>3.14</v>
      </c>
      <c r="M37" s="2">
        <v>0.3</v>
      </c>
      <c r="N37" s="6">
        <f t="shared" si="12"/>
        <v>4.7302965604468641</v>
      </c>
      <c r="O37" s="6">
        <f t="shared" si="13"/>
        <v>1.5957557356110932</v>
      </c>
      <c r="P37" s="6">
        <f t="shared" si="14"/>
        <v>97.165663000744544</v>
      </c>
      <c r="Q37" s="6">
        <f t="shared" si="10"/>
        <v>9.6779275559878144</v>
      </c>
      <c r="R37" s="10">
        <f t="shared" si="11"/>
        <v>9.6779275559878142E-3</v>
      </c>
      <c r="S37" s="3">
        <f t="shared" si="15"/>
        <v>0.17420269600778066</v>
      </c>
      <c r="T37" s="4">
        <f t="shared" si="16"/>
        <v>1.7420269600778066E-4</v>
      </c>
      <c r="U37" s="3">
        <f t="shared" si="17"/>
        <v>0.6271297056280104</v>
      </c>
      <c r="V37" s="2">
        <v>2.64</v>
      </c>
      <c r="W37" s="2">
        <v>0.69</v>
      </c>
      <c r="X37" s="2">
        <f t="shared" si="18"/>
        <v>6899.9999999999991</v>
      </c>
      <c r="Y37" s="5">
        <v>-0.51</v>
      </c>
      <c r="Z37" s="5">
        <v>-2.2799999999999998</v>
      </c>
      <c r="AA37" s="2">
        <f t="shared" si="19"/>
        <v>1.7699999999999998</v>
      </c>
      <c r="AB37" s="3">
        <f t="shared" si="20"/>
        <v>0.35431056815141837</v>
      </c>
    </row>
    <row r="38" spans="1:28" x14ac:dyDescent="0.2">
      <c r="A38" t="s">
        <v>10</v>
      </c>
      <c r="B38">
        <v>666</v>
      </c>
      <c r="C38">
        <v>105</v>
      </c>
      <c r="D38">
        <v>9</v>
      </c>
      <c r="E38" t="s">
        <v>7</v>
      </c>
      <c r="F38" s="1">
        <v>45128</v>
      </c>
      <c r="G38" t="s">
        <v>8</v>
      </c>
      <c r="H38" s="2">
        <v>34.57</v>
      </c>
      <c r="I38" s="2">
        <v>35.65</v>
      </c>
      <c r="J38" s="2">
        <v>32.96</v>
      </c>
      <c r="K38" s="2">
        <f t="shared" si="9"/>
        <v>308.79999999999995</v>
      </c>
      <c r="L38" s="2">
        <v>3.01</v>
      </c>
      <c r="M38" s="2">
        <v>0.16</v>
      </c>
      <c r="N38" s="6">
        <f t="shared" si="12"/>
        <v>5.0189951973819547</v>
      </c>
      <c r="O38" s="6">
        <f t="shared" si="13"/>
        <v>2.015295434976248</v>
      </c>
      <c r="P38" s="6">
        <f t="shared" si="14"/>
        <v>97.153397969315648</v>
      </c>
      <c r="Q38" s="6">
        <f t="shared" si="10"/>
        <v>4.9467334342407714</v>
      </c>
      <c r="R38" s="10">
        <f t="shared" si="11"/>
        <v>4.946733434240771E-3</v>
      </c>
      <c r="S38" s="3">
        <f t="shared" si="15"/>
        <v>8.9041201816333876E-2</v>
      </c>
      <c r="T38" s="4">
        <f t="shared" si="16"/>
        <v>8.9041201816333871E-5</v>
      </c>
      <c r="U38" s="3">
        <f t="shared" si="17"/>
        <v>0.32054832653880194</v>
      </c>
      <c r="V38" s="2">
        <v>5.01</v>
      </c>
      <c r="W38" s="2">
        <v>1.0900000000000001</v>
      </c>
      <c r="X38" s="2">
        <f t="shared" si="18"/>
        <v>10900</v>
      </c>
      <c r="Y38" s="5">
        <v>-0.97</v>
      </c>
      <c r="Z38" s="5">
        <v>-2.34</v>
      </c>
      <c r="AA38" s="2">
        <f t="shared" si="19"/>
        <v>1.3699999999999999</v>
      </c>
      <c r="AB38" s="3">
        <f t="shared" si="20"/>
        <v>0.2339768806852569</v>
      </c>
    </row>
    <row r="39" spans="1:28" x14ac:dyDescent="0.2">
      <c r="A39" t="s">
        <v>10</v>
      </c>
      <c r="B39">
        <v>666</v>
      </c>
      <c r="C39">
        <v>118</v>
      </c>
      <c r="D39">
        <v>10</v>
      </c>
      <c r="E39" t="s">
        <v>7</v>
      </c>
      <c r="F39" s="1">
        <v>45128</v>
      </c>
      <c r="G39" t="s">
        <v>8</v>
      </c>
      <c r="H39" s="2">
        <v>31.56</v>
      </c>
      <c r="I39" s="2">
        <v>37</v>
      </c>
      <c r="J39" s="2">
        <v>33.18</v>
      </c>
      <c r="K39" s="2">
        <f t="shared" si="9"/>
        <v>310.14999999999998</v>
      </c>
      <c r="L39" s="2">
        <v>3.1</v>
      </c>
      <c r="M39" s="2">
        <v>0.28999999999999998</v>
      </c>
      <c r="N39" s="6">
        <f t="shared" si="12"/>
        <v>5.0813899265173816</v>
      </c>
      <c r="O39" s="6">
        <f t="shared" si="13"/>
        <v>1.9812268408570437</v>
      </c>
      <c r="P39" s="6">
        <f t="shared" si="14"/>
        <v>97.171178441838961</v>
      </c>
      <c r="Q39" s="6">
        <f t="shared" si="10"/>
        <v>9.2522012108725793</v>
      </c>
      <c r="R39" s="10">
        <f t="shared" si="11"/>
        <v>9.2522012108725796E-3</v>
      </c>
      <c r="S39" s="3">
        <f t="shared" si="15"/>
        <v>0.16653962179570644</v>
      </c>
      <c r="T39" s="4">
        <f t="shared" si="16"/>
        <v>1.6653962179570645E-4</v>
      </c>
      <c r="U39" s="3">
        <f t="shared" si="17"/>
        <v>0.59954263846454325</v>
      </c>
      <c r="V39" s="2">
        <v>3.56</v>
      </c>
      <c r="W39" s="6">
        <v>1</v>
      </c>
      <c r="X39" s="2">
        <f t="shared" si="18"/>
        <v>10000</v>
      </c>
      <c r="Y39" s="5">
        <v>-0.43</v>
      </c>
      <c r="Z39" s="5">
        <v>-1.96</v>
      </c>
      <c r="AA39" s="2">
        <f t="shared" si="19"/>
        <v>1.53</v>
      </c>
      <c r="AB39" s="3">
        <f t="shared" si="20"/>
        <v>0.39185793363695637</v>
      </c>
    </row>
    <row r="40" spans="1:28" x14ac:dyDescent="0.2">
      <c r="A40" t="s">
        <v>10</v>
      </c>
      <c r="B40">
        <v>666</v>
      </c>
      <c r="C40">
        <v>118</v>
      </c>
      <c r="D40">
        <v>11</v>
      </c>
      <c r="E40" t="s">
        <v>7</v>
      </c>
      <c r="F40" s="1">
        <v>45128</v>
      </c>
      <c r="G40" t="s">
        <v>8</v>
      </c>
      <c r="H40" s="2">
        <v>33.29</v>
      </c>
      <c r="I40" s="2">
        <v>36.35</v>
      </c>
      <c r="J40" s="2">
        <v>33.82</v>
      </c>
      <c r="K40" s="2">
        <f t="shared" si="9"/>
        <v>309.5</v>
      </c>
      <c r="L40" s="2">
        <v>3.25</v>
      </c>
      <c r="M40" s="2">
        <v>0.08</v>
      </c>
      <c r="N40" s="6">
        <f t="shared" si="12"/>
        <v>5.2667548255803851</v>
      </c>
      <c r="O40" s="6">
        <f t="shared" si="13"/>
        <v>2.0168178147674722</v>
      </c>
      <c r="P40" s="6">
        <f t="shared" si="14"/>
        <v>97.162636429937237</v>
      </c>
      <c r="Q40" s="6">
        <f t="shared" si="10"/>
        <v>2.6758738792819003</v>
      </c>
      <c r="R40" s="10">
        <f t="shared" si="11"/>
        <v>2.6758738792819004E-3</v>
      </c>
      <c r="S40" s="3">
        <f t="shared" si="15"/>
        <v>4.8165729827074205E-2</v>
      </c>
      <c r="T40" s="4">
        <f t="shared" si="16"/>
        <v>4.8165729827074206E-5</v>
      </c>
      <c r="U40" s="3">
        <f t="shared" si="17"/>
        <v>0.17339662737746714</v>
      </c>
      <c r="V40" s="2">
        <v>3.32</v>
      </c>
      <c r="W40" s="2">
        <v>0.91</v>
      </c>
      <c r="X40" s="2">
        <f t="shared" si="18"/>
        <v>9100</v>
      </c>
      <c r="Y40" s="5">
        <v>-0.77</v>
      </c>
      <c r="Z40" s="5">
        <v>-1.83</v>
      </c>
      <c r="AA40" s="2">
        <f t="shared" si="19"/>
        <v>1.06</v>
      </c>
      <c r="AB40" s="3">
        <f t="shared" si="20"/>
        <v>0.16358172394100673</v>
      </c>
    </row>
    <row r="41" spans="1:28" x14ac:dyDescent="0.2">
      <c r="A41" t="s">
        <v>10</v>
      </c>
      <c r="B41">
        <v>666</v>
      </c>
      <c r="C41">
        <v>118</v>
      </c>
      <c r="D41">
        <v>12</v>
      </c>
      <c r="E41" t="s">
        <v>7</v>
      </c>
      <c r="F41" s="1">
        <v>45127</v>
      </c>
      <c r="G41" t="s">
        <v>8</v>
      </c>
      <c r="H41" s="2">
        <v>23.59</v>
      </c>
      <c r="I41" s="2">
        <v>38.53</v>
      </c>
      <c r="J41" s="2">
        <v>33.97</v>
      </c>
      <c r="K41" s="2">
        <f t="shared" si="9"/>
        <v>311.67999999999995</v>
      </c>
      <c r="L41" s="2">
        <v>3.71</v>
      </c>
      <c r="M41" s="2">
        <v>0.23</v>
      </c>
      <c r="N41" s="6">
        <f t="shared" si="12"/>
        <v>5.3110407485440847</v>
      </c>
      <c r="O41" s="6">
        <f t="shared" si="13"/>
        <v>1.6091450452581337</v>
      </c>
      <c r="P41" s="6">
        <f t="shared" si="14"/>
        <v>97.191147320330273</v>
      </c>
      <c r="Q41" s="6">
        <f t="shared" si="10"/>
        <v>8.7604276236140972</v>
      </c>
      <c r="R41" s="10">
        <f t="shared" si="11"/>
        <v>8.7604276236140973E-3</v>
      </c>
      <c r="S41" s="3">
        <f t="shared" si="15"/>
        <v>0.15768769722505374</v>
      </c>
      <c r="T41" s="4">
        <f t="shared" si="16"/>
        <v>1.5768769722505373E-4</v>
      </c>
      <c r="U41" s="3">
        <f t="shared" si="17"/>
        <v>0.56767571001019346</v>
      </c>
      <c r="V41" s="2">
        <v>1.61</v>
      </c>
      <c r="W41" s="2">
        <v>0.5</v>
      </c>
      <c r="X41" s="2">
        <f t="shared" si="18"/>
        <v>5000</v>
      </c>
      <c r="Y41" s="5">
        <v>-0.44</v>
      </c>
      <c r="Z41" s="5">
        <v>-2.02</v>
      </c>
      <c r="AA41" s="2">
        <f t="shared" si="19"/>
        <v>1.58</v>
      </c>
      <c r="AB41" s="3">
        <f t="shared" si="20"/>
        <v>0.35928842405708444</v>
      </c>
    </row>
    <row r="42" spans="1:28" x14ac:dyDescent="0.2">
      <c r="A42" t="s">
        <v>10</v>
      </c>
      <c r="B42">
        <v>666</v>
      </c>
      <c r="C42">
        <v>122</v>
      </c>
      <c r="D42">
        <v>16</v>
      </c>
      <c r="E42" t="s">
        <v>7</v>
      </c>
      <c r="F42" s="1">
        <v>45128</v>
      </c>
      <c r="G42" t="s">
        <v>8</v>
      </c>
      <c r="H42" s="2">
        <v>32.92</v>
      </c>
      <c r="I42" s="2">
        <v>36.31</v>
      </c>
      <c r="J42" s="2">
        <v>33.020000000000003</v>
      </c>
      <c r="K42" s="2">
        <f t="shared" si="9"/>
        <v>309.45999999999998</v>
      </c>
      <c r="L42" s="2">
        <v>3.05</v>
      </c>
      <c r="M42" s="2">
        <v>0.21</v>
      </c>
      <c r="N42" s="6">
        <f t="shared" si="12"/>
        <v>5.0359454705992661</v>
      </c>
      <c r="O42" s="6">
        <f t="shared" si="13"/>
        <v>1.990031333614906</v>
      </c>
      <c r="P42" s="6">
        <f t="shared" si="14"/>
        <v>97.162109620187252</v>
      </c>
      <c r="Q42" s="6">
        <f t="shared" si="10"/>
        <v>6.5832449631560701</v>
      </c>
      <c r="R42" s="10">
        <f t="shared" si="11"/>
        <v>6.5832449631560699E-3</v>
      </c>
      <c r="S42" s="3">
        <f t="shared" si="15"/>
        <v>0.11849840933680926</v>
      </c>
      <c r="T42" s="4">
        <f t="shared" si="16"/>
        <v>1.1849840933680926E-4</v>
      </c>
      <c r="U42" s="3">
        <f t="shared" si="17"/>
        <v>0.42659427361251334</v>
      </c>
      <c r="V42" s="2">
        <v>7.05</v>
      </c>
      <c r="W42" s="2">
        <v>2.21</v>
      </c>
      <c r="X42" s="2">
        <f t="shared" si="18"/>
        <v>22100</v>
      </c>
      <c r="Y42" s="5">
        <v>-0.51</v>
      </c>
      <c r="Z42" s="5">
        <v>-2.23</v>
      </c>
      <c r="AA42" s="2">
        <f t="shared" si="19"/>
        <v>1.72</v>
      </c>
      <c r="AB42" s="3">
        <f t="shared" si="20"/>
        <v>0.24801992651890312</v>
      </c>
    </row>
    <row r="43" spans="1:28" x14ac:dyDescent="0.2">
      <c r="A43" t="s">
        <v>10</v>
      </c>
      <c r="B43">
        <v>666</v>
      </c>
      <c r="C43">
        <v>122</v>
      </c>
      <c r="D43">
        <v>17</v>
      </c>
      <c r="E43" t="s">
        <v>7</v>
      </c>
      <c r="F43" s="1">
        <v>45128</v>
      </c>
      <c r="G43" t="s">
        <v>8</v>
      </c>
      <c r="H43" s="2">
        <v>32.07</v>
      </c>
      <c r="I43" s="2">
        <v>36.630000000000003</v>
      </c>
      <c r="J43" s="2">
        <v>33</v>
      </c>
      <c r="K43" s="2">
        <f t="shared" si="9"/>
        <v>309.77999999999997</v>
      </c>
      <c r="L43" s="2">
        <v>3.06</v>
      </c>
      <c r="M43" s="2">
        <v>0.25</v>
      </c>
      <c r="N43" s="6">
        <f t="shared" si="12"/>
        <v>5.0302898538977692</v>
      </c>
      <c r="O43" s="6">
        <f t="shared" si="13"/>
        <v>1.9729389429088511</v>
      </c>
      <c r="P43" s="6">
        <f t="shared" si="14"/>
        <v>97.166320368682165</v>
      </c>
      <c r="Q43" s="6">
        <f t="shared" si="10"/>
        <v>7.8662825230704572</v>
      </c>
      <c r="R43" s="10">
        <f t="shared" si="11"/>
        <v>7.8662825230704572E-3</v>
      </c>
      <c r="S43" s="3">
        <f t="shared" si="15"/>
        <v>0.14159308541526822</v>
      </c>
      <c r="T43" s="4">
        <f t="shared" si="16"/>
        <v>1.4159308541526823E-4</v>
      </c>
      <c r="U43" s="3">
        <f t="shared" si="17"/>
        <v>0.50973510749496564</v>
      </c>
      <c r="V43" s="2">
        <v>4.82</v>
      </c>
      <c r="W43" s="2">
        <v>1.19</v>
      </c>
      <c r="X43" s="2">
        <f t="shared" si="18"/>
        <v>11900</v>
      </c>
      <c r="Y43" s="5">
        <v>-0.41</v>
      </c>
      <c r="Z43" s="5">
        <v>-2.27</v>
      </c>
      <c r="AA43" s="2">
        <f t="shared" si="19"/>
        <v>1.86</v>
      </c>
      <c r="AB43" s="3">
        <f t="shared" si="20"/>
        <v>0.27405113306180945</v>
      </c>
    </row>
    <row r="44" spans="1:28" x14ac:dyDescent="0.2">
      <c r="A44" t="s">
        <v>10</v>
      </c>
      <c r="B44">
        <v>666</v>
      </c>
      <c r="C44">
        <v>122</v>
      </c>
      <c r="D44">
        <v>18</v>
      </c>
      <c r="E44" t="s">
        <v>7</v>
      </c>
      <c r="F44" s="1">
        <v>45127</v>
      </c>
      <c r="G44" t="s">
        <v>8</v>
      </c>
      <c r="H44" s="2">
        <v>21.58</v>
      </c>
      <c r="I44" s="2">
        <v>39.6</v>
      </c>
      <c r="J44" s="2">
        <v>35.65</v>
      </c>
      <c r="K44" s="2">
        <f t="shared" si="9"/>
        <v>312.75</v>
      </c>
      <c r="L44" s="2">
        <v>4.28</v>
      </c>
      <c r="M44" s="2">
        <v>0.16</v>
      </c>
      <c r="N44" s="6">
        <f t="shared" si="12"/>
        <v>5.8296078535616083</v>
      </c>
      <c r="O44" s="6">
        <f t="shared" si="13"/>
        <v>1.5592307326810817</v>
      </c>
      <c r="P44" s="6">
        <f t="shared" si="14"/>
        <v>97.204998796294177</v>
      </c>
      <c r="Q44" s="6">
        <f t="shared" si="10"/>
        <v>7.0290658690582966</v>
      </c>
      <c r="R44" s="10">
        <f t="shared" si="11"/>
        <v>7.0290658690582968E-3</v>
      </c>
      <c r="S44" s="3">
        <f t="shared" si="15"/>
        <v>0.12652318564304935</v>
      </c>
      <c r="T44" s="4">
        <f t="shared" si="16"/>
        <v>1.2652318564304935E-4</v>
      </c>
      <c r="U44" s="3">
        <f t="shared" si="17"/>
        <v>0.45548346831497766</v>
      </c>
      <c r="V44" s="2">
        <v>7.37</v>
      </c>
      <c r="W44" s="2">
        <v>1.96</v>
      </c>
      <c r="X44" s="2">
        <f t="shared" si="18"/>
        <v>19600</v>
      </c>
      <c r="Y44" s="5">
        <v>-0.37</v>
      </c>
      <c r="Z44" s="5">
        <v>-2.21</v>
      </c>
      <c r="AA44" s="2">
        <f t="shared" si="19"/>
        <v>1.8399999999999999</v>
      </c>
      <c r="AB44" s="3">
        <f t="shared" si="20"/>
        <v>0.24754536321466178</v>
      </c>
    </row>
    <row r="45" spans="1:28" x14ac:dyDescent="0.2">
      <c r="A45" t="s">
        <v>10</v>
      </c>
      <c r="B45">
        <v>666</v>
      </c>
      <c r="C45">
        <v>123</v>
      </c>
      <c r="D45">
        <v>19</v>
      </c>
      <c r="E45" t="s">
        <v>7</v>
      </c>
      <c r="F45" s="1">
        <v>45127</v>
      </c>
      <c r="G45" t="s">
        <v>8</v>
      </c>
      <c r="H45" s="2">
        <v>34.6</v>
      </c>
      <c r="I45" s="2">
        <v>30.94</v>
      </c>
      <c r="J45" s="2">
        <v>30.25</v>
      </c>
      <c r="K45" s="2">
        <f t="shared" si="9"/>
        <v>304.08999999999997</v>
      </c>
      <c r="L45" s="2">
        <v>2.76</v>
      </c>
      <c r="M45" s="2">
        <v>0.2</v>
      </c>
      <c r="N45" s="6">
        <f t="shared" si="12"/>
        <v>4.3033488418595551</v>
      </c>
      <c r="O45" s="6">
        <f t="shared" si="13"/>
        <v>1.5488870368298926</v>
      </c>
      <c r="P45" s="6">
        <f t="shared" si="14"/>
        <v>97.090154024487362</v>
      </c>
      <c r="Q45" s="6">
        <f t="shared" si="10"/>
        <v>5.6740291179988294</v>
      </c>
      <c r="R45" s="10">
        <f t="shared" si="11"/>
        <v>5.6740291179988292E-3</v>
      </c>
      <c r="S45" s="3">
        <f t="shared" si="15"/>
        <v>0.10213252412397893</v>
      </c>
      <c r="T45" s="4">
        <f t="shared" si="16"/>
        <v>1.0213252412397892E-4</v>
      </c>
      <c r="U45" s="3">
        <f t="shared" si="17"/>
        <v>0.36767708684632411</v>
      </c>
      <c r="V45" s="2">
        <v>6.06</v>
      </c>
      <c r="W45" s="2">
        <v>1.55</v>
      </c>
      <c r="X45" s="2">
        <f t="shared" si="18"/>
        <v>15500</v>
      </c>
      <c r="Y45" s="5">
        <v>-0.4</v>
      </c>
      <c r="Z45" s="5">
        <v>-2.5</v>
      </c>
      <c r="AA45" s="2">
        <f t="shared" si="19"/>
        <v>2.1</v>
      </c>
      <c r="AB45" s="3">
        <f t="shared" si="20"/>
        <v>0.17508432706967814</v>
      </c>
    </row>
    <row r="46" spans="1:28" x14ac:dyDescent="0.2">
      <c r="A46" t="s">
        <v>10</v>
      </c>
      <c r="B46">
        <v>666</v>
      </c>
      <c r="C46">
        <v>123</v>
      </c>
      <c r="D46">
        <v>20</v>
      </c>
      <c r="E46" t="s">
        <v>7</v>
      </c>
      <c r="F46" s="1">
        <v>45127</v>
      </c>
      <c r="G46" t="s">
        <v>8</v>
      </c>
      <c r="H46" s="2">
        <v>30.16</v>
      </c>
      <c r="I46" s="2">
        <v>33.049999999999997</v>
      </c>
      <c r="J46" s="2">
        <v>31.16</v>
      </c>
      <c r="K46" s="2">
        <f t="shared" si="9"/>
        <v>306.2</v>
      </c>
      <c r="L46" s="2">
        <v>3.02</v>
      </c>
      <c r="M46" s="2">
        <v>0.23</v>
      </c>
      <c r="N46" s="6">
        <f t="shared" si="12"/>
        <v>4.5330381647929885</v>
      </c>
      <c r="O46" s="6">
        <f t="shared" si="13"/>
        <v>1.5214028835211753</v>
      </c>
      <c r="P46" s="6">
        <f t="shared" si="14"/>
        <v>97.118721711551984</v>
      </c>
      <c r="Q46" s="6">
        <f t="shared" si="10"/>
        <v>7.1322614474869601</v>
      </c>
      <c r="R46" s="10">
        <f t="shared" si="11"/>
        <v>7.1322614474869598E-3</v>
      </c>
      <c r="S46" s="3">
        <f t="shared" si="15"/>
        <v>0.12838070605476529</v>
      </c>
      <c r="T46" s="4">
        <f t="shared" si="16"/>
        <v>1.2838070605476529E-4</v>
      </c>
      <c r="U46" s="3">
        <f t="shared" si="17"/>
        <v>0.46217054179715505</v>
      </c>
      <c r="V46" s="2">
        <v>5.82</v>
      </c>
      <c r="W46" s="2">
        <v>2.02</v>
      </c>
      <c r="X46" s="2">
        <f t="shared" si="18"/>
        <v>20200</v>
      </c>
      <c r="Y46" s="5">
        <v>-0.37</v>
      </c>
      <c r="Z46" s="5">
        <v>-2.59</v>
      </c>
      <c r="AA46" s="2">
        <f t="shared" si="19"/>
        <v>2.2199999999999998</v>
      </c>
      <c r="AB46" s="3">
        <f t="shared" si="20"/>
        <v>0.20818492873745725</v>
      </c>
    </row>
    <row r="47" spans="1:28" x14ac:dyDescent="0.2">
      <c r="A47" t="s">
        <v>10</v>
      </c>
      <c r="B47">
        <v>666</v>
      </c>
      <c r="C47">
        <v>123</v>
      </c>
      <c r="D47">
        <v>22</v>
      </c>
      <c r="E47" t="s">
        <v>7</v>
      </c>
      <c r="F47" s="1">
        <v>45127</v>
      </c>
      <c r="G47" t="s">
        <v>8</v>
      </c>
      <c r="H47" s="2">
        <v>20.86</v>
      </c>
      <c r="I47" s="2">
        <v>40.35</v>
      </c>
      <c r="J47" s="2">
        <v>35.46</v>
      </c>
      <c r="K47" s="2">
        <f t="shared" si="9"/>
        <v>313.5</v>
      </c>
      <c r="L47" s="2">
        <v>4.21</v>
      </c>
      <c r="M47" s="2">
        <v>0.27</v>
      </c>
      <c r="N47" s="6">
        <f t="shared" si="12"/>
        <v>5.768836169950788</v>
      </c>
      <c r="O47" s="6">
        <f t="shared" si="13"/>
        <v>1.5688356983347866</v>
      </c>
      <c r="P47" s="6">
        <f t="shared" si="14"/>
        <v>97.214652577196588</v>
      </c>
      <c r="Q47" s="6">
        <f t="shared" si="10"/>
        <v>11.664909530338846</v>
      </c>
      <c r="R47" s="10">
        <f t="shared" si="11"/>
        <v>1.1664909530338847E-2</v>
      </c>
      <c r="S47" s="3">
        <f t="shared" si="15"/>
        <v>0.20996837154609924</v>
      </c>
      <c r="T47" s="4">
        <f t="shared" si="16"/>
        <v>2.0996837154609925E-4</v>
      </c>
      <c r="U47" s="3">
        <f t="shared" si="17"/>
        <v>0.75588613756595724</v>
      </c>
      <c r="V47" s="2">
        <v>4.78</v>
      </c>
      <c r="W47" s="2">
        <v>1.58</v>
      </c>
      <c r="X47" s="2">
        <f t="shared" si="18"/>
        <v>15800</v>
      </c>
      <c r="Y47" s="5">
        <v>-0.78</v>
      </c>
      <c r="Z47" s="5">
        <v>-2.29</v>
      </c>
      <c r="AA47" s="2">
        <f t="shared" si="19"/>
        <v>1.51</v>
      </c>
      <c r="AB47" s="3">
        <f t="shared" si="20"/>
        <v>0.50058684607017034</v>
      </c>
    </row>
    <row r="48" spans="1:28" x14ac:dyDescent="0.2">
      <c r="A48" t="s">
        <v>11</v>
      </c>
      <c r="B48">
        <v>1212</v>
      </c>
      <c r="C48">
        <v>3</v>
      </c>
      <c r="D48">
        <v>29</v>
      </c>
      <c r="E48" t="s">
        <v>7</v>
      </c>
      <c r="F48" s="1">
        <v>45127</v>
      </c>
      <c r="G48" t="s">
        <v>8</v>
      </c>
      <c r="H48" s="2">
        <v>22.06</v>
      </c>
      <c r="I48" s="2">
        <v>38.799999999999997</v>
      </c>
      <c r="J48" s="2">
        <v>34.14</v>
      </c>
      <c r="K48" s="2">
        <f t="shared" si="9"/>
        <v>311.95</v>
      </c>
      <c r="L48" s="2">
        <v>3.84</v>
      </c>
      <c r="M48" s="2">
        <v>0.24</v>
      </c>
      <c r="N48" s="6">
        <f t="shared" si="12"/>
        <v>5.3616226134155252</v>
      </c>
      <c r="O48" s="6">
        <f t="shared" si="13"/>
        <v>1.5268525819467962</v>
      </c>
      <c r="P48" s="6">
        <f t="shared" si="14"/>
        <v>97.194651329634837</v>
      </c>
      <c r="Q48" s="6">
        <f t="shared" si="10"/>
        <v>9.4690890389755413</v>
      </c>
      <c r="R48" s="10">
        <f t="shared" si="11"/>
        <v>9.4690890389755415E-3</v>
      </c>
      <c r="S48" s="3">
        <f t="shared" si="15"/>
        <v>0.17044360270155975</v>
      </c>
      <c r="T48" s="4">
        <f t="shared" si="16"/>
        <v>1.7044360270155974E-4</v>
      </c>
      <c r="U48" s="3">
        <f t="shared" si="17"/>
        <v>0.61359696972561506</v>
      </c>
      <c r="V48" s="2">
        <v>8.68</v>
      </c>
      <c r="W48" s="2">
        <v>2.3199999999999998</v>
      </c>
      <c r="X48" s="2">
        <f t="shared" si="18"/>
        <v>23200</v>
      </c>
      <c r="Y48" s="5">
        <v>-0.74</v>
      </c>
      <c r="Z48" s="5">
        <v>-2.6</v>
      </c>
      <c r="AA48" s="2">
        <f t="shared" si="19"/>
        <v>1.86</v>
      </c>
      <c r="AB48" s="3">
        <f t="shared" si="20"/>
        <v>0.32989084393850271</v>
      </c>
    </row>
    <row r="49" spans="1:28" x14ac:dyDescent="0.2">
      <c r="A49" t="s">
        <v>11</v>
      </c>
      <c r="B49">
        <v>1212</v>
      </c>
      <c r="C49">
        <v>3</v>
      </c>
      <c r="D49">
        <v>30</v>
      </c>
      <c r="E49" t="s">
        <v>7</v>
      </c>
      <c r="F49" s="1">
        <v>45127</v>
      </c>
      <c r="G49" t="s">
        <v>8</v>
      </c>
      <c r="H49" s="2">
        <v>19.23</v>
      </c>
      <c r="I49" s="2">
        <v>40.83</v>
      </c>
      <c r="J49" s="2">
        <v>35.4</v>
      </c>
      <c r="K49" s="2">
        <f t="shared" si="9"/>
        <v>313.97999999999996</v>
      </c>
      <c r="L49" s="2">
        <v>4.2699999999999996</v>
      </c>
      <c r="M49" s="2">
        <v>0.24</v>
      </c>
      <c r="N49" s="6">
        <f t="shared" si="12"/>
        <v>5.7497598328258963</v>
      </c>
      <c r="O49" s="6">
        <f t="shared" si="13"/>
        <v>1.4836536226541062</v>
      </c>
      <c r="P49" s="6">
        <f t="shared" si="14"/>
        <v>97.220807293752074</v>
      </c>
      <c r="Q49" s="6">
        <f t="shared" si="10"/>
        <v>10.53134117008128</v>
      </c>
      <c r="R49" s="10">
        <f t="shared" si="11"/>
        <v>1.053134117008128E-2</v>
      </c>
      <c r="S49" s="3">
        <f t="shared" si="15"/>
        <v>0.18956414106146305</v>
      </c>
      <c r="T49" s="4">
        <f t="shared" si="16"/>
        <v>1.8956414106146305E-4</v>
      </c>
      <c r="U49" s="3">
        <f t="shared" si="17"/>
        <v>0.68243090782126703</v>
      </c>
      <c r="V49" s="6">
        <v>7</v>
      </c>
      <c r="W49" s="2">
        <v>2.4300000000000002</v>
      </c>
      <c r="X49" s="2">
        <f t="shared" si="18"/>
        <v>24300</v>
      </c>
      <c r="Y49" s="5">
        <v>-0.47</v>
      </c>
      <c r="Z49" s="5">
        <v>-2.0299999999999998</v>
      </c>
      <c r="AA49" s="2">
        <f t="shared" si="19"/>
        <v>1.5599999999999998</v>
      </c>
      <c r="AB49" s="3">
        <f t="shared" si="20"/>
        <v>0.43745571014183787</v>
      </c>
    </row>
    <row r="50" spans="1:28" x14ac:dyDescent="0.2">
      <c r="A50" t="s">
        <v>11</v>
      </c>
      <c r="B50">
        <v>1212</v>
      </c>
      <c r="C50">
        <v>3</v>
      </c>
      <c r="D50">
        <v>31</v>
      </c>
      <c r="E50" t="s">
        <v>7</v>
      </c>
      <c r="F50" s="1">
        <v>45128</v>
      </c>
      <c r="G50" t="s">
        <v>8</v>
      </c>
      <c r="H50" s="2">
        <v>33.869999999999997</v>
      </c>
      <c r="I50" s="2">
        <v>36.119999999999997</v>
      </c>
      <c r="J50" s="2">
        <v>33.25</v>
      </c>
      <c r="K50" s="2">
        <f t="shared" si="9"/>
        <v>309.27</v>
      </c>
      <c r="L50" s="2">
        <v>3.08</v>
      </c>
      <c r="M50" s="2">
        <v>0.25</v>
      </c>
      <c r="N50" s="6">
        <f t="shared" si="12"/>
        <v>5.1013837963259601</v>
      </c>
      <c r="O50" s="6">
        <f t="shared" si="13"/>
        <v>2.0262162594916266</v>
      </c>
      <c r="P50" s="6">
        <f t="shared" si="14"/>
        <v>97.159605451972496</v>
      </c>
      <c r="Q50" s="6">
        <f t="shared" si="10"/>
        <v>7.9126698861350269</v>
      </c>
      <c r="R50" s="10">
        <f t="shared" si="11"/>
        <v>7.9126698861350271E-3</v>
      </c>
      <c r="S50" s="3">
        <f t="shared" si="15"/>
        <v>0.14242805795043048</v>
      </c>
      <c r="T50" s="4">
        <f t="shared" si="16"/>
        <v>1.4242805795043048E-4</v>
      </c>
      <c r="U50" s="3">
        <f t="shared" si="17"/>
        <v>0.5127410086215497</v>
      </c>
      <c r="V50" s="2">
        <v>6.14</v>
      </c>
      <c r="W50" s="2">
        <v>1.8</v>
      </c>
      <c r="X50" s="2">
        <f t="shared" si="18"/>
        <v>18000</v>
      </c>
      <c r="Y50" s="5">
        <v>-0.76</v>
      </c>
      <c r="Z50" s="5">
        <v>-2.2000000000000002</v>
      </c>
      <c r="AA50" s="2">
        <f t="shared" si="19"/>
        <v>1.4400000000000002</v>
      </c>
      <c r="AB50" s="3">
        <f t="shared" si="20"/>
        <v>0.35607014487607613</v>
      </c>
    </row>
    <row r="51" spans="1:28" x14ac:dyDescent="0.2">
      <c r="A51" t="s">
        <v>11</v>
      </c>
      <c r="B51">
        <v>1212</v>
      </c>
      <c r="C51">
        <v>4</v>
      </c>
      <c r="D51">
        <v>32</v>
      </c>
      <c r="E51" t="s">
        <v>7</v>
      </c>
      <c r="F51" s="1">
        <v>45127</v>
      </c>
      <c r="G51" t="s">
        <v>8</v>
      </c>
      <c r="H51" s="2">
        <v>22.46</v>
      </c>
      <c r="I51" s="2">
        <v>38.96</v>
      </c>
      <c r="J51" s="2">
        <v>36.71</v>
      </c>
      <c r="K51" s="2">
        <f t="shared" si="9"/>
        <v>312.10999999999996</v>
      </c>
      <c r="L51" s="2">
        <v>4.63</v>
      </c>
      <c r="M51" s="2">
        <v>0.09</v>
      </c>
      <c r="N51" s="6">
        <f t="shared" si="12"/>
        <v>6.1789629681195315</v>
      </c>
      <c r="O51" s="6">
        <f t="shared" si="13"/>
        <v>1.5679902456781378</v>
      </c>
      <c r="P51" s="6">
        <f t="shared" si="14"/>
        <v>97.196724978326912</v>
      </c>
      <c r="Q51" s="6">
        <f t="shared" si="10"/>
        <v>4.2695630445599901</v>
      </c>
      <c r="R51" s="10">
        <f t="shared" si="11"/>
        <v>4.2695630445599899E-3</v>
      </c>
      <c r="S51" s="3">
        <f t="shared" si="15"/>
        <v>7.6852134802079822E-2</v>
      </c>
      <c r="T51" s="4">
        <f t="shared" si="16"/>
        <v>7.685213480207982E-5</v>
      </c>
      <c r="U51" s="3">
        <f t="shared" si="17"/>
        <v>0.27666768528748736</v>
      </c>
      <c r="V51" s="2">
        <v>6.68</v>
      </c>
      <c r="W51" s="2">
        <v>1.44</v>
      </c>
      <c r="X51" s="2">
        <f t="shared" si="18"/>
        <v>14400</v>
      </c>
      <c r="Y51" s="5">
        <v>-0.38</v>
      </c>
      <c r="Z51" s="5">
        <v>-2.5099999999999998</v>
      </c>
      <c r="AA51" s="2">
        <f t="shared" si="19"/>
        <v>2.13</v>
      </c>
      <c r="AB51" s="3">
        <f t="shared" si="20"/>
        <v>0.12989093205985322</v>
      </c>
    </row>
    <row r="52" spans="1:28" x14ac:dyDescent="0.2">
      <c r="A52" t="s">
        <v>11</v>
      </c>
      <c r="B52">
        <v>1212</v>
      </c>
      <c r="C52">
        <v>4</v>
      </c>
      <c r="D52">
        <v>33</v>
      </c>
      <c r="E52" t="s">
        <v>7</v>
      </c>
      <c r="F52" s="1">
        <v>45128</v>
      </c>
      <c r="G52" t="s">
        <v>8</v>
      </c>
      <c r="H52" s="2">
        <v>32.36</v>
      </c>
      <c r="I52" s="2">
        <v>36.58</v>
      </c>
      <c r="J52" s="2">
        <v>34.64</v>
      </c>
      <c r="K52" s="2">
        <f t="shared" si="9"/>
        <v>309.72999999999996</v>
      </c>
      <c r="L52" s="2">
        <v>3.53</v>
      </c>
      <c r="M52" s="2">
        <v>0.1</v>
      </c>
      <c r="N52" s="6">
        <f t="shared" si="12"/>
        <v>5.5128284904150924</v>
      </c>
      <c r="O52" s="6">
        <f t="shared" si="13"/>
        <v>1.9853385468810063</v>
      </c>
      <c r="P52" s="6">
        <f t="shared" si="14"/>
        <v>97.165663000744544</v>
      </c>
      <c r="Q52" s="6">
        <f t="shared" si="10"/>
        <v>3.6303873555692783</v>
      </c>
      <c r="R52" s="10">
        <f t="shared" si="11"/>
        <v>3.6303873555692781E-3</v>
      </c>
      <c r="S52" s="3">
        <f t="shared" si="15"/>
        <v>6.5346972400247005E-2</v>
      </c>
      <c r="T52" s="4">
        <f t="shared" si="16"/>
        <v>6.5346972400247001E-5</v>
      </c>
      <c r="U52" s="3">
        <f t="shared" si="17"/>
        <v>0.23524910064088919</v>
      </c>
      <c r="V52" s="2">
        <v>14.08</v>
      </c>
      <c r="W52" s="2">
        <v>4.13</v>
      </c>
      <c r="X52" s="2">
        <f t="shared" si="18"/>
        <v>41300</v>
      </c>
      <c r="Y52" s="5">
        <v>-0.43</v>
      </c>
      <c r="Z52" s="5">
        <v>-1.73</v>
      </c>
      <c r="AA52" s="2">
        <f t="shared" si="19"/>
        <v>1.3</v>
      </c>
      <c r="AB52" s="3">
        <f t="shared" si="20"/>
        <v>0.18096084664683784</v>
      </c>
    </row>
    <row r="53" spans="1:28" x14ac:dyDescent="0.2">
      <c r="A53" t="s">
        <v>11</v>
      </c>
      <c r="B53">
        <v>1212</v>
      </c>
      <c r="C53">
        <v>4</v>
      </c>
      <c r="D53">
        <v>34</v>
      </c>
      <c r="E53" t="s">
        <v>7</v>
      </c>
      <c r="F53" s="1">
        <v>45127</v>
      </c>
      <c r="G53" t="s">
        <v>8</v>
      </c>
      <c r="H53" s="2">
        <v>20.45</v>
      </c>
      <c r="I53" s="2">
        <v>40.74</v>
      </c>
      <c r="J53" s="2">
        <v>37.909999999999997</v>
      </c>
      <c r="K53" s="2">
        <f t="shared" si="9"/>
        <v>313.89</v>
      </c>
      <c r="L53" s="2">
        <v>5.0599999999999996</v>
      </c>
      <c r="M53" s="2">
        <v>0.1</v>
      </c>
      <c r="N53" s="6">
        <f t="shared" si="12"/>
        <v>6.5962685348805481</v>
      </c>
      <c r="O53" s="6">
        <f t="shared" si="13"/>
        <v>1.5702544704520314</v>
      </c>
      <c r="P53" s="6">
        <f t="shared" si="14"/>
        <v>97.219654688572021</v>
      </c>
      <c r="Q53" s="6">
        <f t="shared" si="10"/>
        <v>5.1697509937970541</v>
      </c>
      <c r="R53" s="10">
        <f t="shared" si="11"/>
        <v>5.1697509937970541E-3</v>
      </c>
      <c r="S53" s="3">
        <f t="shared" si="15"/>
        <v>9.305551788834697E-2</v>
      </c>
      <c r="T53" s="4">
        <f t="shared" si="16"/>
        <v>9.3055517888346976E-5</v>
      </c>
      <c r="U53" s="3">
        <f t="shared" si="17"/>
        <v>0.33499986439804913</v>
      </c>
      <c r="V53" s="2">
        <v>4.71</v>
      </c>
      <c r="W53" s="2">
        <v>1.38</v>
      </c>
      <c r="X53" s="2">
        <f t="shared" si="18"/>
        <v>13799.999999999998</v>
      </c>
      <c r="Y53" s="5">
        <v>-0.44</v>
      </c>
      <c r="Z53" s="5">
        <v>-1.88</v>
      </c>
      <c r="AA53" s="2">
        <f t="shared" si="19"/>
        <v>1.44</v>
      </c>
      <c r="AB53" s="3">
        <f t="shared" si="20"/>
        <v>0.23263879472086746</v>
      </c>
    </row>
    <row r="54" spans="1:28" x14ac:dyDescent="0.2">
      <c r="A54" t="s">
        <v>11</v>
      </c>
      <c r="B54">
        <v>1212</v>
      </c>
      <c r="C54">
        <v>7</v>
      </c>
      <c r="D54">
        <v>36</v>
      </c>
      <c r="E54" t="s">
        <v>7</v>
      </c>
      <c r="F54" s="1">
        <v>45128</v>
      </c>
      <c r="G54" t="s">
        <v>8</v>
      </c>
      <c r="H54" s="2">
        <v>36.4</v>
      </c>
      <c r="I54" s="2">
        <v>33.659999999999997</v>
      </c>
      <c r="J54" s="2">
        <v>31.72</v>
      </c>
      <c r="K54" s="2">
        <f t="shared" si="9"/>
        <v>306.80999999999995</v>
      </c>
      <c r="L54" s="2">
        <v>2.78</v>
      </c>
      <c r="M54" s="2">
        <v>0.25</v>
      </c>
      <c r="N54" s="6">
        <f t="shared" si="12"/>
        <v>4.6796307010474214</v>
      </c>
      <c r="O54" s="6">
        <f t="shared" si="13"/>
        <v>1.9000329821852862</v>
      </c>
      <c r="P54" s="6">
        <f t="shared" si="14"/>
        <v>97.126908946903214</v>
      </c>
      <c r="Q54" s="6">
        <f t="shared" si="10"/>
        <v>7.1545510636544343</v>
      </c>
      <c r="R54" s="10">
        <f t="shared" si="11"/>
        <v>7.1545510636544345E-3</v>
      </c>
      <c r="S54" s="3">
        <f t="shared" si="15"/>
        <v>0.12878191914577983</v>
      </c>
      <c r="T54" s="4">
        <f t="shared" si="16"/>
        <v>1.2878191914577982E-4</v>
      </c>
      <c r="U54" s="3">
        <f t="shared" si="17"/>
        <v>0.46361490892480733</v>
      </c>
      <c r="V54" s="2">
        <v>6.11</v>
      </c>
      <c r="W54" s="2">
        <v>0.97</v>
      </c>
      <c r="X54" s="2">
        <f t="shared" si="18"/>
        <v>9700</v>
      </c>
      <c r="Y54" s="5">
        <v>-0.72</v>
      </c>
      <c r="Z54" s="5">
        <v>-2.19</v>
      </c>
      <c r="AA54" s="2">
        <f t="shared" si="19"/>
        <v>1.47</v>
      </c>
      <c r="AB54" s="3">
        <f t="shared" si="20"/>
        <v>0.31538429178558325</v>
      </c>
    </row>
    <row r="55" spans="1:28" x14ac:dyDescent="0.2">
      <c r="A55" t="s">
        <v>11</v>
      </c>
      <c r="B55">
        <v>1212</v>
      </c>
      <c r="C55">
        <v>7</v>
      </c>
      <c r="D55">
        <v>37</v>
      </c>
      <c r="E55" t="s">
        <v>7</v>
      </c>
      <c r="F55" s="1">
        <v>45127</v>
      </c>
      <c r="G55" t="s">
        <v>8</v>
      </c>
      <c r="H55" s="2">
        <v>21.13</v>
      </c>
      <c r="I55" s="2">
        <v>40.51</v>
      </c>
      <c r="J55" s="2">
        <v>36.22</v>
      </c>
      <c r="K55" s="2">
        <f t="shared" si="9"/>
        <v>313.65999999999997</v>
      </c>
      <c r="L55" s="2">
        <v>4.4400000000000004</v>
      </c>
      <c r="M55" s="2">
        <v>0.17</v>
      </c>
      <c r="N55" s="6">
        <f t="shared" si="12"/>
        <v>6.015272618636315</v>
      </c>
      <c r="O55" s="6">
        <f t="shared" si="13"/>
        <v>1.6027417544613678</v>
      </c>
      <c r="P55" s="6">
        <f t="shared" si="14"/>
        <v>97.216706199106355</v>
      </c>
      <c r="Q55" s="6">
        <f t="shared" si="10"/>
        <v>7.7160631771809252</v>
      </c>
      <c r="R55" s="10">
        <f t="shared" si="11"/>
        <v>7.7160631771809249E-3</v>
      </c>
      <c r="S55" s="3">
        <f t="shared" si="15"/>
        <v>0.13888913718925666</v>
      </c>
      <c r="T55" s="4">
        <f t="shared" si="16"/>
        <v>1.3888913718925665E-4</v>
      </c>
      <c r="U55" s="3">
        <f t="shared" si="17"/>
        <v>0.50000089388132396</v>
      </c>
      <c r="V55" s="2">
        <v>3.68</v>
      </c>
      <c r="W55" s="2">
        <v>0.9</v>
      </c>
      <c r="X55" s="2">
        <f t="shared" si="18"/>
        <v>9000</v>
      </c>
      <c r="Y55" s="5">
        <v>-0.55000000000000004</v>
      </c>
      <c r="Z55" s="5">
        <v>-2.44</v>
      </c>
      <c r="AA55" s="2">
        <f t="shared" si="19"/>
        <v>1.89</v>
      </c>
      <c r="AB55" s="3">
        <f t="shared" si="20"/>
        <v>0.26455073750334601</v>
      </c>
    </row>
    <row r="56" spans="1:28" x14ac:dyDescent="0.2">
      <c r="A56" t="s">
        <v>11</v>
      </c>
      <c r="B56">
        <v>1212</v>
      </c>
      <c r="C56">
        <v>7</v>
      </c>
      <c r="D56">
        <v>83</v>
      </c>
      <c r="E56" t="s">
        <v>7</v>
      </c>
      <c r="F56" s="1">
        <v>45127</v>
      </c>
      <c r="G56" t="s">
        <v>8</v>
      </c>
      <c r="H56" s="2">
        <v>24.34</v>
      </c>
      <c r="I56" s="2">
        <v>38.36</v>
      </c>
      <c r="J56" s="2">
        <v>33.94</v>
      </c>
      <c r="K56" s="2">
        <f t="shared" si="9"/>
        <v>311.51</v>
      </c>
      <c r="L56" s="2">
        <v>3.66</v>
      </c>
      <c r="M56" s="2">
        <v>0.2</v>
      </c>
      <c r="N56" s="6">
        <f t="shared" si="12"/>
        <v>5.3021577490879546</v>
      </c>
      <c r="O56" s="6">
        <f t="shared" si="13"/>
        <v>1.6451274763311852</v>
      </c>
      <c r="P56" s="6">
        <f t="shared" si="14"/>
        <v>97.188938040944024</v>
      </c>
      <c r="Q56" s="6">
        <f t="shared" si="10"/>
        <v>7.5256101084593094</v>
      </c>
      <c r="R56" s="10">
        <f t="shared" si="11"/>
        <v>7.5256101084593095E-3</v>
      </c>
      <c r="S56" s="3">
        <f t="shared" si="15"/>
        <v>0.13546098195226758</v>
      </c>
      <c r="T56" s="4">
        <f t="shared" si="16"/>
        <v>1.3546098195226758E-4</v>
      </c>
      <c r="U56" s="3">
        <f t="shared" si="17"/>
        <v>0.48765953502816328</v>
      </c>
      <c r="V56" s="2">
        <v>7.91</v>
      </c>
      <c r="W56" s="2">
        <v>2.14</v>
      </c>
      <c r="X56" s="2">
        <f t="shared" si="18"/>
        <v>21400</v>
      </c>
      <c r="Y56" s="5">
        <v>-0.28999999999999998</v>
      </c>
      <c r="Z56" s="5">
        <v>-2.44</v>
      </c>
      <c r="AA56" s="2">
        <f t="shared" si="19"/>
        <v>2.15</v>
      </c>
      <c r="AB56" s="3">
        <f t="shared" si="20"/>
        <v>0.22681838838519222</v>
      </c>
    </row>
    <row r="57" spans="1:28" x14ac:dyDescent="0.2">
      <c r="A57" t="s">
        <v>11</v>
      </c>
      <c r="B57">
        <v>1212</v>
      </c>
      <c r="C57">
        <v>8</v>
      </c>
      <c r="D57">
        <v>38</v>
      </c>
      <c r="E57" t="s">
        <v>7</v>
      </c>
      <c r="F57" s="1">
        <v>45127</v>
      </c>
      <c r="G57" t="s">
        <v>8</v>
      </c>
      <c r="H57" s="2">
        <v>24.21</v>
      </c>
      <c r="I57" s="2">
        <v>37.57</v>
      </c>
      <c r="J57" s="2">
        <v>32.75</v>
      </c>
      <c r="K57" s="2">
        <f t="shared" si="9"/>
        <v>310.71999999999997</v>
      </c>
      <c r="L57" s="2">
        <v>3.4</v>
      </c>
      <c r="M57" s="2">
        <v>0.27</v>
      </c>
      <c r="N57" s="6">
        <f t="shared" si="12"/>
        <v>4.960059533168101</v>
      </c>
      <c r="O57" s="6">
        <f t="shared" si="13"/>
        <v>1.5677476960419339</v>
      </c>
      <c r="P57" s="6">
        <f t="shared" si="14"/>
        <v>97.178640332486395</v>
      </c>
      <c r="Q57" s="6">
        <f t="shared" si="10"/>
        <v>9.4251596121362446</v>
      </c>
      <c r="R57" s="10">
        <f t="shared" si="11"/>
        <v>9.4251596121362451E-3</v>
      </c>
      <c r="S57" s="3">
        <f t="shared" si="15"/>
        <v>0.16965287301845242</v>
      </c>
      <c r="T57" s="4">
        <f t="shared" si="16"/>
        <v>1.6965287301845241E-4</v>
      </c>
      <c r="U57" s="3">
        <f t="shared" si="17"/>
        <v>0.61075034286642871</v>
      </c>
      <c r="V57" s="2">
        <v>13.38</v>
      </c>
      <c r="W57" s="2">
        <v>3.28</v>
      </c>
      <c r="X57" s="2">
        <f t="shared" si="18"/>
        <v>32800</v>
      </c>
      <c r="Y57" s="5">
        <v>-0.3</v>
      </c>
      <c r="Z57" s="5">
        <v>-2.2599999999999998</v>
      </c>
      <c r="AA57" s="2">
        <f t="shared" si="19"/>
        <v>1.9599999999999997</v>
      </c>
      <c r="AB57" s="3">
        <f t="shared" si="20"/>
        <v>0.31160731778899425</v>
      </c>
    </row>
    <row r="58" spans="1:28" x14ac:dyDescent="0.2">
      <c r="A58" t="s">
        <v>11</v>
      </c>
      <c r="B58">
        <v>1212</v>
      </c>
      <c r="C58">
        <v>8</v>
      </c>
      <c r="D58">
        <v>39</v>
      </c>
      <c r="E58" t="s">
        <v>7</v>
      </c>
      <c r="F58" s="1">
        <v>45128</v>
      </c>
      <c r="G58" t="s">
        <v>8</v>
      </c>
      <c r="H58" s="2">
        <v>31.73</v>
      </c>
      <c r="I58" s="2">
        <v>37.18</v>
      </c>
      <c r="J58" s="2">
        <v>34.950000000000003</v>
      </c>
      <c r="K58" s="2">
        <f t="shared" si="9"/>
        <v>310.33</v>
      </c>
      <c r="L58" s="2">
        <v>3.6</v>
      </c>
      <c r="M58" s="2">
        <v>0.18</v>
      </c>
      <c r="N58" s="6">
        <f t="shared" si="12"/>
        <v>5.6084261567891396</v>
      </c>
      <c r="O58" s="6">
        <f t="shared" si="13"/>
        <v>2.0115526815399214</v>
      </c>
      <c r="P58" s="6">
        <f t="shared" si="14"/>
        <v>97.173537727750045</v>
      </c>
      <c r="Q58" s="6">
        <f t="shared" si="10"/>
        <v>6.6626906942379369</v>
      </c>
      <c r="R58" s="10">
        <f t="shared" si="11"/>
        <v>6.6626906942379369E-3</v>
      </c>
      <c r="S58" s="3">
        <f t="shared" si="15"/>
        <v>0.11992843249628286</v>
      </c>
      <c r="T58" s="4">
        <f t="shared" si="16"/>
        <v>1.1992843249628287E-4</v>
      </c>
      <c r="U58" s="3">
        <f t="shared" si="17"/>
        <v>0.43174235698661834</v>
      </c>
      <c r="V58" s="2">
        <v>3.71</v>
      </c>
      <c r="W58" s="2">
        <v>1.36</v>
      </c>
      <c r="X58" s="2">
        <f t="shared" si="18"/>
        <v>13600.000000000002</v>
      </c>
      <c r="Y58" s="5">
        <v>-0.4</v>
      </c>
      <c r="Z58" s="5">
        <v>-2.67</v>
      </c>
      <c r="AA58" s="2">
        <f t="shared" si="19"/>
        <v>2.27</v>
      </c>
      <c r="AB58" s="3">
        <f t="shared" si="20"/>
        <v>0.19019487091921514</v>
      </c>
    </row>
    <row r="59" spans="1:28" x14ac:dyDescent="0.2">
      <c r="A59" t="s">
        <v>11</v>
      </c>
      <c r="B59">
        <v>1212</v>
      </c>
      <c r="C59">
        <v>8</v>
      </c>
      <c r="D59">
        <v>40</v>
      </c>
      <c r="E59" t="s">
        <v>7</v>
      </c>
      <c r="F59" s="1">
        <v>45128</v>
      </c>
      <c r="G59" t="s">
        <v>8</v>
      </c>
      <c r="H59" s="2">
        <v>33.86</v>
      </c>
      <c r="I59" s="2">
        <v>35.9</v>
      </c>
      <c r="J59" s="2">
        <v>33.840000000000003</v>
      </c>
      <c r="K59" s="2">
        <f t="shared" si="9"/>
        <v>309.04999999999995</v>
      </c>
      <c r="L59" s="2">
        <v>3.27</v>
      </c>
      <c r="M59" s="2">
        <v>0.12</v>
      </c>
      <c r="N59" s="6">
        <f t="shared" si="12"/>
        <v>5.2726409965326591</v>
      </c>
      <c r="O59" s="6">
        <f t="shared" si="13"/>
        <v>2.001267375755706</v>
      </c>
      <c r="P59" s="6">
        <f t="shared" si="14"/>
        <v>97.156702122876879</v>
      </c>
      <c r="Q59" s="6">
        <f t="shared" si="10"/>
        <v>4.0405327261597073</v>
      </c>
      <c r="R59" s="10">
        <f t="shared" si="11"/>
        <v>4.0405327261597073E-3</v>
      </c>
      <c r="S59" s="3">
        <f t="shared" si="15"/>
        <v>7.2729589070874734E-2</v>
      </c>
      <c r="T59" s="4">
        <f t="shared" si="16"/>
        <v>7.2729589070874735E-5</v>
      </c>
      <c r="U59" s="3">
        <f t="shared" si="17"/>
        <v>0.26182652065514905</v>
      </c>
      <c r="V59" s="2">
        <v>4.62</v>
      </c>
      <c r="W59" s="2">
        <v>1.66</v>
      </c>
      <c r="X59" s="2">
        <f t="shared" si="18"/>
        <v>16600</v>
      </c>
      <c r="Y59" s="5">
        <v>-0.86</v>
      </c>
      <c r="Z59" s="5">
        <v>-2.69</v>
      </c>
      <c r="AA59" s="2">
        <f t="shared" si="19"/>
        <v>1.83</v>
      </c>
      <c r="AB59" s="3">
        <f t="shared" si="20"/>
        <v>0.14307460145090112</v>
      </c>
    </row>
    <row r="60" spans="1:28" x14ac:dyDescent="0.2">
      <c r="A60" t="s">
        <v>11</v>
      </c>
      <c r="B60">
        <v>1212</v>
      </c>
      <c r="C60">
        <v>10</v>
      </c>
      <c r="D60">
        <v>21</v>
      </c>
      <c r="E60" t="s">
        <v>7</v>
      </c>
      <c r="F60" s="1">
        <v>45127</v>
      </c>
      <c r="G60" t="s">
        <v>8</v>
      </c>
      <c r="H60" s="2">
        <v>20.88</v>
      </c>
      <c r="I60" s="2">
        <v>40.44</v>
      </c>
      <c r="J60" s="2">
        <v>35.409999999999997</v>
      </c>
      <c r="K60" s="2">
        <f t="shared" si="9"/>
        <v>313.58999999999997</v>
      </c>
      <c r="L60" s="2">
        <v>4.18</v>
      </c>
      <c r="M60" s="2">
        <v>0.28000000000000003</v>
      </c>
      <c r="N60" s="6">
        <f t="shared" si="12"/>
        <v>5.7529354105953834</v>
      </c>
      <c r="O60" s="6">
        <f t="shared" si="13"/>
        <v>1.5778870966047422</v>
      </c>
      <c r="P60" s="6">
        <f t="shared" si="14"/>
        <v>97.215807992040169</v>
      </c>
      <c r="Q60" s="6">
        <f t="shared" si="10"/>
        <v>12.024932488480641</v>
      </c>
      <c r="R60" s="10">
        <f t="shared" si="11"/>
        <v>1.202493248848064E-2</v>
      </c>
      <c r="S60" s="3">
        <f t="shared" si="15"/>
        <v>0.21644878479265151</v>
      </c>
      <c r="T60" s="4">
        <f t="shared" si="16"/>
        <v>2.1644878479265152E-4</v>
      </c>
      <c r="U60" s="3">
        <f t="shared" si="17"/>
        <v>0.77921562525354549</v>
      </c>
      <c r="V60" s="2">
        <v>4.78</v>
      </c>
      <c r="W60" s="2">
        <v>1.38</v>
      </c>
      <c r="X60" s="2">
        <f t="shared" si="18"/>
        <v>13799.999999999998</v>
      </c>
      <c r="Y60" s="5">
        <v>-0.41</v>
      </c>
      <c r="Z60" s="5">
        <v>-2.04</v>
      </c>
      <c r="AA60" s="2">
        <f t="shared" si="19"/>
        <v>1.6300000000000001</v>
      </c>
      <c r="AB60" s="3">
        <f t="shared" si="20"/>
        <v>0.47804639586107084</v>
      </c>
    </row>
    <row r="61" spans="1:28" x14ac:dyDescent="0.2">
      <c r="A61" t="s">
        <v>11</v>
      </c>
      <c r="B61">
        <v>1212</v>
      </c>
      <c r="C61">
        <v>10</v>
      </c>
      <c r="D61">
        <v>41</v>
      </c>
      <c r="E61" t="s">
        <v>7</v>
      </c>
      <c r="F61" s="1">
        <v>45128</v>
      </c>
      <c r="G61" t="s">
        <v>8</v>
      </c>
      <c r="H61" s="2">
        <v>31.87</v>
      </c>
      <c r="I61" s="2">
        <v>36.75</v>
      </c>
      <c r="J61" s="2">
        <v>33.590000000000003</v>
      </c>
      <c r="K61" s="2">
        <f t="shared" si="9"/>
        <v>309.89999999999998</v>
      </c>
      <c r="L61" s="2">
        <v>3.23</v>
      </c>
      <c r="M61" s="2">
        <v>0.27</v>
      </c>
      <c r="N61" s="6">
        <f t="shared" si="12"/>
        <v>5.1994735014955991</v>
      </c>
      <c r="O61" s="6">
        <f t="shared" si="13"/>
        <v>1.9735480232318472</v>
      </c>
      <c r="P61" s="6">
        <f t="shared" si="14"/>
        <v>97.167897204400617</v>
      </c>
      <c r="Q61" s="6">
        <f t="shared" si="10"/>
        <v>8.963864652736012</v>
      </c>
      <c r="R61" s="10">
        <f t="shared" si="11"/>
        <v>8.9638646527360113E-3</v>
      </c>
      <c r="S61" s="3">
        <f t="shared" si="15"/>
        <v>0.16134956374924819</v>
      </c>
      <c r="T61" s="4">
        <f t="shared" si="16"/>
        <v>1.6134956374924819E-4</v>
      </c>
      <c r="U61" s="3">
        <f t="shared" si="17"/>
        <v>0.58085842949729349</v>
      </c>
      <c r="V61" s="2">
        <v>15.53</v>
      </c>
      <c r="W61" s="2">
        <v>3.35</v>
      </c>
      <c r="X61" s="2">
        <f t="shared" si="18"/>
        <v>33500</v>
      </c>
      <c r="Y61" s="5">
        <v>-0.7</v>
      </c>
      <c r="Z61" s="5">
        <v>-2.2200000000000002</v>
      </c>
      <c r="AA61" s="2">
        <f t="shared" si="19"/>
        <v>1.5200000000000002</v>
      </c>
      <c r="AB61" s="3">
        <f t="shared" si="20"/>
        <v>0.38214370361664041</v>
      </c>
    </row>
    <row r="62" spans="1:28" x14ac:dyDescent="0.2">
      <c r="A62" t="s">
        <v>11</v>
      </c>
      <c r="B62">
        <v>1212</v>
      </c>
      <c r="C62">
        <v>10</v>
      </c>
      <c r="D62">
        <v>42</v>
      </c>
      <c r="E62" t="s">
        <v>7</v>
      </c>
      <c r="F62" s="1">
        <v>45128</v>
      </c>
      <c r="G62" t="s">
        <v>8</v>
      </c>
      <c r="H62" s="2">
        <v>32.53</v>
      </c>
      <c r="I62" s="2">
        <v>36.659999999999997</v>
      </c>
      <c r="J62" s="2">
        <v>32.9</v>
      </c>
      <c r="K62" s="2">
        <f t="shared" si="9"/>
        <v>309.80999999999995</v>
      </c>
      <c r="L62" s="2">
        <v>3</v>
      </c>
      <c r="M62" s="2">
        <v>0.27</v>
      </c>
      <c r="N62" s="6">
        <f t="shared" si="12"/>
        <v>5.0020945868370914</v>
      </c>
      <c r="O62" s="6">
        <f t="shared" si="13"/>
        <v>2.0045261080968175</v>
      </c>
      <c r="P62" s="6">
        <f t="shared" si="14"/>
        <v>97.166714689730284</v>
      </c>
      <c r="Q62" s="6">
        <f t="shared" si="10"/>
        <v>8.3294314503093396</v>
      </c>
      <c r="R62" s="10">
        <f t="shared" si="11"/>
        <v>8.3294314503093402E-3</v>
      </c>
      <c r="S62" s="3">
        <f t="shared" si="15"/>
        <v>0.14992976610556813</v>
      </c>
      <c r="T62" s="4">
        <f t="shared" si="16"/>
        <v>1.4992976610556812E-4</v>
      </c>
      <c r="U62" s="3">
        <f t="shared" si="17"/>
        <v>0.53974715798004524</v>
      </c>
      <c r="V62" s="2">
        <v>14.52</v>
      </c>
      <c r="W62" s="2">
        <v>3.06</v>
      </c>
      <c r="X62" s="2">
        <f t="shared" si="18"/>
        <v>30600</v>
      </c>
      <c r="Y62" s="5">
        <v>-0.59</v>
      </c>
      <c r="Z62" s="5">
        <v>-2.29</v>
      </c>
      <c r="AA62" s="2">
        <f t="shared" si="19"/>
        <v>1.7000000000000002</v>
      </c>
      <c r="AB62" s="3">
        <f t="shared" si="20"/>
        <v>0.317498328223556</v>
      </c>
    </row>
    <row r="63" spans="1:28" x14ac:dyDescent="0.2">
      <c r="A63" t="s">
        <v>6</v>
      </c>
      <c r="B63">
        <v>72</v>
      </c>
      <c r="C63">
        <v>156</v>
      </c>
      <c r="D63">
        <v>43</v>
      </c>
      <c r="E63" t="s">
        <v>12</v>
      </c>
      <c r="F63" s="1">
        <v>45127</v>
      </c>
      <c r="G63" t="s">
        <v>8</v>
      </c>
      <c r="H63" s="2">
        <v>11.27</v>
      </c>
      <c r="I63" s="2">
        <v>47.71</v>
      </c>
      <c r="J63" s="2">
        <v>42.05</v>
      </c>
      <c r="K63" s="2">
        <f t="shared" si="9"/>
        <v>320.85999999999996</v>
      </c>
      <c r="L63" s="2">
        <v>6.99</v>
      </c>
      <c r="M63" s="2">
        <v>0.14000000000000001</v>
      </c>
      <c r="N63" s="6">
        <f t="shared" si="12"/>
        <v>8.2294575290903698</v>
      </c>
      <c r="O63" s="6">
        <f t="shared" si="13"/>
        <v>1.242173485492267</v>
      </c>
      <c r="P63" s="6">
        <f t="shared" si="14"/>
        <v>97.307042282273216</v>
      </c>
      <c r="Q63" s="6">
        <f t="shared" si="10"/>
        <v>10.052918505795962</v>
      </c>
      <c r="R63" s="10">
        <f t="shared" si="11"/>
        <v>1.0052918505795962E-2</v>
      </c>
      <c r="S63" s="3">
        <f t="shared" si="15"/>
        <v>0.1809525331043273</v>
      </c>
      <c r="T63" s="4">
        <f t="shared" si="16"/>
        <v>1.809525331043273E-4</v>
      </c>
      <c r="U63" s="3">
        <f t="shared" si="17"/>
        <v>0.65142911917557822</v>
      </c>
      <c r="V63" s="2">
        <v>18.53</v>
      </c>
      <c r="W63" s="2">
        <v>3.87</v>
      </c>
      <c r="X63" s="2">
        <f t="shared" si="18"/>
        <v>38700</v>
      </c>
      <c r="Y63" s="5">
        <v>-0.41</v>
      </c>
      <c r="Z63" s="5">
        <v>-2.5299999999999998</v>
      </c>
      <c r="AA63" s="2">
        <f t="shared" si="19"/>
        <v>2.1199999999999997</v>
      </c>
      <c r="AB63" s="3">
        <f t="shared" si="20"/>
        <v>0.30727788640357467</v>
      </c>
    </row>
    <row r="64" spans="1:28" x14ac:dyDescent="0.2">
      <c r="A64" t="s">
        <v>6</v>
      </c>
      <c r="B64">
        <v>72</v>
      </c>
      <c r="C64">
        <v>156</v>
      </c>
      <c r="D64">
        <v>44</v>
      </c>
      <c r="E64" t="s">
        <v>12</v>
      </c>
      <c r="F64" s="1">
        <v>45128</v>
      </c>
      <c r="G64" t="s">
        <v>8</v>
      </c>
      <c r="H64" s="2">
        <v>12.89</v>
      </c>
      <c r="I64" s="2">
        <v>47.09</v>
      </c>
      <c r="J64" s="2">
        <v>42.07</v>
      </c>
      <c r="K64" s="2">
        <f t="shared" si="9"/>
        <v>320.24</v>
      </c>
      <c r="L64" s="2">
        <v>6.87</v>
      </c>
      <c r="M64" s="2">
        <v>0.12</v>
      </c>
      <c r="N64" s="6">
        <f t="shared" si="12"/>
        <v>8.238127459035999</v>
      </c>
      <c r="O64" s="6">
        <f t="shared" si="13"/>
        <v>1.3767501936292867</v>
      </c>
      <c r="P64" s="6">
        <f t="shared" si="14"/>
        <v>97.299419936090686</v>
      </c>
      <c r="Q64" s="6">
        <f t="shared" si="10"/>
        <v>8.4621806829847266</v>
      </c>
      <c r="R64" s="10">
        <f t="shared" si="11"/>
        <v>8.4621806829847258E-3</v>
      </c>
      <c r="S64" s="3">
        <f t="shared" si="15"/>
        <v>0.15231925229372506</v>
      </c>
      <c r="T64" s="4">
        <f t="shared" si="16"/>
        <v>1.5231925229372507E-4</v>
      </c>
      <c r="U64" s="3">
        <f t="shared" si="17"/>
        <v>0.54834930825741024</v>
      </c>
      <c r="V64" s="2">
        <v>5.08</v>
      </c>
      <c r="W64" s="2">
        <v>1.59</v>
      </c>
      <c r="X64" s="2">
        <f t="shared" si="18"/>
        <v>15900</v>
      </c>
      <c r="Y64" s="5">
        <v>-0.57999999999999996</v>
      </c>
      <c r="Z64" s="5">
        <v>-2.34</v>
      </c>
      <c r="AA64" s="2">
        <f t="shared" si="19"/>
        <v>1.7599999999999998</v>
      </c>
      <c r="AB64" s="3">
        <f t="shared" si="20"/>
        <v>0.31156210696443765</v>
      </c>
    </row>
    <row r="65" spans="1:28" x14ac:dyDescent="0.2">
      <c r="A65" t="s">
        <v>6</v>
      </c>
      <c r="B65">
        <v>72</v>
      </c>
      <c r="C65">
        <v>156</v>
      </c>
      <c r="D65">
        <v>45</v>
      </c>
      <c r="E65" t="s">
        <v>12</v>
      </c>
      <c r="F65" s="1">
        <v>45127</v>
      </c>
      <c r="G65" t="s">
        <v>8</v>
      </c>
      <c r="H65" s="2">
        <v>11.27</v>
      </c>
      <c r="I65" s="2">
        <v>47.5</v>
      </c>
      <c r="J65" s="2">
        <v>40.46</v>
      </c>
      <c r="K65" s="2">
        <f t="shared" si="9"/>
        <v>320.64999999999998</v>
      </c>
      <c r="L65" s="2">
        <v>6.34</v>
      </c>
      <c r="M65" s="2">
        <v>0.18</v>
      </c>
      <c r="N65" s="6">
        <f t="shared" si="12"/>
        <v>7.5649833494346721</v>
      </c>
      <c r="O65" s="6">
        <f t="shared" si="13"/>
        <v>1.2290325143619321</v>
      </c>
      <c r="P65" s="6">
        <f t="shared" si="14"/>
        <v>97.304463754204306</v>
      </c>
      <c r="Q65" s="6">
        <f t="shared" si="10"/>
        <v>11.720645757773019</v>
      </c>
      <c r="R65" s="10">
        <f t="shared" si="11"/>
        <v>1.1720645757773018E-2</v>
      </c>
      <c r="S65" s="3">
        <f t="shared" si="15"/>
        <v>0.21097162363991431</v>
      </c>
      <c r="T65" s="4">
        <f t="shared" si="16"/>
        <v>2.1097162363991432E-4</v>
      </c>
      <c r="U65" s="3">
        <f t="shared" si="17"/>
        <v>0.75949784510369156</v>
      </c>
      <c r="V65" s="2">
        <v>13.38</v>
      </c>
      <c r="W65" s="2">
        <v>3.64</v>
      </c>
      <c r="X65" s="2">
        <f t="shared" si="18"/>
        <v>36400</v>
      </c>
      <c r="Y65" s="5">
        <v>-0.49</v>
      </c>
      <c r="Z65" s="5">
        <v>-1.96</v>
      </c>
      <c r="AA65" s="2">
        <f t="shared" si="19"/>
        <v>1.47</v>
      </c>
      <c r="AB65" s="3">
        <f t="shared" si="20"/>
        <v>0.51666520075081057</v>
      </c>
    </row>
    <row r="66" spans="1:28" x14ac:dyDescent="0.2">
      <c r="A66" t="s">
        <v>6</v>
      </c>
      <c r="B66">
        <v>72</v>
      </c>
      <c r="C66">
        <v>149</v>
      </c>
      <c r="D66">
        <v>46</v>
      </c>
      <c r="E66" t="s">
        <v>12</v>
      </c>
      <c r="F66" s="1">
        <v>45127</v>
      </c>
      <c r="G66" t="s">
        <v>8</v>
      </c>
      <c r="H66" s="2">
        <v>10.66</v>
      </c>
      <c r="I66" s="2">
        <v>48.07</v>
      </c>
      <c r="J66" s="2">
        <v>41.51</v>
      </c>
      <c r="K66" s="2">
        <f t="shared" si="9"/>
        <v>321.21999999999997</v>
      </c>
      <c r="L66" s="2">
        <v>6.8</v>
      </c>
      <c r="M66" s="2">
        <v>0.16</v>
      </c>
      <c r="N66" s="6">
        <f t="shared" si="12"/>
        <v>7.9983363702898034</v>
      </c>
      <c r="O66" s="6">
        <f t="shared" si="13"/>
        <v>1.196514629367224</v>
      </c>
      <c r="P66" s="6">
        <f t="shared" si="14"/>
        <v>97.311454930803265</v>
      </c>
      <c r="Q66" s="6">
        <f t="shared" si="10"/>
        <v>11.183590660744727</v>
      </c>
      <c r="R66" s="10">
        <f t="shared" si="11"/>
        <v>1.1183590660744726E-2</v>
      </c>
      <c r="S66" s="3">
        <f t="shared" si="15"/>
        <v>0.20130463189340508</v>
      </c>
      <c r="T66" s="4">
        <f t="shared" si="16"/>
        <v>2.0130463189340508E-4</v>
      </c>
      <c r="U66" s="3">
        <f t="shared" si="17"/>
        <v>0.72469667481625832</v>
      </c>
      <c r="V66" s="2">
        <v>10.99</v>
      </c>
      <c r="W66" s="2">
        <v>2.0499999999999998</v>
      </c>
      <c r="X66" s="2">
        <f t="shared" si="18"/>
        <v>20500</v>
      </c>
      <c r="Y66" s="5">
        <v>-0.5</v>
      </c>
      <c r="Z66" s="5">
        <v>-2.96</v>
      </c>
      <c r="AA66" s="2">
        <f t="shared" si="19"/>
        <v>2.46</v>
      </c>
      <c r="AB66" s="3">
        <f t="shared" si="20"/>
        <v>0.29459214423425134</v>
      </c>
    </row>
    <row r="67" spans="1:28" x14ac:dyDescent="0.2">
      <c r="A67" t="s">
        <v>6</v>
      </c>
      <c r="B67">
        <v>72</v>
      </c>
      <c r="C67">
        <v>149</v>
      </c>
      <c r="D67">
        <v>47</v>
      </c>
      <c r="E67" t="s">
        <v>12</v>
      </c>
      <c r="F67" s="1">
        <v>45128</v>
      </c>
      <c r="G67" t="s">
        <v>8</v>
      </c>
      <c r="H67" s="2">
        <v>18.489999999999998</v>
      </c>
      <c r="I67" s="2">
        <v>43.85</v>
      </c>
      <c r="J67" s="2">
        <v>38.880000000000003</v>
      </c>
      <c r="K67" s="2">
        <f t="shared" si="9"/>
        <v>317</v>
      </c>
      <c r="L67" s="2">
        <v>5.28</v>
      </c>
      <c r="M67" s="2">
        <v>0.23</v>
      </c>
      <c r="N67" s="6">
        <f t="shared" ref="N67:N98" si="21">0.611*EXP((17.502*J67)/(240.97+J67))</f>
        <v>6.9512536652844217</v>
      </c>
      <c r="O67" s="6">
        <f t="shared" ref="O67:O98" si="22">(0.611*EXP((17.502*I67)/(240.97+I67)))*(H67/100)</f>
        <v>1.6718903656833817</v>
      </c>
      <c r="P67" s="6">
        <f t="shared" ref="P67:P98" si="23">101.325*EXP(-380/(29.27*K67))</f>
        <v>97.259111929247084</v>
      </c>
      <c r="Q67" s="6">
        <f t="shared" si="10"/>
        <v>12.484728009768075</v>
      </c>
      <c r="R67" s="10">
        <f t="shared" si="11"/>
        <v>1.2484728009768074E-2</v>
      </c>
      <c r="S67" s="3">
        <f t="shared" ref="S67:S98" si="24">R67*18</f>
        <v>0.22472510417582534</v>
      </c>
      <c r="T67" s="4">
        <f t="shared" ref="T67:T98" si="25">S67/1000</f>
        <v>2.2472510417582533E-4</v>
      </c>
      <c r="U67" s="3">
        <f t="shared" ref="U67:U98" si="26">T67*3600</f>
        <v>0.80901037503297113</v>
      </c>
      <c r="V67" s="2">
        <v>10.98</v>
      </c>
      <c r="W67" s="2">
        <v>2.5099999999999998</v>
      </c>
      <c r="X67" s="2">
        <f t="shared" ref="X67:X98" si="27">W67*10000</f>
        <v>25099.999999999996</v>
      </c>
      <c r="Y67" s="5">
        <v>-0.57999999999999996</v>
      </c>
      <c r="Z67" s="5">
        <v>-2.41</v>
      </c>
      <c r="AA67" s="2">
        <f t="shared" ref="AA67:AA98" si="28">Y67-Z67</f>
        <v>1.83</v>
      </c>
      <c r="AB67" s="3">
        <f t="shared" ref="AB67:AB98" si="29">U67/AA67</f>
        <v>0.44208217214916451</v>
      </c>
    </row>
    <row r="68" spans="1:28" x14ac:dyDescent="0.2">
      <c r="A68" t="s">
        <v>6</v>
      </c>
      <c r="B68">
        <v>72</v>
      </c>
      <c r="C68">
        <v>149</v>
      </c>
      <c r="D68">
        <v>48</v>
      </c>
      <c r="E68" t="s">
        <v>12</v>
      </c>
      <c r="F68" s="1">
        <v>45128</v>
      </c>
      <c r="G68" t="s">
        <v>8</v>
      </c>
      <c r="H68" s="2">
        <v>14.16</v>
      </c>
      <c r="I68" s="2">
        <v>46.7</v>
      </c>
      <c r="J68" s="2">
        <v>40.99</v>
      </c>
      <c r="K68" s="2">
        <f t="shared" ref="K68:K131" si="30">273.15+I68</f>
        <v>319.84999999999997</v>
      </c>
      <c r="L68" s="2">
        <v>6.3</v>
      </c>
      <c r="M68" s="2">
        <v>0.12</v>
      </c>
      <c r="N68" s="6">
        <f t="shared" si="21"/>
        <v>7.7811097150202988</v>
      </c>
      <c r="O68" s="6">
        <f t="shared" si="22"/>
        <v>1.4826723509913198</v>
      </c>
      <c r="P68" s="6">
        <f t="shared" si="23"/>
        <v>97.294610401347271</v>
      </c>
      <c r="Q68" s="6">
        <f t="shared" ref="Q68:Q122" si="31">(M68*(N68-O68)/P68)*1000</f>
        <v>7.7682872727039731</v>
      </c>
      <c r="R68" s="10">
        <f t="shared" ref="R68:R99" si="32">Q68/1000</f>
        <v>7.7682872727039727E-3</v>
      </c>
      <c r="S68" s="3">
        <f t="shared" si="24"/>
        <v>0.1398291709086715</v>
      </c>
      <c r="T68" s="4">
        <f t="shared" si="25"/>
        <v>1.398291709086715E-4</v>
      </c>
      <c r="U68" s="3">
        <f t="shared" si="26"/>
        <v>0.50338501527121737</v>
      </c>
      <c r="V68" s="2">
        <v>17.25</v>
      </c>
      <c r="W68" s="2">
        <v>2.85</v>
      </c>
      <c r="X68" s="2">
        <f t="shared" si="27"/>
        <v>28500</v>
      </c>
      <c r="Y68" s="5">
        <v>-0.81</v>
      </c>
      <c r="Z68" s="5">
        <v>-2.7</v>
      </c>
      <c r="AA68" s="2">
        <f t="shared" si="28"/>
        <v>1.8900000000000001</v>
      </c>
      <c r="AB68" s="3">
        <f t="shared" si="29"/>
        <v>0.26634127792127904</v>
      </c>
    </row>
    <row r="69" spans="1:28" x14ac:dyDescent="0.2">
      <c r="A69" t="s">
        <v>6</v>
      </c>
      <c r="B69">
        <v>72</v>
      </c>
      <c r="C69">
        <v>152</v>
      </c>
      <c r="D69">
        <v>49</v>
      </c>
      <c r="E69" t="s">
        <v>12</v>
      </c>
      <c r="F69" s="1">
        <v>45128</v>
      </c>
      <c r="G69" t="s">
        <v>8</v>
      </c>
      <c r="H69" s="2">
        <v>13.73</v>
      </c>
      <c r="I69" s="2">
        <v>43.59</v>
      </c>
      <c r="J69" s="2">
        <v>37</v>
      </c>
      <c r="K69" s="2">
        <f t="shared" si="30"/>
        <v>316.74</v>
      </c>
      <c r="L69" s="2">
        <v>5.0599999999999996</v>
      </c>
      <c r="M69" s="2">
        <v>0.34</v>
      </c>
      <c r="N69" s="6">
        <f t="shared" si="21"/>
        <v>6.2776515869995047</v>
      </c>
      <c r="O69" s="6">
        <f t="shared" si="22"/>
        <v>1.2248013661988844</v>
      </c>
      <c r="P69" s="6">
        <f t="shared" si="23"/>
        <v>97.255842326066073</v>
      </c>
      <c r="Q69" s="6">
        <f t="shared" si="31"/>
        <v>17.664430577984607</v>
      </c>
      <c r="R69" s="10">
        <f t="shared" si="32"/>
        <v>1.7664430577984606E-2</v>
      </c>
      <c r="S69" s="3">
        <f t="shared" si="24"/>
        <v>0.31795975040372293</v>
      </c>
      <c r="T69" s="4">
        <f t="shared" si="25"/>
        <v>3.1795975040372292E-4</v>
      </c>
      <c r="U69" s="3">
        <f t="shared" si="26"/>
        <v>1.1446551014534025</v>
      </c>
      <c r="V69" s="2">
        <v>16.68</v>
      </c>
      <c r="W69" s="2">
        <v>2.78</v>
      </c>
      <c r="X69" s="2">
        <f t="shared" si="27"/>
        <v>27799.999999999996</v>
      </c>
      <c r="Y69" s="5">
        <v>-0.61</v>
      </c>
      <c r="Z69" s="5">
        <v>-2.57</v>
      </c>
      <c r="AA69" s="2">
        <f t="shared" si="28"/>
        <v>1.96</v>
      </c>
      <c r="AB69" s="3">
        <f t="shared" si="29"/>
        <v>0.58400770482316455</v>
      </c>
    </row>
    <row r="70" spans="1:28" x14ac:dyDescent="0.2">
      <c r="A70" t="s">
        <v>6</v>
      </c>
      <c r="B70">
        <v>72</v>
      </c>
      <c r="C70">
        <v>152</v>
      </c>
      <c r="D70">
        <v>50</v>
      </c>
      <c r="E70" t="s">
        <v>12</v>
      </c>
      <c r="F70" s="1">
        <v>45128</v>
      </c>
      <c r="G70" t="s">
        <v>8</v>
      </c>
      <c r="H70" s="2">
        <v>15.2</v>
      </c>
      <c r="I70" s="2">
        <v>46.26</v>
      </c>
      <c r="J70" s="2">
        <v>39.770000000000003</v>
      </c>
      <c r="K70" s="2">
        <f t="shared" si="30"/>
        <v>319.40999999999997</v>
      </c>
      <c r="L70" s="2">
        <v>5.74</v>
      </c>
      <c r="M70" s="2">
        <v>0.19</v>
      </c>
      <c r="N70" s="6">
        <f t="shared" si="21"/>
        <v>7.2914189222278853</v>
      </c>
      <c r="O70" s="6">
        <f t="shared" si="22"/>
        <v>1.5562234704494189</v>
      </c>
      <c r="P70" s="6">
        <f t="shared" si="23"/>
        <v>97.289170446077378</v>
      </c>
      <c r="Q70" s="6">
        <f t="shared" si="31"/>
        <v>11.200497761894976</v>
      </c>
      <c r="R70" s="10">
        <f t="shared" si="32"/>
        <v>1.1200497761894976E-2</v>
      </c>
      <c r="S70" s="3">
        <f t="shared" si="24"/>
        <v>0.20160895971410958</v>
      </c>
      <c r="T70" s="4">
        <f t="shared" si="25"/>
        <v>2.0160895971410957E-4</v>
      </c>
      <c r="U70" s="3">
        <f t="shared" si="26"/>
        <v>0.72579225497079447</v>
      </c>
      <c r="V70" s="2">
        <v>29.47</v>
      </c>
      <c r="W70" s="2">
        <v>3.96</v>
      </c>
      <c r="X70" s="2">
        <f t="shared" si="27"/>
        <v>39600</v>
      </c>
      <c r="Y70" s="5">
        <v>-0.92</v>
      </c>
      <c r="Z70" s="5">
        <v>-2.25</v>
      </c>
      <c r="AA70" s="2">
        <f t="shared" si="28"/>
        <v>1.33</v>
      </c>
      <c r="AB70" s="3">
        <f t="shared" si="29"/>
        <v>0.54570846238405601</v>
      </c>
    </row>
    <row r="71" spans="1:28" x14ac:dyDescent="0.2">
      <c r="A71" t="s">
        <v>6</v>
      </c>
      <c r="B71">
        <v>72</v>
      </c>
      <c r="C71">
        <v>152</v>
      </c>
      <c r="D71">
        <v>51</v>
      </c>
      <c r="E71" t="s">
        <v>12</v>
      </c>
      <c r="F71" s="1">
        <v>45128</v>
      </c>
      <c r="G71" t="s">
        <v>8</v>
      </c>
      <c r="H71" s="2">
        <v>12.69</v>
      </c>
      <c r="I71" s="2">
        <v>47.1</v>
      </c>
      <c r="J71" s="2">
        <v>38.26</v>
      </c>
      <c r="K71" s="2">
        <f t="shared" si="30"/>
        <v>320.25</v>
      </c>
      <c r="L71" s="2">
        <v>5.38</v>
      </c>
      <c r="M71" s="2">
        <v>0.35</v>
      </c>
      <c r="N71" s="6">
        <f t="shared" si="21"/>
        <v>6.7224978591986089</v>
      </c>
      <c r="O71" s="6">
        <f t="shared" si="22"/>
        <v>1.3560777091981344</v>
      </c>
      <c r="P71" s="6">
        <f t="shared" si="23"/>
        <v>97.299543106585105</v>
      </c>
      <c r="Q71" s="6">
        <f t="shared" si="31"/>
        <v>19.303760249343334</v>
      </c>
      <c r="R71" s="10">
        <f t="shared" si="32"/>
        <v>1.9303760249343334E-2</v>
      </c>
      <c r="S71" s="3">
        <f t="shared" si="24"/>
        <v>0.34746768448818</v>
      </c>
      <c r="T71" s="4">
        <f t="shared" si="25"/>
        <v>3.4746768448818002E-4</v>
      </c>
      <c r="U71" s="3">
        <f t="shared" si="26"/>
        <v>1.2508836641574481</v>
      </c>
      <c r="V71" s="2">
        <v>11.56</v>
      </c>
      <c r="W71" s="2">
        <v>1.91</v>
      </c>
      <c r="X71" s="2">
        <f t="shared" si="27"/>
        <v>19100</v>
      </c>
      <c r="Y71" s="5">
        <v>-0.85</v>
      </c>
      <c r="Z71" s="5">
        <v>-2.76</v>
      </c>
      <c r="AA71" s="2">
        <f t="shared" si="28"/>
        <v>1.9099999999999997</v>
      </c>
      <c r="AB71" s="3">
        <f t="shared" si="29"/>
        <v>0.65491291317143896</v>
      </c>
    </row>
    <row r="72" spans="1:28" x14ac:dyDescent="0.2">
      <c r="A72" t="s">
        <v>6</v>
      </c>
      <c r="B72">
        <v>72</v>
      </c>
      <c r="C72">
        <v>155</v>
      </c>
      <c r="D72">
        <v>58</v>
      </c>
      <c r="E72" t="s">
        <v>12</v>
      </c>
      <c r="F72" s="1">
        <v>45128</v>
      </c>
      <c r="G72" t="s">
        <v>8</v>
      </c>
      <c r="H72" s="2">
        <v>19.649999999999999</v>
      </c>
      <c r="I72" s="2">
        <v>43.33</v>
      </c>
      <c r="J72" s="2">
        <v>39.14</v>
      </c>
      <c r="K72" s="2">
        <f t="shared" si="30"/>
        <v>316.47999999999996</v>
      </c>
      <c r="L72" s="2">
        <v>5.32</v>
      </c>
      <c r="M72" s="2">
        <v>0.12</v>
      </c>
      <c r="N72" s="6">
        <f t="shared" si="21"/>
        <v>7.04917432145864</v>
      </c>
      <c r="O72" s="6">
        <f t="shared" si="22"/>
        <v>1.7293033126585795</v>
      </c>
      <c r="P72" s="6">
        <f t="shared" si="23"/>
        <v>97.252567460872456</v>
      </c>
      <c r="Q72" s="6">
        <f t="shared" si="31"/>
        <v>6.5641919562982016</v>
      </c>
      <c r="R72" s="10">
        <f t="shared" si="32"/>
        <v>6.5641919562982017E-3</v>
      </c>
      <c r="S72" s="3">
        <f t="shared" si="24"/>
        <v>0.11815545521336764</v>
      </c>
      <c r="T72" s="4">
        <f t="shared" si="25"/>
        <v>1.1815545521336763E-4</v>
      </c>
      <c r="U72" s="3">
        <f t="shared" si="26"/>
        <v>0.42535963876812349</v>
      </c>
      <c r="V72" s="2">
        <v>25.14</v>
      </c>
      <c r="W72" s="2">
        <v>4.53</v>
      </c>
      <c r="X72" s="2">
        <f t="shared" si="27"/>
        <v>45300</v>
      </c>
      <c r="Y72" s="5">
        <v>-0.83</v>
      </c>
      <c r="Z72" s="5">
        <v>-2.87</v>
      </c>
      <c r="AA72" s="2">
        <f t="shared" si="28"/>
        <v>2.04</v>
      </c>
      <c r="AB72" s="3">
        <f t="shared" si="29"/>
        <v>0.20850962684711935</v>
      </c>
    </row>
    <row r="73" spans="1:28" x14ac:dyDescent="0.2">
      <c r="A73" t="s">
        <v>6</v>
      </c>
      <c r="B73">
        <v>72</v>
      </c>
      <c r="C73">
        <v>155</v>
      </c>
      <c r="D73">
        <v>59</v>
      </c>
      <c r="E73" t="s">
        <v>12</v>
      </c>
      <c r="F73" s="1">
        <v>45127</v>
      </c>
      <c r="G73" t="s">
        <v>8</v>
      </c>
      <c r="H73" s="2">
        <v>12.46</v>
      </c>
      <c r="I73" s="2">
        <v>45.57</v>
      </c>
      <c r="J73" s="2">
        <v>42.68</v>
      </c>
      <c r="K73" s="2">
        <f t="shared" si="30"/>
        <v>318.71999999999997</v>
      </c>
      <c r="L73" s="2">
        <v>7.28</v>
      </c>
      <c r="M73" s="2">
        <v>0.11</v>
      </c>
      <c r="N73" s="6">
        <f t="shared" si="21"/>
        <v>8.5063870719752472</v>
      </c>
      <c r="O73" s="6">
        <f t="shared" si="22"/>
        <v>1.231376148144447</v>
      </c>
      <c r="P73" s="6">
        <f t="shared" si="23"/>
        <v>97.280609977602978</v>
      </c>
      <c r="Q73" s="6">
        <f t="shared" si="31"/>
        <v>8.2262148829620916</v>
      </c>
      <c r="R73" s="10">
        <f t="shared" si="32"/>
        <v>8.2262148829620914E-3</v>
      </c>
      <c r="S73" s="3">
        <f t="shared" si="24"/>
        <v>0.14807186789331764</v>
      </c>
      <c r="T73" s="4">
        <f t="shared" si="25"/>
        <v>1.4807186789331765E-4</v>
      </c>
      <c r="U73" s="3">
        <f t="shared" si="26"/>
        <v>0.5330587244159436</v>
      </c>
      <c r="V73" s="2">
        <v>16.940000000000001</v>
      </c>
      <c r="W73" s="2">
        <v>3.17</v>
      </c>
      <c r="X73" s="2">
        <f t="shared" si="27"/>
        <v>31700</v>
      </c>
      <c r="Y73" s="5">
        <v>-0.42</v>
      </c>
      <c r="Z73" s="5">
        <v>-2.19</v>
      </c>
      <c r="AA73" s="2">
        <f t="shared" si="28"/>
        <v>1.77</v>
      </c>
      <c r="AB73" s="3">
        <f t="shared" si="29"/>
        <v>0.30116312113895116</v>
      </c>
    </row>
    <row r="74" spans="1:28" x14ac:dyDescent="0.2">
      <c r="A74" t="s">
        <v>6</v>
      </c>
      <c r="B74">
        <v>72</v>
      </c>
      <c r="C74">
        <v>155</v>
      </c>
      <c r="D74">
        <v>60</v>
      </c>
      <c r="E74" t="s">
        <v>12</v>
      </c>
      <c r="F74" s="1">
        <v>45128</v>
      </c>
      <c r="G74" t="s">
        <v>8</v>
      </c>
      <c r="H74" s="2">
        <v>17.62</v>
      </c>
      <c r="I74" s="2">
        <v>44.63</v>
      </c>
      <c r="J74" s="2">
        <v>38.58</v>
      </c>
      <c r="K74" s="2">
        <f t="shared" si="30"/>
        <v>317.77999999999997</v>
      </c>
      <c r="L74" s="2">
        <v>5.18</v>
      </c>
      <c r="M74" s="2">
        <v>0.21</v>
      </c>
      <c r="N74" s="6">
        <f t="shared" si="21"/>
        <v>6.8397361511054262</v>
      </c>
      <c r="O74" s="6">
        <f t="shared" si="22"/>
        <v>1.6589751335417331</v>
      </c>
      <c r="P74" s="6">
        <f t="shared" si="23"/>
        <v>97.268889293215267</v>
      </c>
      <c r="Q74" s="6">
        <f t="shared" si="31"/>
        <v>11.185074915461826</v>
      </c>
      <c r="R74" s="10">
        <f t="shared" si="32"/>
        <v>1.1185074915461826E-2</v>
      </c>
      <c r="S74" s="3">
        <f t="shared" si="24"/>
        <v>0.20133134847831285</v>
      </c>
      <c r="T74" s="4">
        <f t="shared" si="25"/>
        <v>2.0133134847831284E-4</v>
      </c>
      <c r="U74" s="3">
        <f t="shared" si="26"/>
        <v>0.72479285452192621</v>
      </c>
      <c r="V74" s="2">
        <v>22.24</v>
      </c>
      <c r="W74" s="2">
        <v>4.22</v>
      </c>
      <c r="X74" s="2">
        <f t="shared" si="27"/>
        <v>42200</v>
      </c>
      <c r="Y74" s="5">
        <v>-0.47</v>
      </c>
      <c r="Z74" s="5">
        <v>-2.4900000000000002</v>
      </c>
      <c r="AA74" s="2">
        <f t="shared" si="28"/>
        <v>2.0200000000000005</v>
      </c>
      <c r="AB74" s="3">
        <f t="shared" si="29"/>
        <v>0.35880834382273569</v>
      </c>
    </row>
    <row r="75" spans="1:28" x14ac:dyDescent="0.2">
      <c r="A75" t="s">
        <v>6</v>
      </c>
      <c r="B75">
        <v>72</v>
      </c>
      <c r="C75">
        <v>5</v>
      </c>
      <c r="D75">
        <v>61</v>
      </c>
      <c r="E75" t="s">
        <v>12</v>
      </c>
      <c r="F75" s="1">
        <v>45128</v>
      </c>
      <c r="G75" t="s">
        <v>8</v>
      </c>
      <c r="H75" s="2">
        <v>13.86</v>
      </c>
      <c r="I75" s="2">
        <v>46.62</v>
      </c>
      <c r="J75" s="2">
        <v>40.869999999999997</v>
      </c>
      <c r="K75" s="2">
        <f t="shared" si="30"/>
        <v>319.77</v>
      </c>
      <c r="L75" s="2">
        <v>6.29</v>
      </c>
      <c r="M75" s="2">
        <v>0.1</v>
      </c>
      <c r="N75" s="6">
        <f t="shared" si="21"/>
        <v>7.7317126521002724</v>
      </c>
      <c r="O75" s="6">
        <f t="shared" si="22"/>
        <v>1.445353274377505</v>
      </c>
      <c r="P75" s="6">
        <f t="shared" si="23"/>
        <v>97.293622409484982</v>
      </c>
      <c r="Q75" s="6">
        <f t="shared" si="31"/>
        <v>6.4612245099324435</v>
      </c>
      <c r="R75" s="10">
        <f t="shared" si="32"/>
        <v>6.4612245099324433E-3</v>
      </c>
      <c r="S75" s="3">
        <f t="shared" si="24"/>
        <v>0.11630204117878398</v>
      </c>
      <c r="T75" s="4">
        <f t="shared" si="25"/>
        <v>1.1630204117878399E-4</v>
      </c>
      <c r="U75" s="3">
        <f t="shared" si="26"/>
        <v>0.41868734824362236</v>
      </c>
      <c r="V75" s="2">
        <v>5.59</v>
      </c>
      <c r="W75" s="2">
        <v>1.83</v>
      </c>
      <c r="X75" s="2">
        <f t="shared" si="27"/>
        <v>18300</v>
      </c>
      <c r="Y75" s="5">
        <v>-0.88</v>
      </c>
      <c r="Z75" s="5">
        <v>-2.19</v>
      </c>
      <c r="AA75" s="2">
        <f t="shared" si="28"/>
        <v>1.31</v>
      </c>
      <c r="AB75" s="3">
        <f t="shared" si="29"/>
        <v>0.31960866278139111</v>
      </c>
    </row>
    <row r="76" spans="1:28" x14ac:dyDescent="0.2">
      <c r="A76" t="s">
        <v>6</v>
      </c>
      <c r="B76">
        <v>72</v>
      </c>
      <c r="C76">
        <v>5</v>
      </c>
      <c r="D76">
        <v>63</v>
      </c>
      <c r="E76" t="s">
        <v>12</v>
      </c>
      <c r="F76" s="1">
        <v>45127</v>
      </c>
      <c r="G76" t="s">
        <v>8</v>
      </c>
      <c r="H76" s="2">
        <v>12.75</v>
      </c>
      <c r="I76" s="2">
        <v>44.85</v>
      </c>
      <c r="J76" s="2">
        <v>40.880000000000003</v>
      </c>
      <c r="K76" s="2">
        <f t="shared" si="30"/>
        <v>318</v>
      </c>
      <c r="L76" s="2">
        <v>6.52</v>
      </c>
      <c r="M76" s="2">
        <v>0.15</v>
      </c>
      <c r="N76" s="6">
        <f t="shared" si="21"/>
        <v>7.7358186713979142</v>
      </c>
      <c r="O76" s="6">
        <f t="shared" si="22"/>
        <v>1.2141728493124602</v>
      </c>
      <c r="P76" s="6">
        <f t="shared" si="23"/>
        <v>97.271638516214594</v>
      </c>
      <c r="Q76" s="6">
        <f t="shared" si="31"/>
        <v>10.056856122041681</v>
      </c>
      <c r="R76" s="10">
        <f t="shared" si="32"/>
        <v>1.0056856122041682E-2</v>
      </c>
      <c r="S76" s="3">
        <f t="shared" si="24"/>
        <v>0.18102341019675028</v>
      </c>
      <c r="T76" s="4">
        <f t="shared" si="25"/>
        <v>1.8102341019675028E-4</v>
      </c>
      <c r="U76" s="3">
        <f t="shared" si="26"/>
        <v>0.65168427670830098</v>
      </c>
      <c r="V76" s="2">
        <v>13.53</v>
      </c>
      <c r="W76" s="2">
        <v>2.78</v>
      </c>
      <c r="X76" s="2">
        <f t="shared" si="27"/>
        <v>27799.999999999996</v>
      </c>
      <c r="Y76" s="5">
        <v>-0.75</v>
      </c>
      <c r="Z76" s="5">
        <v>-2.35</v>
      </c>
      <c r="AA76" s="2">
        <f t="shared" si="28"/>
        <v>1.6</v>
      </c>
      <c r="AB76" s="3">
        <f t="shared" si="29"/>
        <v>0.40730267294268807</v>
      </c>
    </row>
    <row r="77" spans="1:28" x14ac:dyDescent="0.2">
      <c r="A77" t="s">
        <v>6</v>
      </c>
      <c r="B77">
        <v>72</v>
      </c>
      <c r="C77">
        <v>5</v>
      </c>
      <c r="D77">
        <v>85</v>
      </c>
      <c r="E77" t="s">
        <v>12</v>
      </c>
      <c r="F77" s="1">
        <v>45128</v>
      </c>
      <c r="G77" t="s">
        <v>8</v>
      </c>
      <c r="H77" s="2">
        <v>17.39</v>
      </c>
      <c r="I77" s="2">
        <v>44.89</v>
      </c>
      <c r="J77" s="2">
        <v>40.79</v>
      </c>
      <c r="K77" s="2">
        <f t="shared" si="30"/>
        <v>318.03999999999996</v>
      </c>
      <c r="L77" s="2">
        <v>6.04</v>
      </c>
      <c r="M77" s="2">
        <v>0.09</v>
      </c>
      <c r="N77" s="6">
        <f t="shared" si="21"/>
        <v>7.6989324136678512</v>
      </c>
      <c r="O77" s="6">
        <f t="shared" si="22"/>
        <v>1.6594593487598048</v>
      </c>
      <c r="P77" s="6">
        <f t="shared" si="23"/>
        <v>97.272137974644096</v>
      </c>
      <c r="Q77" s="6">
        <f t="shared" si="31"/>
        <v>5.5879575298675128</v>
      </c>
      <c r="R77" s="10">
        <f t="shared" si="32"/>
        <v>5.5879575298675129E-3</v>
      </c>
      <c r="S77" s="3">
        <f t="shared" si="24"/>
        <v>0.10058323553761524</v>
      </c>
      <c r="T77" s="4">
        <f t="shared" si="25"/>
        <v>1.0058323553761523E-4</v>
      </c>
      <c r="U77" s="3">
        <f t="shared" si="26"/>
        <v>0.36209964793541483</v>
      </c>
      <c r="V77" s="2">
        <v>8.26</v>
      </c>
      <c r="W77" s="2">
        <v>2.33</v>
      </c>
      <c r="X77" s="2">
        <f t="shared" si="27"/>
        <v>23300</v>
      </c>
      <c r="Y77" s="5">
        <v>-0.68</v>
      </c>
      <c r="Z77" s="5">
        <v>-2.16</v>
      </c>
      <c r="AA77" s="2">
        <f t="shared" si="28"/>
        <v>1.48</v>
      </c>
      <c r="AB77" s="3">
        <f t="shared" si="29"/>
        <v>0.2446619242806857</v>
      </c>
    </row>
    <row r="78" spans="1:28" x14ac:dyDescent="0.2">
      <c r="A78" t="s">
        <v>9</v>
      </c>
      <c r="B78">
        <v>1521</v>
      </c>
      <c r="C78">
        <v>153</v>
      </c>
      <c r="D78">
        <v>69</v>
      </c>
      <c r="E78" t="s">
        <v>12</v>
      </c>
      <c r="F78" s="1">
        <v>45128</v>
      </c>
      <c r="G78" t="s">
        <v>8</v>
      </c>
      <c r="H78" s="2">
        <v>13.85</v>
      </c>
      <c r="I78" s="2">
        <v>46.67</v>
      </c>
      <c r="J78" s="2">
        <v>40.94</v>
      </c>
      <c r="K78" s="2">
        <f t="shared" si="30"/>
        <v>319.82</v>
      </c>
      <c r="L78" s="2">
        <v>6.31</v>
      </c>
      <c r="M78" s="2">
        <v>0.15</v>
      </c>
      <c r="N78" s="6">
        <f t="shared" si="21"/>
        <v>7.7604944808636107</v>
      </c>
      <c r="O78" s="6">
        <f t="shared" si="22"/>
        <v>1.4479969303835485</v>
      </c>
      <c r="P78" s="6">
        <f t="shared" si="23"/>
        <v>97.294239961146005</v>
      </c>
      <c r="Q78" s="6">
        <f t="shared" si="31"/>
        <v>9.7320728642326522</v>
      </c>
      <c r="R78" s="10">
        <f t="shared" si="32"/>
        <v>9.7320728642326521E-3</v>
      </c>
      <c r="S78" s="3">
        <f t="shared" si="24"/>
        <v>0.17517731155618774</v>
      </c>
      <c r="T78" s="4">
        <f t="shared" si="25"/>
        <v>1.7517731155618774E-4</v>
      </c>
      <c r="U78" s="3">
        <f t="shared" si="26"/>
        <v>0.63063832160227584</v>
      </c>
      <c r="V78" s="2">
        <v>1.89</v>
      </c>
      <c r="W78" s="2">
        <v>0.42</v>
      </c>
      <c r="X78" s="2">
        <f t="shared" si="27"/>
        <v>4200</v>
      </c>
      <c r="Y78" s="5">
        <v>-0.12</v>
      </c>
      <c r="Z78" s="5">
        <v>-2.02</v>
      </c>
      <c r="AA78" s="2">
        <f t="shared" si="28"/>
        <v>1.9</v>
      </c>
      <c r="AB78" s="3">
        <f t="shared" si="29"/>
        <v>0.33191490610646096</v>
      </c>
    </row>
    <row r="79" spans="1:28" x14ac:dyDescent="0.2">
      <c r="A79" t="s">
        <v>9</v>
      </c>
      <c r="B79">
        <v>1521</v>
      </c>
      <c r="C79">
        <v>153</v>
      </c>
      <c r="D79">
        <v>76</v>
      </c>
      <c r="E79" t="s">
        <v>12</v>
      </c>
      <c r="F79" s="1">
        <v>45128</v>
      </c>
      <c r="G79" t="s">
        <v>8</v>
      </c>
      <c r="H79" s="2">
        <v>14.48</v>
      </c>
      <c r="I79" s="2">
        <v>46.67</v>
      </c>
      <c r="J79" s="2">
        <v>43.32</v>
      </c>
      <c r="K79" s="2">
        <f t="shared" si="30"/>
        <v>319.82</v>
      </c>
      <c r="L79" s="2">
        <v>7.28</v>
      </c>
      <c r="M79" s="2">
        <v>7.0000000000000007E-2</v>
      </c>
      <c r="N79" s="6">
        <f t="shared" si="21"/>
        <v>8.7959347616786054</v>
      </c>
      <c r="O79" s="6">
        <f t="shared" si="22"/>
        <v>1.5138624947259052</v>
      </c>
      <c r="P79" s="6">
        <f t="shared" si="23"/>
        <v>97.294239961146005</v>
      </c>
      <c r="Q79" s="6">
        <f t="shared" si="31"/>
        <v>5.2392110662486635</v>
      </c>
      <c r="R79" s="10">
        <f t="shared" si="32"/>
        <v>5.2392110662486634E-3</v>
      </c>
      <c r="S79" s="3">
        <f t="shared" si="24"/>
        <v>9.4305799192475948E-2</v>
      </c>
      <c r="T79" s="4">
        <f t="shared" si="25"/>
        <v>9.430579919247595E-5</v>
      </c>
      <c r="U79" s="3">
        <f t="shared" si="26"/>
        <v>0.33950087709291343</v>
      </c>
      <c r="V79" s="2">
        <v>1.63</v>
      </c>
      <c r="W79" s="2">
        <v>0.4</v>
      </c>
      <c r="X79" s="2">
        <f t="shared" si="27"/>
        <v>4000</v>
      </c>
      <c r="Y79" s="5">
        <v>-0.78</v>
      </c>
      <c r="Z79" s="5">
        <v>-2.2000000000000002</v>
      </c>
      <c r="AA79" s="2">
        <f t="shared" si="28"/>
        <v>1.4200000000000002</v>
      </c>
      <c r="AB79" s="3">
        <f t="shared" si="29"/>
        <v>0.2390851247133193</v>
      </c>
    </row>
    <row r="80" spans="1:28" x14ac:dyDescent="0.2">
      <c r="A80" t="s">
        <v>9</v>
      </c>
      <c r="B80">
        <v>1521</v>
      </c>
      <c r="C80">
        <v>153</v>
      </c>
      <c r="D80">
        <v>90</v>
      </c>
      <c r="E80" t="s">
        <v>12</v>
      </c>
      <c r="F80" s="1">
        <v>45127</v>
      </c>
      <c r="G80" t="s">
        <v>8</v>
      </c>
      <c r="H80" s="2">
        <v>10.54</v>
      </c>
      <c r="I80" s="2">
        <v>48.31</v>
      </c>
      <c r="J80" s="2">
        <v>43.46</v>
      </c>
      <c r="K80" s="2">
        <f t="shared" si="30"/>
        <v>321.45999999999998</v>
      </c>
      <c r="L80" s="2">
        <v>7.66</v>
      </c>
      <c r="M80" s="2">
        <v>0.09</v>
      </c>
      <c r="N80" s="6">
        <f t="shared" si="21"/>
        <v>8.8603977272736909</v>
      </c>
      <c r="O80" s="6">
        <f t="shared" si="22"/>
        <v>1.1974539060899529</v>
      </c>
      <c r="P80" s="6">
        <f t="shared" si="23"/>
        <v>97.314391316608535</v>
      </c>
      <c r="Q80" s="6">
        <f t="shared" si="31"/>
        <v>7.0869779338467911</v>
      </c>
      <c r="R80" s="10">
        <f t="shared" si="32"/>
        <v>7.0869779338467911E-3</v>
      </c>
      <c r="S80" s="3">
        <f t="shared" si="24"/>
        <v>0.12756560280924223</v>
      </c>
      <c r="T80" s="4">
        <f t="shared" si="25"/>
        <v>1.2756560280924222E-4</v>
      </c>
      <c r="U80" s="3">
        <f t="shared" si="26"/>
        <v>0.459236170113272</v>
      </c>
      <c r="V80" s="2">
        <v>3.81</v>
      </c>
      <c r="W80" s="2">
        <v>0.53</v>
      </c>
      <c r="X80" s="2">
        <f t="shared" si="27"/>
        <v>5300</v>
      </c>
      <c r="Y80" s="5">
        <v>-0.39</v>
      </c>
      <c r="Z80" s="5">
        <v>-2.1800000000000002</v>
      </c>
      <c r="AA80" s="2">
        <f t="shared" si="28"/>
        <v>1.79</v>
      </c>
      <c r="AB80" s="3">
        <f t="shared" si="29"/>
        <v>0.25655651961635306</v>
      </c>
    </row>
    <row r="81" spans="1:28" x14ac:dyDescent="0.2">
      <c r="A81" t="s">
        <v>9</v>
      </c>
      <c r="B81">
        <v>1521</v>
      </c>
      <c r="C81">
        <v>155</v>
      </c>
      <c r="D81">
        <v>62</v>
      </c>
      <c r="E81" t="s">
        <v>12</v>
      </c>
      <c r="F81" s="1">
        <v>45127</v>
      </c>
      <c r="G81" t="s">
        <v>8</v>
      </c>
      <c r="H81" s="2">
        <v>11.48</v>
      </c>
      <c r="I81" s="2">
        <v>47.41</v>
      </c>
      <c r="J81" s="2">
        <v>42.18</v>
      </c>
      <c r="K81" s="2">
        <f t="shared" si="30"/>
        <v>320.55999999999995</v>
      </c>
      <c r="L81" s="2">
        <v>7.05</v>
      </c>
      <c r="M81" s="2">
        <v>0.15</v>
      </c>
      <c r="N81" s="6">
        <f t="shared" si="21"/>
        <v>8.2859535701347617</v>
      </c>
      <c r="O81" s="6">
        <f t="shared" si="22"/>
        <v>1.2462344834947192</v>
      </c>
      <c r="P81" s="6">
        <f t="shared" si="23"/>
        <v>97.30335765748265</v>
      </c>
      <c r="Q81" s="6">
        <f t="shared" si="31"/>
        <v>10.852224305692321</v>
      </c>
      <c r="R81" s="10">
        <f t="shared" si="32"/>
        <v>1.0852224305692321E-2</v>
      </c>
      <c r="S81" s="3">
        <f t="shared" si="24"/>
        <v>0.19534003750246179</v>
      </c>
      <c r="T81" s="4">
        <f t="shared" si="25"/>
        <v>1.9534003750246179E-4</v>
      </c>
      <c r="U81" s="3">
        <f t="shared" si="26"/>
        <v>0.70322413500886238</v>
      </c>
      <c r="V81" s="2">
        <v>1.17</v>
      </c>
      <c r="W81" s="2">
        <v>0.44</v>
      </c>
      <c r="X81" s="2">
        <f t="shared" si="27"/>
        <v>4400</v>
      </c>
      <c r="Y81" s="5">
        <v>-0.44</v>
      </c>
      <c r="Z81" s="5">
        <v>-1.86</v>
      </c>
      <c r="AA81" s="2">
        <f t="shared" si="28"/>
        <v>1.4200000000000002</v>
      </c>
      <c r="AB81" s="3">
        <f t="shared" si="29"/>
        <v>0.4952282640907481</v>
      </c>
    </row>
    <row r="82" spans="1:28" x14ac:dyDescent="0.2">
      <c r="A82" t="s">
        <v>9</v>
      </c>
      <c r="B82">
        <v>1521</v>
      </c>
      <c r="C82">
        <v>155</v>
      </c>
      <c r="D82">
        <v>64</v>
      </c>
      <c r="E82" t="s">
        <v>12</v>
      </c>
      <c r="F82" s="1">
        <v>45127</v>
      </c>
      <c r="G82" t="s">
        <v>8</v>
      </c>
      <c r="H82" s="2">
        <v>10.52</v>
      </c>
      <c r="I82" s="2">
        <v>47.64</v>
      </c>
      <c r="J82" s="2">
        <v>42.31</v>
      </c>
      <c r="K82" s="2">
        <f t="shared" si="30"/>
        <v>320.78999999999996</v>
      </c>
      <c r="L82" s="2">
        <v>7.18</v>
      </c>
      <c r="M82" s="2">
        <v>0.1</v>
      </c>
      <c r="N82" s="6">
        <f t="shared" si="21"/>
        <v>8.3427850742956036</v>
      </c>
      <c r="O82" s="6">
        <f t="shared" si="22"/>
        <v>1.1554075417600145</v>
      </c>
      <c r="P82" s="6">
        <f t="shared" si="23"/>
        <v>97.306183140435735</v>
      </c>
      <c r="Q82" s="6">
        <f t="shared" si="31"/>
        <v>7.3863523370991855</v>
      </c>
      <c r="R82" s="10">
        <f t="shared" si="32"/>
        <v>7.3863523370991859E-3</v>
      </c>
      <c r="S82" s="3">
        <f t="shared" si="24"/>
        <v>0.13295434206778534</v>
      </c>
      <c r="T82" s="4">
        <f t="shared" si="25"/>
        <v>1.3295434206778533E-4</v>
      </c>
      <c r="U82" s="3">
        <f t="shared" si="26"/>
        <v>0.47863563144402715</v>
      </c>
      <c r="V82" s="2">
        <v>1.37</v>
      </c>
      <c r="W82" s="2">
        <v>0.45</v>
      </c>
      <c r="X82" s="2">
        <f t="shared" si="27"/>
        <v>4500</v>
      </c>
      <c r="Y82" s="5">
        <v>-0.28999999999999998</v>
      </c>
      <c r="Z82" s="5">
        <v>-2.15</v>
      </c>
      <c r="AA82" s="2">
        <f t="shared" si="28"/>
        <v>1.8599999999999999</v>
      </c>
      <c r="AB82" s="3">
        <f t="shared" si="29"/>
        <v>0.25733098464732646</v>
      </c>
    </row>
    <row r="83" spans="1:28" x14ac:dyDescent="0.2">
      <c r="A83" t="s">
        <v>9</v>
      </c>
      <c r="B83">
        <v>1521</v>
      </c>
      <c r="C83">
        <v>155</v>
      </c>
      <c r="D83">
        <v>66</v>
      </c>
      <c r="E83" t="s">
        <v>12</v>
      </c>
      <c r="F83" s="1">
        <v>45128</v>
      </c>
      <c r="G83" t="s">
        <v>8</v>
      </c>
      <c r="H83" s="2">
        <v>12.95</v>
      </c>
      <c r="I83" s="2">
        <v>46.97</v>
      </c>
      <c r="J83" s="2">
        <v>42.12</v>
      </c>
      <c r="K83" s="2">
        <f t="shared" si="30"/>
        <v>320.12</v>
      </c>
      <c r="L83" s="2">
        <v>6.88</v>
      </c>
      <c r="M83" s="2">
        <v>0.11</v>
      </c>
      <c r="N83" s="6">
        <f t="shared" si="21"/>
        <v>8.2598368895925098</v>
      </c>
      <c r="O83" s="6">
        <f t="shared" si="22"/>
        <v>1.3747448026961095</v>
      </c>
      <c r="P83" s="6">
        <f t="shared" si="23"/>
        <v>97.297941302097826</v>
      </c>
      <c r="Q83" s="6">
        <f t="shared" si="31"/>
        <v>7.7839275880164465</v>
      </c>
      <c r="R83" s="10">
        <f t="shared" si="32"/>
        <v>7.7839275880164467E-3</v>
      </c>
      <c r="S83" s="3">
        <f t="shared" si="24"/>
        <v>0.14011069658429604</v>
      </c>
      <c r="T83" s="4">
        <f t="shared" si="25"/>
        <v>1.4011069658429604E-4</v>
      </c>
      <c r="U83" s="3">
        <f t="shared" si="26"/>
        <v>0.50439850770346573</v>
      </c>
      <c r="V83" s="2">
        <v>3.21</v>
      </c>
      <c r="W83" s="2">
        <v>0.68</v>
      </c>
      <c r="X83" s="2">
        <f t="shared" si="27"/>
        <v>6800.0000000000009</v>
      </c>
      <c r="Y83" s="5">
        <v>-0.63</v>
      </c>
      <c r="Z83" s="5">
        <v>-2.2200000000000002</v>
      </c>
      <c r="AA83" s="2">
        <f t="shared" si="28"/>
        <v>1.5900000000000003</v>
      </c>
      <c r="AB83" s="3">
        <f t="shared" si="29"/>
        <v>0.31723176585123625</v>
      </c>
    </row>
    <row r="84" spans="1:28" x14ac:dyDescent="0.2">
      <c r="A84" t="s">
        <v>9</v>
      </c>
      <c r="B84">
        <v>1521</v>
      </c>
      <c r="C84">
        <v>156</v>
      </c>
      <c r="D84">
        <v>71</v>
      </c>
      <c r="E84" t="s">
        <v>12</v>
      </c>
      <c r="F84" s="1">
        <v>45127</v>
      </c>
      <c r="G84" t="s">
        <v>8</v>
      </c>
      <c r="H84" s="2">
        <v>11.45</v>
      </c>
      <c r="I84" s="2">
        <v>47.48</v>
      </c>
      <c r="J84" s="2">
        <v>44.15</v>
      </c>
      <c r="K84" s="2">
        <f t="shared" si="30"/>
        <v>320.63</v>
      </c>
      <c r="L84" s="2">
        <v>7.93</v>
      </c>
      <c r="M84" s="2">
        <v>7.0000000000000007E-2</v>
      </c>
      <c r="N84" s="6">
        <f t="shared" si="21"/>
        <v>9.1841145119540144</v>
      </c>
      <c r="O84" s="6">
        <f t="shared" si="22"/>
        <v>1.2473970099886358</v>
      </c>
      <c r="P84" s="6">
        <f t="shared" si="23"/>
        <v>97.304218007509334</v>
      </c>
      <c r="Q84" s="6">
        <f t="shared" si="31"/>
        <v>5.7096211912899921</v>
      </c>
      <c r="R84" s="10">
        <f t="shared" si="32"/>
        <v>5.7096211912899923E-3</v>
      </c>
      <c r="S84" s="3">
        <f t="shared" si="24"/>
        <v>0.10277318144321987</v>
      </c>
      <c r="T84" s="4">
        <f t="shared" si="25"/>
        <v>1.0277318144321986E-4</v>
      </c>
      <c r="U84" s="3">
        <f t="shared" si="26"/>
        <v>0.36998345319559151</v>
      </c>
      <c r="V84" s="2">
        <v>3.35</v>
      </c>
      <c r="W84" s="2">
        <v>0.65</v>
      </c>
      <c r="X84" s="2">
        <f t="shared" si="27"/>
        <v>6500</v>
      </c>
      <c r="Y84" s="5">
        <v>-0.53</v>
      </c>
      <c r="Z84" s="5">
        <v>-1.89</v>
      </c>
      <c r="AA84" s="2">
        <f t="shared" si="28"/>
        <v>1.3599999999999999</v>
      </c>
      <c r="AB84" s="3">
        <f t="shared" si="29"/>
        <v>0.27204665676146439</v>
      </c>
    </row>
    <row r="85" spans="1:28" x14ac:dyDescent="0.2">
      <c r="A85" t="s">
        <v>9</v>
      </c>
      <c r="B85">
        <v>1521</v>
      </c>
      <c r="C85">
        <v>156</v>
      </c>
      <c r="D85">
        <v>74</v>
      </c>
      <c r="E85" t="s">
        <v>12</v>
      </c>
      <c r="F85" s="1">
        <v>45128</v>
      </c>
      <c r="G85" t="s">
        <v>8</v>
      </c>
      <c r="H85" s="2">
        <v>14.71</v>
      </c>
      <c r="I85" s="2">
        <v>46.52</v>
      </c>
      <c r="J85" s="2">
        <v>45.23</v>
      </c>
      <c r="K85" s="2">
        <f t="shared" si="30"/>
        <v>319.66999999999996</v>
      </c>
      <c r="L85" s="2">
        <v>8.18</v>
      </c>
      <c r="M85" s="2">
        <v>0.01</v>
      </c>
      <c r="N85" s="6">
        <f t="shared" si="21"/>
        <v>9.7113341436962308</v>
      </c>
      <c r="O85" s="6">
        <f t="shared" si="22"/>
        <v>1.5261883111502861</v>
      </c>
      <c r="P85" s="6">
        <f t="shared" si="23"/>
        <v>97.292386738379051</v>
      </c>
      <c r="Q85" s="6">
        <f t="shared" si="31"/>
        <v>0.84129355923356541</v>
      </c>
      <c r="R85" s="10">
        <f t="shared" si="32"/>
        <v>8.4129355923356539E-4</v>
      </c>
      <c r="S85" s="3">
        <f t="shared" si="24"/>
        <v>1.5143284066204177E-2</v>
      </c>
      <c r="T85" s="4">
        <f t="shared" si="25"/>
        <v>1.5143284066204177E-5</v>
      </c>
      <c r="U85" s="3">
        <f t="shared" si="26"/>
        <v>5.4515822638335036E-2</v>
      </c>
      <c r="V85" s="2">
        <v>2.92</v>
      </c>
      <c r="W85" s="2">
        <v>0.64</v>
      </c>
      <c r="X85" s="2">
        <f t="shared" si="27"/>
        <v>6400</v>
      </c>
      <c r="Y85" s="5">
        <v>-0.57999999999999996</v>
      </c>
      <c r="Z85" s="5">
        <v>-1.79</v>
      </c>
      <c r="AA85" s="2">
        <f t="shared" si="28"/>
        <v>1.21</v>
      </c>
      <c r="AB85" s="3">
        <f t="shared" si="29"/>
        <v>4.5054398874657058E-2</v>
      </c>
    </row>
    <row r="86" spans="1:28" x14ac:dyDescent="0.2">
      <c r="A86" t="s">
        <v>9</v>
      </c>
      <c r="B86">
        <v>1521</v>
      </c>
      <c r="C86">
        <v>156</v>
      </c>
      <c r="D86">
        <v>75</v>
      </c>
      <c r="E86" t="s">
        <v>12</v>
      </c>
      <c r="F86" s="1">
        <v>45128</v>
      </c>
      <c r="G86" t="s">
        <v>8</v>
      </c>
      <c r="H86" s="2">
        <v>13.45</v>
      </c>
      <c r="I86" s="2">
        <v>46.92</v>
      </c>
      <c r="J86" s="2">
        <v>41.01</v>
      </c>
      <c r="K86" s="2">
        <f t="shared" si="30"/>
        <v>320.07</v>
      </c>
      <c r="L86" s="2">
        <v>6.36</v>
      </c>
      <c r="M86" s="2">
        <v>0.15</v>
      </c>
      <c r="N86" s="6">
        <f t="shared" si="21"/>
        <v>7.7893690822417732</v>
      </c>
      <c r="O86" s="6">
        <f t="shared" si="22"/>
        <v>1.4241961942292078</v>
      </c>
      <c r="P86" s="6">
        <f t="shared" si="23"/>
        <v>97.297324884007054</v>
      </c>
      <c r="Q86" s="6">
        <f t="shared" si="31"/>
        <v>9.8129720867466848</v>
      </c>
      <c r="R86" s="10">
        <f t="shared" si="32"/>
        <v>9.8129720867466842E-3</v>
      </c>
      <c r="S86" s="3">
        <f t="shared" si="24"/>
        <v>0.17663349756144031</v>
      </c>
      <c r="T86" s="4">
        <f t="shared" si="25"/>
        <v>1.7663349756144031E-4</v>
      </c>
      <c r="U86" s="3">
        <f t="shared" si="26"/>
        <v>0.63588059122118512</v>
      </c>
      <c r="V86" s="2">
        <v>2.78</v>
      </c>
      <c r="W86" s="2">
        <v>0.57999999999999996</v>
      </c>
      <c r="X86" s="2">
        <f t="shared" si="27"/>
        <v>5800</v>
      </c>
      <c r="Y86" s="5">
        <v>-0.19</v>
      </c>
      <c r="Z86" s="5">
        <v>-2.25</v>
      </c>
      <c r="AA86" s="2">
        <f t="shared" si="28"/>
        <v>2.06</v>
      </c>
      <c r="AB86" s="3">
        <f t="shared" si="29"/>
        <v>0.30867989865106071</v>
      </c>
    </row>
    <row r="87" spans="1:28" x14ac:dyDescent="0.2">
      <c r="A87" t="s">
        <v>9</v>
      </c>
      <c r="B87">
        <v>1521</v>
      </c>
      <c r="C87">
        <v>157</v>
      </c>
      <c r="D87">
        <v>67</v>
      </c>
      <c r="E87" t="s">
        <v>12</v>
      </c>
      <c r="F87" s="1">
        <v>45128</v>
      </c>
      <c r="G87" t="s">
        <v>8</v>
      </c>
      <c r="H87" s="2">
        <v>16.57</v>
      </c>
      <c r="I87" s="2">
        <v>45.22</v>
      </c>
      <c r="J87" s="2">
        <v>40.03</v>
      </c>
      <c r="K87" s="2">
        <f t="shared" si="30"/>
        <v>318.37</v>
      </c>
      <c r="L87" s="2">
        <v>5.78</v>
      </c>
      <c r="M87" s="2">
        <v>0.16</v>
      </c>
      <c r="N87" s="6">
        <f t="shared" si="21"/>
        <v>7.3934769740092214</v>
      </c>
      <c r="O87" s="6">
        <f t="shared" si="22"/>
        <v>1.6083397132291413</v>
      </c>
      <c r="P87" s="6">
        <f t="shared" si="23"/>
        <v>97.276253815569646</v>
      </c>
      <c r="Q87" s="6">
        <f t="shared" si="31"/>
        <v>9.51539482060792</v>
      </c>
      <c r="R87" s="10">
        <f t="shared" si="32"/>
        <v>9.5153948206079201E-3</v>
      </c>
      <c r="S87" s="3">
        <f t="shared" si="24"/>
        <v>0.17127710677094257</v>
      </c>
      <c r="T87" s="4">
        <f t="shared" si="25"/>
        <v>1.7127710677094257E-4</v>
      </c>
      <c r="U87" s="3">
        <f t="shared" si="26"/>
        <v>0.61659758437539325</v>
      </c>
      <c r="V87" s="2">
        <v>2.46</v>
      </c>
      <c r="W87" s="2">
        <v>0.65</v>
      </c>
      <c r="X87" s="2">
        <f t="shared" si="27"/>
        <v>6500</v>
      </c>
      <c r="Y87" s="5">
        <v>-0.62</v>
      </c>
      <c r="Z87" s="5">
        <v>-2.06</v>
      </c>
      <c r="AA87" s="2">
        <f t="shared" si="28"/>
        <v>1.44</v>
      </c>
      <c r="AB87" s="3">
        <f t="shared" si="29"/>
        <v>0.42819276692735642</v>
      </c>
    </row>
    <row r="88" spans="1:28" x14ac:dyDescent="0.2">
      <c r="A88" t="s">
        <v>9</v>
      </c>
      <c r="B88">
        <v>1521</v>
      </c>
      <c r="C88">
        <v>157</v>
      </c>
      <c r="D88">
        <v>68</v>
      </c>
      <c r="E88" t="s">
        <v>12</v>
      </c>
      <c r="F88" s="1">
        <v>45128</v>
      </c>
      <c r="G88" t="s">
        <v>8</v>
      </c>
      <c r="H88" s="2">
        <v>17.940000000000001</v>
      </c>
      <c r="I88" s="2">
        <v>44.24</v>
      </c>
      <c r="J88" s="2">
        <v>40.15</v>
      </c>
      <c r="K88" s="2">
        <f t="shared" si="30"/>
        <v>317.39</v>
      </c>
      <c r="L88" s="2">
        <v>5.79</v>
      </c>
      <c r="M88" s="2">
        <v>0.14000000000000001</v>
      </c>
      <c r="N88" s="6">
        <f t="shared" si="21"/>
        <v>7.4409967628375089</v>
      </c>
      <c r="O88" s="6">
        <f t="shared" si="22"/>
        <v>1.6553387242930693</v>
      </c>
      <c r="P88" s="6">
        <f t="shared" si="23"/>
        <v>97.264006495450303</v>
      </c>
      <c r="Q88" s="6">
        <f t="shared" si="31"/>
        <v>8.3277684580483573</v>
      </c>
      <c r="R88" s="10">
        <f t="shared" si="32"/>
        <v>8.3277684580483572E-3</v>
      </c>
      <c r="S88" s="3">
        <f t="shared" si="24"/>
        <v>0.14989983224487044</v>
      </c>
      <c r="T88" s="4">
        <f t="shared" si="25"/>
        <v>1.4989983224487043E-4</v>
      </c>
      <c r="U88" s="3">
        <f t="shared" si="26"/>
        <v>0.53963939608153355</v>
      </c>
      <c r="V88" s="6">
        <v>2.9</v>
      </c>
      <c r="W88" s="2">
        <v>0.85</v>
      </c>
      <c r="X88" s="2">
        <f t="shared" si="27"/>
        <v>8500</v>
      </c>
      <c r="Y88" s="5">
        <v>-0.95</v>
      </c>
      <c r="Z88" s="5">
        <v>-2.1</v>
      </c>
      <c r="AA88" s="2">
        <f t="shared" si="28"/>
        <v>1.1500000000000001</v>
      </c>
      <c r="AB88" s="3">
        <f t="shared" si="29"/>
        <v>0.46925164876655084</v>
      </c>
    </row>
    <row r="89" spans="1:28" x14ac:dyDescent="0.2">
      <c r="A89" t="s">
        <v>9</v>
      </c>
      <c r="B89">
        <v>1521</v>
      </c>
      <c r="C89">
        <v>157</v>
      </c>
      <c r="D89">
        <v>72</v>
      </c>
      <c r="E89" t="s">
        <v>12</v>
      </c>
      <c r="F89" s="1">
        <v>45127</v>
      </c>
      <c r="G89" t="s">
        <v>8</v>
      </c>
      <c r="H89" s="2">
        <v>11.8</v>
      </c>
      <c r="I89" s="2">
        <v>46.27</v>
      </c>
      <c r="J89" s="2">
        <v>42.64</v>
      </c>
      <c r="K89" s="2">
        <f t="shared" si="30"/>
        <v>319.41999999999996</v>
      </c>
      <c r="L89" s="2">
        <v>7.28</v>
      </c>
      <c r="M89" s="2">
        <v>0.09</v>
      </c>
      <c r="N89" s="6">
        <f t="shared" si="21"/>
        <v>8.4885675448476885</v>
      </c>
      <c r="O89" s="6">
        <f t="shared" si="22"/>
        <v>1.2087385801170623</v>
      </c>
      <c r="P89" s="6">
        <f t="shared" si="23"/>
        <v>97.289294244478768</v>
      </c>
      <c r="Q89" s="6">
        <f t="shared" si="31"/>
        <v>6.7343957206569875</v>
      </c>
      <c r="R89" s="10">
        <f t="shared" si="32"/>
        <v>6.7343957206569879E-3</v>
      </c>
      <c r="S89" s="3">
        <f t="shared" si="24"/>
        <v>0.12121912297182579</v>
      </c>
      <c r="T89" s="4">
        <f t="shared" si="25"/>
        <v>1.2121912297182579E-4</v>
      </c>
      <c r="U89" s="3">
        <f t="shared" si="26"/>
        <v>0.43638884269857287</v>
      </c>
      <c r="V89" s="2">
        <v>1.89</v>
      </c>
      <c r="W89" s="2">
        <v>1.52</v>
      </c>
      <c r="X89" s="2">
        <f t="shared" si="27"/>
        <v>15200</v>
      </c>
      <c r="Y89" s="5">
        <v>-0.55000000000000004</v>
      </c>
      <c r="Z89" s="5">
        <v>-2.14</v>
      </c>
      <c r="AA89" s="2">
        <f t="shared" si="28"/>
        <v>1.59</v>
      </c>
      <c r="AB89" s="3">
        <f t="shared" si="29"/>
        <v>0.27445839163432256</v>
      </c>
    </row>
    <row r="90" spans="1:28" x14ac:dyDescent="0.2">
      <c r="A90" t="s">
        <v>9</v>
      </c>
      <c r="B90">
        <v>1521</v>
      </c>
      <c r="C90">
        <v>158</v>
      </c>
      <c r="D90">
        <v>70</v>
      </c>
      <c r="E90" t="s">
        <v>12</v>
      </c>
      <c r="F90" s="1">
        <v>45128</v>
      </c>
      <c r="G90" t="s">
        <v>8</v>
      </c>
      <c r="H90" s="2">
        <v>12.58</v>
      </c>
      <c r="I90" s="2">
        <v>47.09</v>
      </c>
      <c r="J90" s="2">
        <v>41.61</v>
      </c>
      <c r="K90" s="2">
        <f t="shared" si="30"/>
        <v>320.24</v>
      </c>
      <c r="L90" s="2">
        <v>6.7</v>
      </c>
      <c r="M90" s="2">
        <v>0.13</v>
      </c>
      <c r="N90" s="6">
        <f t="shared" si="21"/>
        <v>8.0407073980419259</v>
      </c>
      <c r="O90" s="6">
        <f t="shared" si="22"/>
        <v>1.3436398321067822</v>
      </c>
      <c r="P90" s="6">
        <f t="shared" si="23"/>
        <v>97.299419936090686</v>
      </c>
      <c r="Q90" s="6">
        <f t="shared" si="31"/>
        <v>8.9478311807348749</v>
      </c>
      <c r="R90" s="10">
        <f t="shared" si="32"/>
        <v>8.9478311807348748E-3</v>
      </c>
      <c r="S90" s="3">
        <f t="shared" si="24"/>
        <v>0.16106096125322775</v>
      </c>
      <c r="T90" s="4">
        <f t="shared" si="25"/>
        <v>1.6106096125322774E-4</v>
      </c>
      <c r="U90" s="3">
        <f t="shared" si="26"/>
        <v>0.57981946051161981</v>
      </c>
      <c r="V90" s="2">
        <v>1.25</v>
      </c>
      <c r="W90" s="2">
        <v>0.24</v>
      </c>
      <c r="X90" s="2">
        <f t="shared" si="27"/>
        <v>2400</v>
      </c>
      <c r="Y90" s="5">
        <v>-0.54</v>
      </c>
      <c r="Z90" s="5">
        <v>-1.9</v>
      </c>
      <c r="AA90" s="2">
        <f t="shared" si="28"/>
        <v>1.3599999999999999</v>
      </c>
      <c r="AB90" s="3">
        <f t="shared" si="29"/>
        <v>0.42633783861148522</v>
      </c>
    </row>
    <row r="91" spans="1:28" x14ac:dyDescent="0.2">
      <c r="A91" t="s">
        <v>9</v>
      </c>
      <c r="B91">
        <v>1521</v>
      </c>
      <c r="C91">
        <v>158</v>
      </c>
      <c r="D91">
        <v>73</v>
      </c>
      <c r="E91" t="s">
        <v>12</v>
      </c>
      <c r="F91" s="1">
        <v>45128</v>
      </c>
      <c r="G91" t="s">
        <v>8</v>
      </c>
      <c r="H91" s="2">
        <v>14.58</v>
      </c>
      <c r="I91" s="2">
        <v>46.65</v>
      </c>
      <c r="J91" s="2">
        <v>41.68</v>
      </c>
      <c r="K91" s="2">
        <f t="shared" si="30"/>
        <v>319.79999999999995</v>
      </c>
      <c r="L91" s="2">
        <v>6.55</v>
      </c>
      <c r="M91" s="2">
        <v>0.15</v>
      </c>
      <c r="N91" s="6">
        <f t="shared" si="21"/>
        <v>8.0704826480725345</v>
      </c>
      <c r="O91" s="6">
        <f t="shared" si="22"/>
        <v>1.5227640069917194</v>
      </c>
      <c r="P91" s="6">
        <f t="shared" si="23"/>
        <v>97.293992963183911</v>
      </c>
      <c r="Q91" s="6">
        <f t="shared" si="31"/>
        <v>10.094742401350215</v>
      </c>
      <c r="R91" s="10">
        <f t="shared" si="32"/>
        <v>1.0094742401350216E-2</v>
      </c>
      <c r="S91" s="3">
        <f t="shared" si="24"/>
        <v>0.18170536322430389</v>
      </c>
      <c r="T91" s="4">
        <f t="shared" si="25"/>
        <v>1.817053632243039E-4</v>
      </c>
      <c r="U91" s="3">
        <f t="shared" si="26"/>
        <v>0.65413930760749406</v>
      </c>
      <c r="V91" s="2">
        <v>1.75</v>
      </c>
      <c r="W91" s="2">
        <v>0.39</v>
      </c>
      <c r="X91" s="2">
        <f t="shared" si="27"/>
        <v>3900</v>
      </c>
      <c r="Y91" s="5">
        <v>-0.5</v>
      </c>
      <c r="Z91" s="5">
        <v>-2.19</v>
      </c>
      <c r="AA91" s="2">
        <f t="shared" si="28"/>
        <v>1.69</v>
      </c>
      <c r="AB91" s="3">
        <f t="shared" si="29"/>
        <v>0.38706467905768882</v>
      </c>
    </row>
    <row r="92" spans="1:28" x14ac:dyDescent="0.2">
      <c r="A92" t="s">
        <v>9</v>
      </c>
      <c r="B92">
        <v>1521</v>
      </c>
      <c r="C92">
        <v>158</v>
      </c>
      <c r="D92">
        <v>81</v>
      </c>
      <c r="E92" t="s">
        <v>12</v>
      </c>
      <c r="F92" s="1">
        <v>45128</v>
      </c>
      <c r="G92" t="s">
        <v>8</v>
      </c>
      <c r="H92" s="2">
        <v>11.99</v>
      </c>
      <c r="I92" s="2">
        <v>47.03</v>
      </c>
      <c r="J92" s="2">
        <v>43.39</v>
      </c>
      <c r="K92" s="2">
        <f t="shared" si="30"/>
        <v>320.17999999999995</v>
      </c>
      <c r="L92" s="2">
        <v>7.54</v>
      </c>
      <c r="M92" s="2">
        <v>7.0000000000000007E-2</v>
      </c>
      <c r="N92" s="6">
        <f t="shared" si="21"/>
        <v>8.8281153402939019</v>
      </c>
      <c r="O92" s="6">
        <f t="shared" si="22"/>
        <v>1.2767231481383499</v>
      </c>
      <c r="P92" s="6">
        <f t="shared" si="23"/>
        <v>97.298680754829448</v>
      </c>
      <c r="Q92" s="6">
        <f t="shared" si="31"/>
        <v>5.432729913192083</v>
      </c>
      <c r="R92" s="10">
        <f t="shared" si="32"/>
        <v>5.4327299131920826E-3</v>
      </c>
      <c r="S92" s="3">
        <f t="shared" si="24"/>
        <v>9.7789138437457485E-2</v>
      </c>
      <c r="T92" s="4">
        <f t="shared" si="25"/>
        <v>9.7789138437457483E-5</v>
      </c>
      <c r="U92" s="3">
        <f t="shared" si="26"/>
        <v>0.35204089837484692</v>
      </c>
      <c r="V92" s="2">
        <v>0.53</v>
      </c>
      <c r="W92" s="2">
        <v>0.2</v>
      </c>
      <c r="X92" s="2">
        <f t="shared" si="27"/>
        <v>2000</v>
      </c>
      <c r="Y92" s="5">
        <v>-0.78</v>
      </c>
      <c r="Z92" s="5">
        <v>-2.31</v>
      </c>
      <c r="AA92" s="2">
        <f t="shared" si="28"/>
        <v>1.53</v>
      </c>
      <c r="AB92" s="3">
        <f t="shared" si="29"/>
        <v>0.23009209044107642</v>
      </c>
    </row>
    <row r="93" spans="1:28" x14ac:dyDescent="0.2">
      <c r="A93" t="s">
        <v>10</v>
      </c>
      <c r="B93">
        <v>666</v>
      </c>
      <c r="C93">
        <v>101</v>
      </c>
      <c r="D93">
        <v>1</v>
      </c>
      <c r="E93" t="s">
        <v>12</v>
      </c>
      <c r="F93" s="1">
        <v>45127</v>
      </c>
      <c r="G93" t="s">
        <v>8</v>
      </c>
      <c r="H93" s="2">
        <v>11.01</v>
      </c>
      <c r="I93" s="2">
        <v>47.83</v>
      </c>
      <c r="J93" s="2">
        <v>40.630000000000003</v>
      </c>
      <c r="K93" s="2">
        <f t="shared" si="30"/>
        <v>320.97999999999996</v>
      </c>
      <c r="L93" s="2">
        <v>6.42</v>
      </c>
      <c r="M93" s="2">
        <v>0.21</v>
      </c>
      <c r="N93" s="6">
        <f t="shared" si="21"/>
        <v>7.6337329991210687</v>
      </c>
      <c r="O93" s="6">
        <f t="shared" si="22"/>
        <v>1.2209053683220383</v>
      </c>
      <c r="P93" s="6">
        <f t="shared" si="23"/>
        <v>97.308514242669133</v>
      </c>
      <c r="Q93" s="6">
        <f t="shared" si="31"/>
        <v>13.839424154698275</v>
      </c>
      <c r="R93" s="10">
        <f t="shared" si="32"/>
        <v>1.3839424154698274E-2</v>
      </c>
      <c r="S93" s="3">
        <f t="shared" si="24"/>
        <v>0.24910963478456893</v>
      </c>
      <c r="T93" s="4">
        <f t="shared" si="25"/>
        <v>2.4910963478456895E-4</v>
      </c>
      <c r="U93" s="3">
        <f t="shared" si="26"/>
        <v>0.89679468522444816</v>
      </c>
      <c r="V93" s="2">
        <v>5.47</v>
      </c>
      <c r="W93" s="2">
        <v>1.21</v>
      </c>
      <c r="X93" s="2">
        <f t="shared" si="27"/>
        <v>12100</v>
      </c>
      <c r="Y93" s="5">
        <v>-0.39</v>
      </c>
      <c r="Z93" s="5">
        <v>-2.36</v>
      </c>
      <c r="AA93" s="2">
        <f t="shared" si="28"/>
        <v>1.9699999999999998</v>
      </c>
      <c r="AB93" s="3">
        <f t="shared" si="29"/>
        <v>0.45522572854032906</v>
      </c>
    </row>
    <row r="94" spans="1:28" x14ac:dyDescent="0.2">
      <c r="A94" t="s">
        <v>10</v>
      </c>
      <c r="B94">
        <v>666</v>
      </c>
      <c r="C94">
        <v>101</v>
      </c>
      <c r="D94">
        <v>2</v>
      </c>
      <c r="E94" t="s">
        <v>12</v>
      </c>
      <c r="F94" s="1">
        <v>45127</v>
      </c>
      <c r="G94" t="s">
        <v>8</v>
      </c>
      <c r="H94" s="2">
        <v>10.97</v>
      </c>
      <c r="I94" s="2">
        <v>47.73</v>
      </c>
      <c r="J94" s="2">
        <v>39.96</v>
      </c>
      <c r="K94" s="2">
        <f t="shared" si="30"/>
        <v>320.88</v>
      </c>
      <c r="L94" s="2">
        <v>6.15</v>
      </c>
      <c r="M94" s="2">
        <v>0.25</v>
      </c>
      <c r="N94" s="6">
        <f t="shared" si="21"/>
        <v>7.3658787486738504</v>
      </c>
      <c r="O94" s="6">
        <f t="shared" si="22"/>
        <v>1.2103319826236316</v>
      </c>
      <c r="P94" s="6">
        <f t="shared" si="23"/>
        <v>97.307287683913586</v>
      </c>
      <c r="Q94" s="6">
        <f t="shared" si="31"/>
        <v>15.814711602191299</v>
      </c>
      <c r="R94" s="10">
        <f t="shared" si="32"/>
        <v>1.5814711602191299E-2</v>
      </c>
      <c r="S94" s="3">
        <f t="shared" si="24"/>
        <v>0.2846648088394434</v>
      </c>
      <c r="T94" s="4">
        <f t="shared" si="25"/>
        <v>2.846648088394434E-4</v>
      </c>
      <c r="U94" s="3">
        <f t="shared" si="26"/>
        <v>1.0247933118219963</v>
      </c>
      <c r="V94" s="2">
        <v>6.42</v>
      </c>
      <c r="W94" s="2">
        <v>1.41</v>
      </c>
      <c r="X94" s="2">
        <f t="shared" si="27"/>
        <v>14100</v>
      </c>
      <c r="Y94" s="5">
        <v>-0.33</v>
      </c>
      <c r="Z94" s="5">
        <v>-2.36</v>
      </c>
      <c r="AA94" s="2">
        <f t="shared" si="28"/>
        <v>2.0299999999999998</v>
      </c>
      <c r="AB94" s="3">
        <f t="shared" si="29"/>
        <v>0.50482429153792929</v>
      </c>
    </row>
    <row r="95" spans="1:28" x14ac:dyDescent="0.2">
      <c r="A95" t="s">
        <v>10</v>
      </c>
      <c r="B95">
        <v>666</v>
      </c>
      <c r="C95">
        <v>101</v>
      </c>
      <c r="D95">
        <v>3</v>
      </c>
      <c r="E95" t="s">
        <v>12</v>
      </c>
      <c r="F95" s="1">
        <v>45127</v>
      </c>
      <c r="G95" t="s">
        <v>8</v>
      </c>
      <c r="H95" s="2">
        <v>10.91</v>
      </c>
      <c r="I95" s="2">
        <v>48.08</v>
      </c>
      <c r="J95" s="2">
        <v>41.13</v>
      </c>
      <c r="K95" s="2">
        <f t="shared" si="30"/>
        <v>321.22999999999996</v>
      </c>
      <c r="L95" s="2">
        <v>6.61</v>
      </c>
      <c r="M95" s="2">
        <v>0.21</v>
      </c>
      <c r="N95" s="6">
        <f t="shared" si="21"/>
        <v>7.8390849552593371</v>
      </c>
      <c r="O95" s="6">
        <f t="shared" si="22"/>
        <v>1.2251938013306276</v>
      </c>
      <c r="P95" s="6">
        <f t="shared" si="23"/>
        <v>97.311577366043522</v>
      </c>
      <c r="Q95" s="6">
        <f t="shared" si="31"/>
        <v>14.272886946437332</v>
      </c>
      <c r="R95" s="10">
        <f t="shared" si="32"/>
        <v>1.4272886946437332E-2</v>
      </c>
      <c r="S95" s="3">
        <f t="shared" si="24"/>
        <v>0.25691196503587199</v>
      </c>
      <c r="T95" s="4">
        <f t="shared" si="25"/>
        <v>2.5691196503587198E-4</v>
      </c>
      <c r="U95" s="3">
        <f t="shared" si="26"/>
        <v>0.92488307412913917</v>
      </c>
      <c r="V95" s="2">
        <v>5.07</v>
      </c>
      <c r="W95" s="2">
        <v>1.03</v>
      </c>
      <c r="X95" s="2">
        <f t="shared" si="27"/>
        <v>10300</v>
      </c>
      <c r="Y95" s="5">
        <v>-0.38</v>
      </c>
      <c r="Z95" s="5">
        <v>-1.81</v>
      </c>
      <c r="AA95" s="2">
        <f t="shared" si="28"/>
        <v>1.4300000000000002</v>
      </c>
      <c r="AB95" s="3">
        <f t="shared" si="29"/>
        <v>0.64677138050988747</v>
      </c>
    </row>
    <row r="96" spans="1:28" x14ac:dyDescent="0.2">
      <c r="A96" t="s">
        <v>10</v>
      </c>
      <c r="B96">
        <v>666</v>
      </c>
      <c r="C96">
        <v>105</v>
      </c>
      <c r="D96">
        <v>7</v>
      </c>
      <c r="E96" t="s">
        <v>12</v>
      </c>
      <c r="F96" s="1">
        <v>45127</v>
      </c>
      <c r="G96" t="s">
        <v>8</v>
      </c>
      <c r="H96" s="2">
        <v>11.7</v>
      </c>
      <c r="I96" s="2">
        <v>47.57</v>
      </c>
      <c r="J96" s="2">
        <v>41.77</v>
      </c>
      <c r="K96" s="2">
        <f t="shared" si="30"/>
        <v>320.71999999999997</v>
      </c>
      <c r="L96" s="2">
        <v>6.83</v>
      </c>
      <c r="M96" s="2">
        <v>0.15</v>
      </c>
      <c r="N96" s="6">
        <f t="shared" si="21"/>
        <v>8.1089053765454047</v>
      </c>
      <c r="O96" s="6">
        <f t="shared" si="22"/>
        <v>1.2804590460239569</v>
      </c>
      <c r="P96" s="6">
        <f t="shared" si="23"/>
        <v>97.305323631158018</v>
      </c>
      <c r="Q96" s="6">
        <f t="shared" si="31"/>
        <v>10.526319746499849</v>
      </c>
      <c r="R96" s="10">
        <f t="shared" si="32"/>
        <v>1.0526319746499849E-2</v>
      </c>
      <c r="S96" s="3">
        <f t="shared" si="24"/>
        <v>0.18947375543699729</v>
      </c>
      <c r="T96" s="4">
        <f t="shared" si="25"/>
        <v>1.8947375543699731E-4</v>
      </c>
      <c r="U96" s="3">
        <f t="shared" si="26"/>
        <v>0.68210551957319032</v>
      </c>
      <c r="V96" s="2">
        <v>3.34</v>
      </c>
      <c r="W96" s="2">
        <v>0.91</v>
      </c>
      <c r="X96" s="2">
        <f t="shared" si="27"/>
        <v>9100</v>
      </c>
      <c r="Y96" s="5">
        <v>-0.48</v>
      </c>
      <c r="Z96" s="5">
        <v>-2.17</v>
      </c>
      <c r="AA96" s="2">
        <f t="shared" si="28"/>
        <v>1.69</v>
      </c>
      <c r="AB96" s="3">
        <f t="shared" si="29"/>
        <v>0.40361273347526055</v>
      </c>
    </row>
    <row r="97" spans="1:28" x14ac:dyDescent="0.2">
      <c r="A97" t="s">
        <v>10</v>
      </c>
      <c r="B97">
        <v>666</v>
      </c>
      <c r="C97">
        <v>105</v>
      </c>
      <c r="D97">
        <v>8</v>
      </c>
      <c r="E97" t="s">
        <v>12</v>
      </c>
      <c r="F97" s="1">
        <v>45127</v>
      </c>
      <c r="G97" t="s">
        <v>8</v>
      </c>
      <c r="H97" s="2">
        <v>11.85</v>
      </c>
      <c r="I97" s="2">
        <v>46.81</v>
      </c>
      <c r="J97" s="2">
        <v>40.909999999999997</v>
      </c>
      <c r="K97" s="2">
        <f t="shared" si="30"/>
        <v>319.95999999999998</v>
      </c>
      <c r="L97" s="2">
        <v>6.5</v>
      </c>
      <c r="M97" s="2">
        <v>0.16</v>
      </c>
      <c r="N97" s="6">
        <f t="shared" si="21"/>
        <v>7.7481480659930151</v>
      </c>
      <c r="O97" s="6">
        <f t="shared" si="22"/>
        <v>1.2477684961311923</v>
      </c>
      <c r="P97" s="6">
        <f t="shared" si="23"/>
        <v>97.295968099820712</v>
      </c>
      <c r="Q97" s="6">
        <f t="shared" si="31"/>
        <v>10.689659103970703</v>
      </c>
      <c r="R97" s="10">
        <f t="shared" si="32"/>
        <v>1.0689659103970703E-2</v>
      </c>
      <c r="S97" s="3">
        <f t="shared" si="24"/>
        <v>0.19241386387147263</v>
      </c>
      <c r="T97" s="4">
        <f t="shared" si="25"/>
        <v>1.9241386387147262E-4</v>
      </c>
      <c r="U97" s="3">
        <f t="shared" si="26"/>
        <v>0.6926899099373014</v>
      </c>
      <c r="V97" s="2">
        <v>2.64</v>
      </c>
      <c r="W97" s="2">
        <v>0.69</v>
      </c>
      <c r="X97" s="2">
        <f t="shared" si="27"/>
        <v>6899.9999999999991</v>
      </c>
      <c r="Y97" s="5">
        <v>-0.51</v>
      </c>
      <c r="Z97" s="5">
        <v>-2.2799999999999998</v>
      </c>
      <c r="AA97" s="2">
        <f t="shared" si="28"/>
        <v>1.7699999999999998</v>
      </c>
      <c r="AB97" s="3">
        <f t="shared" si="29"/>
        <v>0.3913502316029952</v>
      </c>
    </row>
    <row r="98" spans="1:28" x14ac:dyDescent="0.2">
      <c r="A98" t="s">
        <v>10</v>
      </c>
      <c r="B98">
        <v>666</v>
      </c>
      <c r="C98">
        <v>105</v>
      </c>
      <c r="D98">
        <v>9</v>
      </c>
      <c r="E98" t="s">
        <v>12</v>
      </c>
      <c r="F98" s="1">
        <v>45128</v>
      </c>
      <c r="G98" t="s">
        <v>8</v>
      </c>
      <c r="H98" s="2">
        <v>16.329999999999998</v>
      </c>
      <c r="I98" s="2">
        <v>45.49</v>
      </c>
      <c r="J98" s="2">
        <v>42.03</v>
      </c>
      <c r="K98" s="2">
        <f t="shared" si="30"/>
        <v>318.64</v>
      </c>
      <c r="L98" s="2">
        <v>6.61</v>
      </c>
      <c r="M98" s="2">
        <v>0.08</v>
      </c>
      <c r="N98" s="6">
        <f t="shared" si="21"/>
        <v>8.2207955000124855</v>
      </c>
      <c r="O98" s="6">
        <f t="shared" si="22"/>
        <v>1.6072140686715684</v>
      </c>
      <c r="P98" s="6">
        <f t="shared" si="23"/>
        <v>97.279615109938774</v>
      </c>
      <c r="Q98" s="6">
        <f t="shared" si="31"/>
        <v>5.438822037991577</v>
      </c>
      <c r="R98" s="10">
        <f t="shared" si="32"/>
        <v>5.4388220379915772E-3</v>
      </c>
      <c r="S98" s="3">
        <f t="shared" si="24"/>
        <v>9.7898796683848391E-2</v>
      </c>
      <c r="T98" s="4">
        <f t="shared" si="25"/>
        <v>9.7898796683848385E-5</v>
      </c>
      <c r="U98" s="3">
        <f t="shared" si="26"/>
        <v>0.35243566806185417</v>
      </c>
      <c r="V98" s="2">
        <v>5.01</v>
      </c>
      <c r="W98" s="2">
        <v>1.0900000000000001</v>
      </c>
      <c r="X98" s="2">
        <f t="shared" si="27"/>
        <v>10900</v>
      </c>
      <c r="Y98" s="5">
        <v>-0.97</v>
      </c>
      <c r="Z98" s="5">
        <v>-2.34</v>
      </c>
      <c r="AA98" s="2">
        <f t="shared" si="28"/>
        <v>1.3699999999999999</v>
      </c>
      <c r="AB98" s="3">
        <f t="shared" si="29"/>
        <v>0.25725231245390817</v>
      </c>
    </row>
    <row r="99" spans="1:28" x14ac:dyDescent="0.2">
      <c r="A99" t="s">
        <v>10</v>
      </c>
      <c r="B99">
        <v>666</v>
      </c>
      <c r="C99">
        <v>118</v>
      </c>
      <c r="D99">
        <v>10</v>
      </c>
      <c r="E99" t="s">
        <v>12</v>
      </c>
      <c r="F99" s="1">
        <v>45128</v>
      </c>
      <c r="G99" t="s">
        <v>8</v>
      </c>
      <c r="H99" s="2">
        <v>12.42</v>
      </c>
      <c r="I99" s="2">
        <v>47.09</v>
      </c>
      <c r="J99" s="2">
        <v>41.49</v>
      </c>
      <c r="K99" s="2">
        <f t="shared" si="30"/>
        <v>320.24</v>
      </c>
      <c r="L99" s="2">
        <v>6.66</v>
      </c>
      <c r="M99" s="2">
        <v>0.13</v>
      </c>
      <c r="N99" s="6">
        <f t="shared" ref="N99:N122" si="33">0.611*EXP((17.502*J99)/(240.97+J99))</f>
        <v>7.9898854088269564</v>
      </c>
      <c r="O99" s="6">
        <f t="shared" ref="O99:O122" si="34">(0.611*EXP((17.502*I99)/(240.97+I99)))*(H99/100)</f>
        <v>1.3265506132564577</v>
      </c>
      <c r="P99" s="6">
        <f t="shared" ref="P99:P122" si="35">101.325*EXP(-380/(29.27*K99))</f>
        <v>97.299419936090686</v>
      </c>
      <c r="Q99" s="6">
        <f t="shared" si="31"/>
        <v>8.9027614346841357</v>
      </c>
      <c r="R99" s="10">
        <f t="shared" si="32"/>
        <v>8.9027614346841363E-3</v>
      </c>
      <c r="S99" s="3">
        <f t="shared" ref="S99:S122" si="36">R99*18</f>
        <v>0.16024970582431444</v>
      </c>
      <c r="T99" s="4">
        <f t="shared" ref="T99:T122" si="37">S99/1000</f>
        <v>1.6024970582431444E-4</v>
      </c>
      <c r="U99" s="3">
        <f t="shared" ref="U99:U122" si="38">T99*3600</f>
        <v>0.57689894096753203</v>
      </c>
      <c r="V99" s="2">
        <v>3.56</v>
      </c>
      <c r="W99" s="6">
        <v>1</v>
      </c>
      <c r="X99" s="2">
        <f t="shared" ref="X99:X122" si="39">W99*10000</f>
        <v>10000</v>
      </c>
      <c r="Y99" s="5">
        <v>-0.43</v>
      </c>
      <c r="Z99" s="5">
        <v>-1.96</v>
      </c>
      <c r="AA99" s="2">
        <f t="shared" ref="AA99:AA122" si="40">Y99-Z99</f>
        <v>1.53</v>
      </c>
      <c r="AB99" s="3">
        <f t="shared" ref="AB99:AB122" si="41">U99/AA99</f>
        <v>0.3770581313513281</v>
      </c>
    </row>
    <row r="100" spans="1:28" x14ac:dyDescent="0.2">
      <c r="A100" t="s">
        <v>10</v>
      </c>
      <c r="B100">
        <v>666</v>
      </c>
      <c r="C100">
        <v>118</v>
      </c>
      <c r="D100">
        <v>11</v>
      </c>
      <c r="E100" t="s">
        <v>12</v>
      </c>
      <c r="F100" s="1">
        <v>45128</v>
      </c>
      <c r="G100" t="s">
        <v>8</v>
      </c>
      <c r="H100" s="2">
        <v>14.7</v>
      </c>
      <c r="I100" s="2">
        <v>46.38</v>
      </c>
      <c r="J100" s="2">
        <v>43.5</v>
      </c>
      <c r="K100" s="2">
        <f t="shared" si="30"/>
        <v>319.52999999999997</v>
      </c>
      <c r="L100" s="2">
        <v>7.36</v>
      </c>
      <c r="M100" s="2">
        <v>0.06</v>
      </c>
      <c r="N100" s="6">
        <f t="shared" si="33"/>
        <v>8.8788906184714058</v>
      </c>
      <c r="O100" s="6">
        <f t="shared" si="34"/>
        <v>1.5142888778080166</v>
      </c>
      <c r="P100" s="6">
        <f t="shared" si="35"/>
        <v>97.290655525864139</v>
      </c>
      <c r="Q100" s="6">
        <f t="shared" si="31"/>
        <v>4.541814443035932</v>
      </c>
      <c r="R100" s="10">
        <f t="shared" ref="R100:R122" si="42">Q100/1000</f>
        <v>4.5418144430359316E-3</v>
      </c>
      <c r="S100" s="3">
        <f t="shared" si="36"/>
        <v>8.1752659974646771E-2</v>
      </c>
      <c r="T100" s="4">
        <f t="shared" si="37"/>
        <v>8.1752659974646777E-5</v>
      </c>
      <c r="U100" s="3">
        <f t="shared" si="38"/>
        <v>0.29430957590872842</v>
      </c>
      <c r="V100" s="2">
        <v>3.32</v>
      </c>
      <c r="W100" s="2">
        <v>0.91</v>
      </c>
      <c r="X100" s="2">
        <f t="shared" si="39"/>
        <v>9100</v>
      </c>
      <c r="Y100" s="5">
        <v>-0.77</v>
      </c>
      <c r="Z100" s="5">
        <v>-1.83</v>
      </c>
      <c r="AA100" s="2">
        <f t="shared" si="40"/>
        <v>1.06</v>
      </c>
      <c r="AB100" s="3">
        <f t="shared" si="41"/>
        <v>0.27765054331012112</v>
      </c>
    </row>
    <row r="101" spans="1:28" x14ac:dyDescent="0.2">
      <c r="A101" t="s">
        <v>10</v>
      </c>
      <c r="B101">
        <v>666</v>
      </c>
      <c r="C101">
        <v>118</v>
      </c>
      <c r="D101">
        <v>12</v>
      </c>
      <c r="E101" t="s">
        <v>12</v>
      </c>
      <c r="F101" s="1">
        <v>45127</v>
      </c>
      <c r="G101" t="s">
        <v>8</v>
      </c>
      <c r="H101" s="2">
        <v>10.42</v>
      </c>
      <c r="I101" s="2">
        <v>48</v>
      </c>
      <c r="J101" s="2">
        <v>41.98</v>
      </c>
      <c r="K101" s="2">
        <f t="shared" si="30"/>
        <v>321.14999999999998</v>
      </c>
      <c r="L101" s="2">
        <v>7.04</v>
      </c>
      <c r="M101" s="2">
        <v>0.12</v>
      </c>
      <c r="N101" s="6">
        <f t="shared" si="33"/>
        <v>8.199174954258817</v>
      </c>
      <c r="O101" s="6">
        <f t="shared" si="34"/>
        <v>1.1654495486510605</v>
      </c>
      <c r="P101" s="6">
        <f t="shared" si="35"/>
        <v>97.310597674942343</v>
      </c>
      <c r="Q101" s="6">
        <f t="shared" si="31"/>
        <v>8.6737423141968257</v>
      </c>
      <c r="R101" s="10">
        <f t="shared" si="42"/>
        <v>8.6737423141968265E-3</v>
      </c>
      <c r="S101" s="3">
        <f t="shared" si="36"/>
        <v>0.15612736165554286</v>
      </c>
      <c r="T101" s="4">
        <f t="shared" si="37"/>
        <v>1.5612736165554285E-4</v>
      </c>
      <c r="U101" s="3">
        <f t="shared" si="38"/>
        <v>0.56205850195995422</v>
      </c>
      <c r="V101" s="2">
        <v>1.61</v>
      </c>
      <c r="W101" s="2">
        <v>0.5</v>
      </c>
      <c r="X101" s="2">
        <f t="shared" si="39"/>
        <v>5000</v>
      </c>
      <c r="Y101" s="5">
        <v>-0.44</v>
      </c>
      <c r="Z101" s="5">
        <v>-2.02</v>
      </c>
      <c r="AA101" s="2">
        <f t="shared" si="40"/>
        <v>1.58</v>
      </c>
      <c r="AB101" s="3">
        <f t="shared" si="41"/>
        <v>0.35573322908857863</v>
      </c>
    </row>
    <row r="102" spans="1:28" x14ac:dyDescent="0.2">
      <c r="A102" t="s">
        <v>10</v>
      </c>
      <c r="B102">
        <v>666</v>
      </c>
      <c r="C102">
        <v>122</v>
      </c>
      <c r="D102">
        <v>16</v>
      </c>
      <c r="E102" t="s">
        <v>12</v>
      </c>
      <c r="F102" s="1">
        <v>45128</v>
      </c>
      <c r="G102" t="s">
        <v>8</v>
      </c>
      <c r="H102" s="2">
        <v>14.21</v>
      </c>
      <c r="I102" s="2">
        <v>46.72</v>
      </c>
      <c r="J102" s="2">
        <v>41.6</v>
      </c>
      <c r="K102" s="2">
        <f t="shared" si="30"/>
        <v>319.87</v>
      </c>
      <c r="L102" s="2">
        <v>6.54</v>
      </c>
      <c r="M102" s="2">
        <v>0.13</v>
      </c>
      <c r="N102" s="6">
        <f t="shared" si="33"/>
        <v>8.0364615665392822</v>
      </c>
      <c r="O102" s="6">
        <f t="shared" si="34"/>
        <v>1.4894250312584658</v>
      </c>
      <c r="P102" s="6">
        <f t="shared" si="35"/>
        <v>97.29485732366166</v>
      </c>
      <c r="Q102" s="6">
        <f t="shared" si="31"/>
        <v>8.7477876323430195</v>
      </c>
      <c r="R102" s="10">
        <f t="shared" si="42"/>
        <v>8.7477876323430199E-3</v>
      </c>
      <c r="S102" s="3">
        <f t="shared" si="36"/>
        <v>0.15746017738217435</v>
      </c>
      <c r="T102" s="4">
        <f t="shared" si="37"/>
        <v>1.5746017738217435E-4</v>
      </c>
      <c r="U102" s="3">
        <f t="shared" si="38"/>
        <v>0.56685663857582769</v>
      </c>
      <c r="V102" s="2">
        <v>7.05</v>
      </c>
      <c r="W102" s="2">
        <v>2.21</v>
      </c>
      <c r="X102" s="2">
        <f t="shared" si="39"/>
        <v>22100</v>
      </c>
      <c r="Y102" s="5">
        <v>-0.51</v>
      </c>
      <c r="Z102" s="5">
        <v>-2.23</v>
      </c>
      <c r="AA102" s="2">
        <f t="shared" si="40"/>
        <v>1.72</v>
      </c>
      <c r="AB102" s="3">
        <f t="shared" si="41"/>
        <v>0.32956781312548122</v>
      </c>
    </row>
    <row r="103" spans="1:28" x14ac:dyDescent="0.2">
      <c r="A103" t="s">
        <v>10</v>
      </c>
      <c r="B103">
        <v>666</v>
      </c>
      <c r="C103">
        <v>122</v>
      </c>
      <c r="D103">
        <v>17</v>
      </c>
      <c r="E103" t="s">
        <v>12</v>
      </c>
      <c r="F103" s="1">
        <v>45128</v>
      </c>
      <c r="G103" t="s">
        <v>8</v>
      </c>
      <c r="H103" s="2">
        <v>13.63</v>
      </c>
      <c r="I103" s="2">
        <v>46.83</v>
      </c>
      <c r="J103" s="2">
        <v>42.85</v>
      </c>
      <c r="K103" s="2">
        <f t="shared" si="30"/>
        <v>319.97999999999996</v>
      </c>
      <c r="L103" s="2">
        <v>7.14</v>
      </c>
      <c r="M103" s="2">
        <v>0.09</v>
      </c>
      <c r="N103" s="6">
        <f t="shared" si="33"/>
        <v>8.5824817431530942</v>
      </c>
      <c r="O103" s="6">
        <f t="shared" si="34"/>
        <v>1.4366593985905742</v>
      </c>
      <c r="P103" s="6">
        <f t="shared" si="35"/>
        <v>97.296214855832346</v>
      </c>
      <c r="Q103" s="6">
        <f t="shared" si="31"/>
        <v>6.6099592051301181</v>
      </c>
      <c r="R103" s="10">
        <f t="shared" si="42"/>
        <v>6.6099592051301181E-3</v>
      </c>
      <c r="S103" s="3">
        <f t="shared" si="36"/>
        <v>0.11897926569234213</v>
      </c>
      <c r="T103" s="4">
        <f t="shared" si="37"/>
        <v>1.1897926569234212E-4</v>
      </c>
      <c r="U103" s="3">
        <f t="shared" si="38"/>
        <v>0.42832535649243164</v>
      </c>
      <c r="V103" s="2">
        <v>4.82</v>
      </c>
      <c r="W103" s="2">
        <v>1.19</v>
      </c>
      <c r="X103" s="2">
        <f t="shared" si="39"/>
        <v>11900</v>
      </c>
      <c r="Y103" s="5">
        <v>-0.41</v>
      </c>
      <c r="Z103" s="5">
        <v>-2.27</v>
      </c>
      <c r="AA103" s="2">
        <f t="shared" si="40"/>
        <v>1.86</v>
      </c>
      <c r="AB103" s="3">
        <f t="shared" si="41"/>
        <v>0.23028244972711379</v>
      </c>
    </row>
    <row r="104" spans="1:28" x14ac:dyDescent="0.2">
      <c r="A104" t="s">
        <v>10</v>
      </c>
      <c r="B104">
        <v>666</v>
      </c>
      <c r="C104">
        <v>122</v>
      </c>
      <c r="D104">
        <v>18</v>
      </c>
      <c r="E104" t="s">
        <v>12</v>
      </c>
      <c r="F104" s="1">
        <v>45127</v>
      </c>
      <c r="G104" t="s">
        <v>8</v>
      </c>
      <c r="H104" s="2">
        <v>10.92</v>
      </c>
      <c r="I104" s="2">
        <v>47.88</v>
      </c>
      <c r="J104" s="2">
        <v>42.18</v>
      </c>
      <c r="K104" s="2">
        <f t="shared" si="30"/>
        <v>321.02999999999997</v>
      </c>
      <c r="L104" s="2">
        <v>7.07</v>
      </c>
      <c r="M104" s="2">
        <v>0.15</v>
      </c>
      <c r="N104" s="6">
        <f t="shared" si="33"/>
        <v>8.2859535701347617</v>
      </c>
      <c r="O104" s="6">
        <f t="shared" si="34"/>
        <v>1.2139901235303552</v>
      </c>
      <c r="P104" s="6">
        <f t="shared" si="35"/>
        <v>97.309127241288692</v>
      </c>
      <c r="Q104" s="6">
        <f t="shared" si="31"/>
        <v>10.901284874956325</v>
      </c>
      <c r="R104" s="10">
        <f t="shared" si="42"/>
        <v>1.0901284874956325E-2</v>
      </c>
      <c r="S104" s="3">
        <f t="shared" si="36"/>
        <v>0.19622312774921385</v>
      </c>
      <c r="T104" s="4">
        <f t="shared" si="37"/>
        <v>1.9622312774921386E-4</v>
      </c>
      <c r="U104" s="3">
        <f t="shared" si="38"/>
        <v>0.7064032598971699</v>
      </c>
      <c r="V104" s="2">
        <v>7.37</v>
      </c>
      <c r="W104" s="2">
        <v>1.96</v>
      </c>
      <c r="X104" s="2">
        <f t="shared" si="39"/>
        <v>19600</v>
      </c>
      <c r="Y104" s="5">
        <v>-0.37</v>
      </c>
      <c r="Z104" s="5">
        <v>-2.21</v>
      </c>
      <c r="AA104" s="2">
        <f t="shared" si="40"/>
        <v>1.8399999999999999</v>
      </c>
      <c r="AB104" s="3">
        <f t="shared" si="41"/>
        <v>0.38391481516150538</v>
      </c>
    </row>
    <row r="105" spans="1:28" x14ac:dyDescent="0.2">
      <c r="A105" t="s">
        <v>10</v>
      </c>
      <c r="B105">
        <v>666</v>
      </c>
      <c r="C105">
        <v>123</v>
      </c>
      <c r="D105">
        <v>19</v>
      </c>
      <c r="E105" t="s">
        <v>12</v>
      </c>
      <c r="F105" s="1">
        <v>45127</v>
      </c>
      <c r="G105" t="s">
        <v>8</v>
      </c>
      <c r="H105" s="2">
        <v>10.89</v>
      </c>
      <c r="I105" s="2">
        <v>47.71</v>
      </c>
      <c r="J105" s="2">
        <v>41.27</v>
      </c>
      <c r="K105" s="2">
        <f t="shared" si="30"/>
        <v>320.85999999999996</v>
      </c>
      <c r="L105" s="2">
        <v>6.7</v>
      </c>
      <c r="M105" s="2">
        <v>0.16</v>
      </c>
      <c r="N105" s="6">
        <f t="shared" si="33"/>
        <v>7.8974339967754297</v>
      </c>
      <c r="O105" s="6">
        <f t="shared" si="34"/>
        <v>1.2002900849166629</v>
      </c>
      <c r="P105" s="6">
        <f t="shared" si="35"/>
        <v>97.307042282273216</v>
      </c>
      <c r="Q105" s="6">
        <f t="shared" si="31"/>
        <v>11.011978175115182</v>
      </c>
      <c r="R105" s="10">
        <f t="shared" si="42"/>
        <v>1.1011978175115181E-2</v>
      </c>
      <c r="S105" s="3">
        <f t="shared" si="36"/>
        <v>0.19821560715207326</v>
      </c>
      <c r="T105" s="4">
        <f t="shared" si="37"/>
        <v>1.9821560715207326E-4</v>
      </c>
      <c r="U105" s="3">
        <f t="shared" si="38"/>
        <v>0.71357618574746373</v>
      </c>
      <c r="V105" s="2">
        <v>6.06</v>
      </c>
      <c r="W105" s="2">
        <v>1.55</v>
      </c>
      <c r="X105" s="2">
        <f t="shared" si="39"/>
        <v>15500</v>
      </c>
      <c r="Y105" s="5">
        <v>-0.4</v>
      </c>
      <c r="Z105" s="5">
        <v>-2.5</v>
      </c>
      <c r="AA105" s="2">
        <f t="shared" si="40"/>
        <v>2.1</v>
      </c>
      <c r="AB105" s="3">
        <f t="shared" si="41"/>
        <v>0.33979818368926845</v>
      </c>
    </row>
    <row r="106" spans="1:28" x14ac:dyDescent="0.2">
      <c r="A106" t="s">
        <v>10</v>
      </c>
      <c r="B106">
        <v>666</v>
      </c>
      <c r="C106">
        <v>123</v>
      </c>
      <c r="D106">
        <v>20</v>
      </c>
      <c r="E106" t="s">
        <v>12</v>
      </c>
      <c r="F106" s="1">
        <v>45127</v>
      </c>
      <c r="G106" t="s">
        <v>8</v>
      </c>
      <c r="H106" s="2">
        <v>14.8</v>
      </c>
      <c r="I106" s="2">
        <v>42.43</v>
      </c>
      <c r="J106" s="2">
        <v>40.28</v>
      </c>
      <c r="K106" s="2">
        <f t="shared" si="30"/>
        <v>315.58</v>
      </c>
      <c r="L106" s="2">
        <v>6.25</v>
      </c>
      <c r="M106" s="2">
        <v>0.14000000000000001</v>
      </c>
      <c r="N106" s="6">
        <f t="shared" si="33"/>
        <v>7.4927750296036466</v>
      </c>
      <c r="O106" s="6">
        <f t="shared" si="34"/>
        <v>1.2425405276505097</v>
      </c>
      <c r="P106" s="6">
        <f t="shared" si="35"/>
        <v>97.24119057730141</v>
      </c>
      <c r="Q106" s="6">
        <f t="shared" si="31"/>
        <v>8.9985820317351646</v>
      </c>
      <c r="R106" s="10">
        <f t="shared" si="42"/>
        <v>8.9985820317351646E-3</v>
      </c>
      <c r="S106" s="3">
        <f t="shared" si="36"/>
        <v>0.16197447657123296</v>
      </c>
      <c r="T106" s="4">
        <f t="shared" si="37"/>
        <v>1.6197447657123295E-4</v>
      </c>
      <c r="U106" s="3">
        <f t="shared" si="38"/>
        <v>0.58310811565643861</v>
      </c>
      <c r="V106" s="2">
        <v>5.82</v>
      </c>
      <c r="W106" s="2">
        <v>2.02</v>
      </c>
      <c r="X106" s="2">
        <f t="shared" si="39"/>
        <v>20200</v>
      </c>
      <c r="Y106" s="5">
        <v>-0.37</v>
      </c>
      <c r="Z106" s="5">
        <v>-2.59</v>
      </c>
      <c r="AA106" s="2">
        <f t="shared" si="40"/>
        <v>2.2199999999999998</v>
      </c>
      <c r="AB106" s="3">
        <f t="shared" si="41"/>
        <v>0.26266131335875614</v>
      </c>
    </row>
    <row r="107" spans="1:28" x14ac:dyDescent="0.2">
      <c r="A107" t="s">
        <v>10</v>
      </c>
      <c r="B107">
        <v>666</v>
      </c>
      <c r="C107">
        <v>123</v>
      </c>
      <c r="D107">
        <v>22</v>
      </c>
      <c r="E107" t="s">
        <v>12</v>
      </c>
      <c r="F107" s="1">
        <v>45127</v>
      </c>
      <c r="G107" t="s">
        <v>8</v>
      </c>
      <c r="H107" s="2">
        <v>11.23</v>
      </c>
      <c r="I107" s="2">
        <v>47.46</v>
      </c>
      <c r="J107" s="2">
        <v>41.53</v>
      </c>
      <c r="K107" s="2">
        <f t="shared" si="30"/>
        <v>320.60999999999996</v>
      </c>
      <c r="L107" s="2">
        <v>6.78</v>
      </c>
      <c r="M107" s="2">
        <v>0.15</v>
      </c>
      <c r="N107" s="6">
        <f t="shared" si="33"/>
        <v>8.0067950719025642</v>
      </c>
      <c r="O107" s="6">
        <f t="shared" si="34"/>
        <v>1.2221898225165222</v>
      </c>
      <c r="P107" s="6">
        <f t="shared" si="35"/>
        <v>97.30397223077523</v>
      </c>
      <c r="Q107" s="6">
        <f t="shared" si="31"/>
        <v>10.458882243720279</v>
      </c>
      <c r="R107" s="10">
        <f t="shared" si="42"/>
        <v>1.0458882243720279E-2</v>
      </c>
      <c r="S107" s="3">
        <f t="shared" si="36"/>
        <v>0.18825988038696503</v>
      </c>
      <c r="T107" s="4">
        <f t="shared" si="37"/>
        <v>1.8825988038696505E-4</v>
      </c>
      <c r="U107" s="3">
        <f t="shared" si="38"/>
        <v>0.67773556939307411</v>
      </c>
      <c r="V107" s="2">
        <v>4.78</v>
      </c>
      <c r="W107" s="2">
        <v>1.58</v>
      </c>
      <c r="X107" s="2">
        <f t="shared" si="39"/>
        <v>15800</v>
      </c>
      <c r="Y107" s="5">
        <v>-0.78</v>
      </c>
      <c r="Z107" s="5">
        <v>-2.29</v>
      </c>
      <c r="AA107" s="2">
        <f t="shared" si="40"/>
        <v>1.51</v>
      </c>
      <c r="AB107" s="3">
        <f t="shared" si="41"/>
        <v>0.44883150290932061</v>
      </c>
    </row>
    <row r="108" spans="1:28" x14ac:dyDescent="0.2">
      <c r="A108" t="s">
        <v>11</v>
      </c>
      <c r="B108">
        <v>1212</v>
      </c>
      <c r="C108">
        <v>3</v>
      </c>
      <c r="D108">
        <v>29</v>
      </c>
      <c r="E108" t="s">
        <v>12</v>
      </c>
      <c r="F108" s="1">
        <v>45127</v>
      </c>
      <c r="G108" t="s">
        <v>8</v>
      </c>
      <c r="H108" s="2">
        <v>10.98</v>
      </c>
      <c r="I108" s="2">
        <v>48.24</v>
      </c>
      <c r="J108" s="2">
        <v>41.9</v>
      </c>
      <c r="K108" s="2">
        <f t="shared" si="30"/>
        <v>321.39</v>
      </c>
      <c r="L108" s="2">
        <v>6.92</v>
      </c>
      <c r="M108" s="2">
        <v>0.12</v>
      </c>
      <c r="N108" s="6">
        <f t="shared" si="33"/>
        <v>8.1646844807333121</v>
      </c>
      <c r="O108" s="6">
        <f t="shared" si="34"/>
        <v>1.2430483784691428</v>
      </c>
      <c r="P108" s="6">
        <f t="shared" si="35"/>
        <v>97.313535314617837</v>
      </c>
      <c r="Q108" s="6">
        <f t="shared" si="31"/>
        <v>8.535260070311443</v>
      </c>
      <c r="R108" s="10">
        <f t="shared" si="42"/>
        <v>8.5352600703114435E-3</v>
      </c>
      <c r="S108" s="3">
        <f t="shared" si="36"/>
        <v>0.15363468126560598</v>
      </c>
      <c r="T108" s="4">
        <f t="shared" si="37"/>
        <v>1.5363468126560598E-4</v>
      </c>
      <c r="U108" s="3">
        <f t="shared" si="38"/>
        <v>0.55308485255618156</v>
      </c>
      <c r="V108" s="2">
        <v>8.68</v>
      </c>
      <c r="W108" s="2">
        <v>2.3199999999999998</v>
      </c>
      <c r="X108" s="2">
        <f t="shared" si="39"/>
        <v>23200</v>
      </c>
      <c r="Y108" s="5">
        <v>-0.74</v>
      </c>
      <c r="Z108" s="5">
        <v>-2.6</v>
      </c>
      <c r="AA108" s="2">
        <f t="shared" si="40"/>
        <v>1.86</v>
      </c>
      <c r="AB108" s="3">
        <f t="shared" si="41"/>
        <v>0.29735744761085031</v>
      </c>
    </row>
    <row r="109" spans="1:28" x14ac:dyDescent="0.2">
      <c r="A109" t="s">
        <v>11</v>
      </c>
      <c r="B109">
        <v>1212</v>
      </c>
      <c r="C109">
        <v>3</v>
      </c>
      <c r="D109">
        <v>30</v>
      </c>
      <c r="E109" t="s">
        <v>12</v>
      </c>
      <c r="F109" s="1">
        <v>45127</v>
      </c>
      <c r="G109" t="s">
        <v>8</v>
      </c>
      <c r="H109" s="2">
        <v>10.61</v>
      </c>
      <c r="I109" s="2">
        <v>47.76</v>
      </c>
      <c r="J109" s="2">
        <v>42.15</v>
      </c>
      <c r="K109" s="2">
        <f t="shared" si="30"/>
        <v>320.90999999999997</v>
      </c>
      <c r="L109" s="2">
        <v>7.1</v>
      </c>
      <c r="M109" s="2">
        <v>0.12</v>
      </c>
      <c r="N109" s="6">
        <f t="shared" si="33"/>
        <v>8.2728863075866315</v>
      </c>
      <c r="O109" s="6">
        <f t="shared" si="34"/>
        <v>1.1723909743272309</v>
      </c>
      <c r="P109" s="6">
        <f t="shared" si="35"/>
        <v>97.307655730181338</v>
      </c>
      <c r="Q109" s="6">
        <f t="shared" si="31"/>
        <v>8.7563453625247494</v>
      </c>
      <c r="R109" s="10">
        <f t="shared" si="42"/>
        <v>8.7563453625247485E-3</v>
      </c>
      <c r="S109" s="3">
        <f t="shared" si="36"/>
        <v>0.15761421652544547</v>
      </c>
      <c r="T109" s="4">
        <f t="shared" si="37"/>
        <v>1.5761421652544545E-4</v>
      </c>
      <c r="U109" s="3">
        <f t="shared" si="38"/>
        <v>0.56741117949160358</v>
      </c>
      <c r="V109" s="6">
        <v>7</v>
      </c>
      <c r="W109" s="2">
        <v>2.4300000000000002</v>
      </c>
      <c r="X109" s="2">
        <f t="shared" si="39"/>
        <v>24300</v>
      </c>
      <c r="Y109" s="5">
        <v>-0.47</v>
      </c>
      <c r="Z109" s="5">
        <v>-2.0299999999999998</v>
      </c>
      <c r="AA109" s="2">
        <f t="shared" si="40"/>
        <v>1.5599999999999998</v>
      </c>
      <c r="AB109" s="3">
        <f t="shared" si="41"/>
        <v>0.36372511505872029</v>
      </c>
    </row>
    <row r="110" spans="1:28" x14ac:dyDescent="0.2">
      <c r="A110" t="s">
        <v>11</v>
      </c>
      <c r="B110">
        <v>1212</v>
      </c>
      <c r="C110">
        <v>3</v>
      </c>
      <c r="D110">
        <v>31</v>
      </c>
      <c r="E110" t="s">
        <v>12</v>
      </c>
      <c r="F110" s="1">
        <v>45128</v>
      </c>
      <c r="G110" t="s">
        <v>8</v>
      </c>
      <c r="H110" s="2">
        <v>15.57</v>
      </c>
      <c r="I110" s="2">
        <v>45.94</v>
      </c>
      <c r="J110" s="2">
        <v>41.15</v>
      </c>
      <c r="K110" s="2">
        <f t="shared" si="30"/>
        <v>319.08999999999997</v>
      </c>
      <c r="L110" s="2">
        <v>6.28</v>
      </c>
      <c r="M110" s="2">
        <v>0.15</v>
      </c>
      <c r="N110" s="6">
        <f t="shared" si="33"/>
        <v>7.8473976001087875</v>
      </c>
      <c r="O110" s="6">
        <f t="shared" si="34"/>
        <v>1.568211720743502</v>
      </c>
      <c r="P110" s="6">
        <f t="shared" si="35"/>
        <v>97.285204883579311</v>
      </c>
      <c r="Q110" s="6">
        <f t="shared" si="31"/>
        <v>9.6816148255218568</v>
      </c>
      <c r="R110" s="10">
        <f t="shared" si="42"/>
        <v>9.6816148255218573E-3</v>
      </c>
      <c r="S110" s="3">
        <f t="shared" si="36"/>
        <v>0.17426906685939342</v>
      </c>
      <c r="T110" s="4">
        <f t="shared" si="37"/>
        <v>1.7426906685939341E-4</v>
      </c>
      <c r="U110" s="3">
        <f t="shared" si="38"/>
        <v>0.62736864069381626</v>
      </c>
      <c r="V110" s="2">
        <v>6.14</v>
      </c>
      <c r="W110" s="2">
        <v>1.8</v>
      </c>
      <c r="X110" s="2">
        <f t="shared" si="39"/>
        <v>18000</v>
      </c>
      <c r="Y110" s="5">
        <v>-0.76</v>
      </c>
      <c r="Z110" s="5">
        <v>-2.2000000000000002</v>
      </c>
      <c r="AA110" s="2">
        <f t="shared" si="40"/>
        <v>1.4400000000000002</v>
      </c>
      <c r="AB110" s="3">
        <f t="shared" si="41"/>
        <v>0.43567266714848346</v>
      </c>
    </row>
    <row r="111" spans="1:28" x14ac:dyDescent="0.2">
      <c r="A111" t="s">
        <v>11</v>
      </c>
      <c r="B111">
        <v>1212</v>
      </c>
      <c r="C111">
        <v>4</v>
      </c>
      <c r="D111">
        <v>32</v>
      </c>
      <c r="E111" t="s">
        <v>12</v>
      </c>
      <c r="F111" s="1">
        <v>45127</v>
      </c>
      <c r="G111" t="s">
        <v>8</v>
      </c>
      <c r="H111" s="2">
        <v>11.04</v>
      </c>
      <c r="I111" s="2">
        <v>48.34</v>
      </c>
      <c r="J111" s="2">
        <v>45.29</v>
      </c>
      <c r="K111" s="2">
        <f t="shared" si="30"/>
        <v>321.49</v>
      </c>
      <c r="L111" s="2">
        <v>8.48</v>
      </c>
      <c r="M111" s="2">
        <v>0.03</v>
      </c>
      <c r="N111" s="6">
        <f t="shared" si="33"/>
        <v>9.7413756273674714</v>
      </c>
      <c r="O111" s="6">
        <f t="shared" si="34"/>
        <v>1.256156724111215</v>
      </c>
      <c r="P111" s="6">
        <f t="shared" si="35"/>
        <v>97.314758062796827</v>
      </c>
      <c r="Q111" s="6">
        <f t="shared" si="31"/>
        <v>2.6158064014650622</v>
      </c>
      <c r="R111" s="10">
        <f t="shared" si="42"/>
        <v>2.6158064014650622E-3</v>
      </c>
      <c r="S111" s="3">
        <f t="shared" si="36"/>
        <v>4.7084515226371117E-2</v>
      </c>
      <c r="T111" s="4">
        <f t="shared" si="37"/>
        <v>4.7084515226371114E-5</v>
      </c>
      <c r="U111" s="3">
        <f t="shared" si="38"/>
        <v>0.169504254814936</v>
      </c>
      <c r="V111" s="2">
        <v>6.68</v>
      </c>
      <c r="W111" s="2">
        <v>1.44</v>
      </c>
      <c r="X111" s="2">
        <f t="shared" si="39"/>
        <v>14400</v>
      </c>
      <c r="Y111" s="5">
        <v>-0.38</v>
      </c>
      <c r="Z111" s="5">
        <v>-2.5099999999999998</v>
      </c>
      <c r="AA111" s="2">
        <f t="shared" si="40"/>
        <v>2.13</v>
      </c>
      <c r="AB111" s="3">
        <f t="shared" si="41"/>
        <v>7.9579462354430044E-2</v>
      </c>
    </row>
    <row r="112" spans="1:28" x14ac:dyDescent="0.2">
      <c r="A112" t="s">
        <v>11</v>
      </c>
      <c r="B112">
        <v>1212</v>
      </c>
      <c r="C112">
        <v>4</v>
      </c>
      <c r="D112">
        <v>33</v>
      </c>
      <c r="E112" t="s">
        <v>12</v>
      </c>
      <c r="F112" s="1">
        <v>45128</v>
      </c>
      <c r="G112" t="s">
        <v>8</v>
      </c>
      <c r="H112" s="2">
        <v>13.86</v>
      </c>
      <c r="I112" s="2">
        <v>46.68</v>
      </c>
      <c r="J112" s="2">
        <v>42.89</v>
      </c>
      <c r="K112" s="2">
        <f t="shared" si="30"/>
        <v>319.83</v>
      </c>
      <c r="L112" s="2">
        <v>7.15</v>
      </c>
      <c r="M112" s="2">
        <v>0.08</v>
      </c>
      <c r="N112" s="6">
        <f t="shared" si="33"/>
        <v>8.6004717411264195</v>
      </c>
      <c r="O112" s="6">
        <f t="shared" si="34"/>
        <v>1.4497812187646693</v>
      </c>
      <c r="P112" s="6">
        <f t="shared" si="35"/>
        <v>97.294363448777986</v>
      </c>
      <c r="Q112" s="6">
        <f t="shared" si="31"/>
        <v>5.8796339429272972</v>
      </c>
      <c r="R112" s="10">
        <f t="shared" si="42"/>
        <v>5.8796339429272974E-3</v>
      </c>
      <c r="S112" s="3">
        <f t="shared" si="36"/>
        <v>0.10583341097269136</v>
      </c>
      <c r="T112" s="4">
        <f t="shared" si="37"/>
        <v>1.0583341097269136E-4</v>
      </c>
      <c r="U112" s="3">
        <f t="shared" si="38"/>
        <v>0.38100027950168891</v>
      </c>
      <c r="V112" s="2">
        <v>14.08</v>
      </c>
      <c r="W112" s="2">
        <v>4.13</v>
      </c>
      <c r="X112" s="2">
        <f t="shared" si="39"/>
        <v>41300</v>
      </c>
      <c r="Y112" s="5">
        <v>-0.43</v>
      </c>
      <c r="Z112" s="5">
        <v>-1.73</v>
      </c>
      <c r="AA112" s="2">
        <f t="shared" si="40"/>
        <v>1.3</v>
      </c>
      <c r="AB112" s="3">
        <f t="shared" si="41"/>
        <v>0.29307713807822222</v>
      </c>
    </row>
    <row r="113" spans="1:28" x14ac:dyDescent="0.2">
      <c r="A113" t="s">
        <v>11</v>
      </c>
      <c r="B113">
        <v>1212</v>
      </c>
      <c r="C113">
        <v>4</v>
      </c>
      <c r="D113">
        <v>34</v>
      </c>
      <c r="E113" t="s">
        <v>12</v>
      </c>
      <c r="F113" s="1">
        <v>45127</v>
      </c>
      <c r="G113" t="s">
        <v>8</v>
      </c>
      <c r="H113" s="2">
        <v>10.88</v>
      </c>
      <c r="I113" s="2">
        <v>47.77</v>
      </c>
      <c r="J113" s="2">
        <v>43.78</v>
      </c>
      <c r="K113" s="2">
        <f t="shared" si="30"/>
        <v>320.91999999999996</v>
      </c>
      <c r="L113" s="2">
        <v>7.83</v>
      </c>
      <c r="M113" s="2">
        <v>0.05</v>
      </c>
      <c r="N113" s="6">
        <f t="shared" si="33"/>
        <v>9.0092783362903823</v>
      </c>
      <c r="O113" s="6">
        <f t="shared" si="34"/>
        <v>1.202833959163786</v>
      </c>
      <c r="P113" s="6">
        <f t="shared" si="35"/>
        <v>97.307778397288587</v>
      </c>
      <c r="Q113" s="6">
        <f t="shared" si="31"/>
        <v>4.0112129295843211</v>
      </c>
      <c r="R113" s="10">
        <f t="shared" si="42"/>
        <v>4.0112129295843211E-3</v>
      </c>
      <c r="S113" s="3">
        <f t="shared" si="36"/>
        <v>7.2201832732517776E-2</v>
      </c>
      <c r="T113" s="4">
        <f t="shared" si="37"/>
        <v>7.220183273251777E-5</v>
      </c>
      <c r="U113" s="3">
        <f t="shared" si="38"/>
        <v>0.25992659783706396</v>
      </c>
      <c r="V113" s="2">
        <v>4.71</v>
      </c>
      <c r="W113" s="2">
        <v>1.38</v>
      </c>
      <c r="X113" s="2">
        <f t="shared" si="39"/>
        <v>13799.999999999998</v>
      </c>
      <c r="Y113" s="5">
        <v>-0.44</v>
      </c>
      <c r="Z113" s="5">
        <v>-1.88</v>
      </c>
      <c r="AA113" s="2">
        <f t="shared" si="40"/>
        <v>1.44</v>
      </c>
      <c r="AB113" s="3">
        <f t="shared" si="41"/>
        <v>0.18050458183129442</v>
      </c>
    </row>
    <row r="114" spans="1:28" x14ac:dyDescent="0.2">
      <c r="A114" t="s">
        <v>11</v>
      </c>
      <c r="B114">
        <v>1212</v>
      </c>
      <c r="C114">
        <v>7</v>
      </c>
      <c r="D114">
        <v>36</v>
      </c>
      <c r="E114" t="s">
        <v>12</v>
      </c>
      <c r="F114" s="1">
        <v>45128</v>
      </c>
      <c r="G114" t="s">
        <v>8</v>
      </c>
      <c r="H114" s="2">
        <v>19.96</v>
      </c>
      <c r="I114" s="2">
        <v>42.43</v>
      </c>
      <c r="J114" s="2">
        <v>40.57</v>
      </c>
      <c r="K114" s="2">
        <f t="shared" si="30"/>
        <v>315.58</v>
      </c>
      <c r="L114" s="2">
        <v>5.93</v>
      </c>
      <c r="M114" s="2">
        <v>0.1</v>
      </c>
      <c r="N114" s="6">
        <f t="shared" si="33"/>
        <v>7.6094068580594749</v>
      </c>
      <c r="O114" s="6">
        <f t="shared" si="34"/>
        <v>1.6757506035070384</v>
      </c>
      <c r="P114" s="6">
        <f t="shared" si="35"/>
        <v>97.24119057730141</v>
      </c>
      <c r="Q114" s="6">
        <f t="shared" si="31"/>
        <v>6.1019987716373203</v>
      </c>
      <c r="R114" s="10">
        <f t="shared" si="42"/>
        <v>6.10199877163732E-3</v>
      </c>
      <c r="S114" s="3">
        <f t="shared" si="36"/>
        <v>0.10983597788947176</v>
      </c>
      <c r="T114" s="4">
        <f t="shared" si="37"/>
        <v>1.0983597788947176E-4</v>
      </c>
      <c r="U114" s="3">
        <f t="shared" si="38"/>
        <v>0.39540952040209831</v>
      </c>
      <c r="V114" s="2">
        <v>6.11</v>
      </c>
      <c r="W114" s="2">
        <v>0.97</v>
      </c>
      <c r="X114" s="2">
        <f t="shared" si="39"/>
        <v>9700</v>
      </c>
      <c r="Y114" s="5">
        <v>-0.72</v>
      </c>
      <c r="Z114" s="5">
        <v>-2.19</v>
      </c>
      <c r="AA114" s="2">
        <f t="shared" si="40"/>
        <v>1.47</v>
      </c>
      <c r="AB114" s="3">
        <f t="shared" si="41"/>
        <v>0.26898606830074717</v>
      </c>
    </row>
    <row r="115" spans="1:28" x14ac:dyDescent="0.2">
      <c r="A115" t="s">
        <v>11</v>
      </c>
      <c r="B115">
        <v>1212</v>
      </c>
      <c r="C115">
        <v>7</v>
      </c>
      <c r="D115">
        <v>37</v>
      </c>
      <c r="E115" t="s">
        <v>12</v>
      </c>
      <c r="F115" s="1">
        <v>45127</v>
      </c>
      <c r="G115" t="s">
        <v>8</v>
      </c>
      <c r="H115" s="2">
        <v>11.04</v>
      </c>
      <c r="I115" s="2">
        <v>47.77</v>
      </c>
      <c r="J115" s="2">
        <v>46.26</v>
      </c>
      <c r="K115" s="2">
        <f t="shared" si="30"/>
        <v>320.91999999999996</v>
      </c>
      <c r="L115" s="2">
        <v>9.01</v>
      </c>
      <c r="M115" s="2">
        <v>0.01</v>
      </c>
      <c r="N115" s="6">
        <f t="shared" si="33"/>
        <v>10.238312305588282</v>
      </c>
      <c r="O115" s="6">
        <f t="shared" si="34"/>
        <v>1.220522693857371</v>
      </c>
      <c r="P115" s="6">
        <f t="shared" si="35"/>
        <v>97.307778397288587</v>
      </c>
      <c r="Q115" s="6">
        <f t="shared" si="31"/>
        <v>0.9267285473226039</v>
      </c>
      <c r="R115" s="10">
        <f t="shared" si="42"/>
        <v>9.2672854732260394E-4</v>
      </c>
      <c r="S115" s="3">
        <f t="shared" si="36"/>
        <v>1.6681113851806872E-2</v>
      </c>
      <c r="T115" s="4">
        <f t="shared" si="37"/>
        <v>1.6681113851806873E-5</v>
      </c>
      <c r="U115" s="3">
        <f t="shared" si="38"/>
        <v>6.0052009866504746E-2</v>
      </c>
      <c r="V115" s="2">
        <v>3.68</v>
      </c>
      <c r="W115" s="2">
        <v>0.9</v>
      </c>
      <c r="X115" s="2">
        <f t="shared" si="39"/>
        <v>9000</v>
      </c>
      <c r="Y115" s="5">
        <v>-0.55000000000000004</v>
      </c>
      <c r="Z115" s="5">
        <v>-2.44</v>
      </c>
      <c r="AA115" s="2">
        <f t="shared" si="40"/>
        <v>1.89</v>
      </c>
      <c r="AB115" s="3">
        <f t="shared" si="41"/>
        <v>3.1773550193917859E-2</v>
      </c>
    </row>
    <row r="116" spans="1:28" x14ac:dyDescent="0.2">
      <c r="A116" t="s">
        <v>11</v>
      </c>
      <c r="B116">
        <v>1212</v>
      </c>
      <c r="C116">
        <v>7</v>
      </c>
      <c r="D116">
        <v>83</v>
      </c>
      <c r="E116" t="s">
        <v>12</v>
      </c>
      <c r="F116" s="1">
        <v>45127</v>
      </c>
      <c r="G116" t="s">
        <v>8</v>
      </c>
      <c r="H116" s="2">
        <v>10.84</v>
      </c>
      <c r="I116" s="2">
        <v>47.88</v>
      </c>
      <c r="J116" s="2">
        <v>43.88</v>
      </c>
      <c r="K116" s="2">
        <f t="shared" si="30"/>
        <v>321.02999999999997</v>
      </c>
      <c r="L116" s="2">
        <v>7.84</v>
      </c>
      <c r="M116" s="2">
        <v>0.09</v>
      </c>
      <c r="N116" s="6">
        <f t="shared" si="33"/>
        <v>9.0562450609917686</v>
      </c>
      <c r="O116" s="6">
        <f t="shared" si="34"/>
        <v>1.2050964229916712</v>
      </c>
      <c r="P116" s="6">
        <f t="shared" si="35"/>
        <v>97.309127241288692</v>
      </c>
      <c r="Q116" s="6">
        <f t="shared" si="31"/>
        <v>7.2614296053432676</v>
      </c>
      <c r="R116" s="10">
        <f t="shared" si="42"/>
        <v>7.2614296053432675E-3</v>
      </c>
      <c r="S116" s="3">
        <f t="shared" si="36"/>
        <v>0.13070573289617882</v>
      </c>
      <c r="T116" s="4">
        <f t="shared" si="37"/>
        <v>1.3070573289617881E-4</v>
      </c>
      <c r="U116" s="3">
        <f t="shared" si="38"/>
        <v>0.47054063842624372</v>
      </c>
      <c r="V116" s="2">
        <v>7.91</v>
      </c>
      <c r="W116" s="2">
        <v>2.14</v>
      </c>
      <c r="X116" s="2">
        <f t="shared" si="39"/>
        <v>21400</v>
      </c>
      <c r="Y116" s="5">
        <v>-0.28999999999999998</v>
      </c>
      <c r="Z116" s="5">
        <v>-2.44</v>
      </c>
      <c r="AA116" s="2">
        <f t="shared" si="40"/>
        <v>2.15</v>
      </c>
      <c r="AB116" s="3">
        <f t="shared" si="41"/>
        <v>0.21885611089592732</v>
      </c>
    </row>
    <row r="117" spans="1:28" x14ac:dyDescent="0.2">
      <c r="A117" t="s">
        <v>11</v>
      </c>
      <c r="B117">
        <v>1212</v>
      </c>
      <c r="C117">
        <v>8</v>
      </c>
      <c r="D117">
        <v>38</v>
      </c>
      <c r="E117" t="s">
        <v>12</v>
      </c>
      <c r="F117" s="1">
        <v>45127</v>
      </c>
      <c r="G117" t="s">
        <v>8</v>
      </c>
      <c r="H117" s="2">
        <v>11.48</v>
      </c>
      <c r="I117" s="2">
        <v>47.2</v>
      </c>
      <c r="J117" s="2">
        <v>41.34</v>
      </c>
      <c r="K117" s="2">
        <f t="shared" si="30"/>
        <v>320.34999999999997</v>
      </c>
      <c r="L117" s="2">
        <v>6.69</v>
      </c>
      <c r="M117" s="2">
        <v>0.17</v>
      </c>
      <c r="N117" s="6">
        <f t="shared" si="33"/>
        <v>7.9267493198395202</v>
      </c>
      <c r="O117" s="6">
        <f t="shared" si="34"/>
        <v>1.2330232424406455</v>
      </c>
      <c r="P117" s="6">
        <f t="shared" si="35"/>
        <v>97.300774397163323</v>
      </c>
      <c r="Q117" s="6">
        <f t="shared" si="31"/>
        <v>11.695009009003156</v>
      </c>
      <c r="R117" s="10">
        <f t="shared" si="42"/>
        <v>1.1695009009003157E-2</v>
      </c>
      <c r="S117" s="3">
        <f t="shared" si="36"/>
        <v>0.21051016216205681</v>
      </c>
      <c r="T117" s="4">
        <f t="shared" si="37"/>
        <v>2.105101621620568E-4</v>
      </c>
      <c r="U117" s="3">
        <f t="shared" si="38"/>
        <v>0.75783658378340446</v>
      </c>
      <c r="V117" s="2">
        <v>13.38</v>
      </c>
      <c r="W117" s="2">
        <v>3.28</v>
      </c>
      <c r="X117" s="2">
        <f t="shared" si="39"/>
        <v>32800</v>
      </c>
      <c r="Y117" s="5">
        <v>-0.3</v>
      </c>
      <c r="Z117" s="5">
        <v>-2.2599999999999998</v>
      </c>
      <c r="AA117" s="2">
        <f t="shared" si="40"/>
        <v>1.9599999999999997</v>
      </c>
      <c r="AB117" s="3">
        <f t="shared" si="41"/>
        <v>0.38665131825683907</v>
      </c>
    </row>
    <row r="118" spans="1:28" x14ac:dyDescent="0.2">
      <c r="A118" t="s">
        <v>11</v>
      </c>
      <c r="B118">
        <v>1212</v>
      </c>
      <c r="C118">
        <v>8</v>
      </c>
      <c r="D118">
        <v>39</v>
      </c>
      <c r="E118" t="s">
        <v>12</v>
      </c>
      <c r="F118" s="1">
        <v>45128</v>
      </c>
      <c r="G118" t="s">
        <v>8</v>
      </c>
      <c r="H118" s="2">
        <v>12.1</v>
      </c>
      <c r="I118" s="2">
        <v>47.04</v>
      </c>
      <c r="J118" s="2">
        <v>41.31</v>
      </c>
      <c r="K118" s="2">
        <f t="shared" si="30"/>
        <v>320.19</v>
      </c>
      <c r="L118" s="2">
        <v>6.62</v>
      </c>
      <c r="M118" s="2">
        <v>0.12</v>
      </c>
      <c r="N118" s="6">
        <f t="shared" si="33"/>
        <v>7.9141740895106931</v>
      </c>
      <c r="O118" s="6">
        <f t="shared" si="34"/>
        <v>1.2890914800513751</v>
      </c>
      <c r="P118" s="6">
        <f t="shared" si="35"/>
        <v>97.298803970554388</v>
      </c>
      <c r="Q118" s="6">
        <f t="shared" si="31"/>
        <v>8.1708086912940114</v>
      </c>
      <c r="R118" s="10">
        <f t="shared" si="42"/>
        <v>8.1708086912940115E-3</v>
      </c>
      <c r="S118" s="3">
        <f t="shared" si="36"/>
        <v>0.1470745564432922</v>
      </c>
      <c r="T118" s="4">
        <f t="shared" si="37"/>
        <v>1.4707455644329221E-4</v>
      </c>
      <c r="U118" s="3">
        <f t="shared" si="38"/>
        <v>0.52946840319585198</v>
      </c>
      <c r="V118" s="2">
        <v>3.71</v>
      </c>
      <c r="W118" s="2">
        <v>1.36</v>
      </c>
      <c r="X118" s="2">
        <f t="shared" si="39"/>
        <v>13600.000000000002</v>
      </c>
      <c r="Y118" s="5">
        <v>-0.4</v>
      </c>
      <c r="Z118" s="5">
        <v>-2.67</v>
      </c>
      <c r="AA118" s="2">
        <f t="shared" si="40"/>
        <v>2.27</v>
      </c>
      <c r="AB118" s="3">
        <f t="shared" si="41"/>
        <v>0.23324599259729162</v>
      </c>
    </row>
    <row r="119" spans="1:28" x14ac:dyDescent="0.2">
      <c r="A119" t="s">
        <v>11</v>
      </c>
      <c r="B119">
        <v>1212</v>
      </c>
      <c r="C119">
        <v>8</v>
      </c>
      <c r="D119">
        <v>40</v>
      </c>
      <c r="E119" t="s">
        <v>12</v>
      </c>
      <c r="F119" s="1">
        <v>45128</v>
      </c>
      <c r="G119" t="s">
        <v>8</v>
      </c>
      <c r="H119" s="2">
        <v>15.92</v>
      </c>
      <c r="I119" s="2">
        <v>45.76</v>
      </c>
      <c r="J119" s="2">
        <v>41.96</v>
      </c>
      <c r="K119" s="2">
        <f t="shared" si="30"/>
        <v>318.90999999999997</v>
      </c>
      <c r="L119" s="2">
        <v>6.6</v>
      </c>
      <c r="M119" s="2">
        <v>7.0000000000000007E-2</v>
      </c>
      <c r="N119" s="6">
        <f t="shared" si="33"/>
        <v>8.1905405310043733</v>
      </c>
      <c r="O119" s="6">
        <f t="shared" si="34"/>
        <v>1.5887351591904628</v>
      </c>
      <c r="P119" s="6">
        <f t="shared" si="35"/>
        <v>97.282970828588446</v>
      </c>
      <c r="Q119" s="6">
        <f t="shared" si="31"/>
        <v>4.7503316571328345</v>
      </c>
      <c r="R119" s="10">
        <f t="shared" si="42"/>
        <v>4.7503316571328343E-3</v>
      </c>
      <c r="S119" s="3">
        <f t="shared" si="36"/>
        <v>8.550596982839101E-2</v>
      </c>
      <c r="T119" s="4">
        <f t="shared" si="37"/>
        <v>8.5505969828391005E-5</v>
      </c>
      <c r="U119" s="3">
        <f t="shared" si="38"/>
        <v>0.3078214913822076</v>
      </c>
      <c r="V119" s="2">
        <v>4.62</v>
      </c>
      <c r="W119" s="2">
        <v>1.66</v>
      </c>
      <c r="X119" s="2">
        <f t="shared" si="39"/>
        <v>16600</v>
      </c>
      <c r="Y119" s="5">
        <v>-0.86</v>
      </c>
      <c r="Z119" s="5">
        <v>-2.69</v>
      </c>
      <c r="AA119" s="2">
        <f t="shared" si="40"/>
        <v>1.83</v>
      </c>
      <c r="AB119" s="3">
        <f t="shared" si="41"/>
        <v>0.16820846523617902</v>
      </c>
    </row>
    <row r="120" spans="1:28" x14ac:dyDescent="0.2">
      <c r="A120" t="s">
        <v>11</v>
      </c>
      <c r="B120">
        <v>1212</v>
      </c>
      <c r="C120">
        <v>10</v>
      </c>
      <c r="D120">
        <v>21</v>
      </c>
      <c r="E120" t="s">
        <v>12</v>
      </c>
      <c r="F120" s="1">
        <v>45127</v>
      </c>
      <c r="G120" t="s">
        <v>8</v>
      </c>
      <c r="H120" s="2">
        <v>11.02</v>
      </c>
      <c r="I120" s="2">
        <v>47.59</v>
      </c>
      <c r="J120" s="2">
        <v>45.99</v>
      </c>
      <c r="K120" s="2">
        <f t="shared" si="30"/>
        <v>320.74</v>
      </c>
      <c r="L120" s="2">
        <v>8.89</v>
      </c>
      <c r="M120" s="2">
        <v>0.01</v>
      </c>
      <c r="N120" s="6">
        <f t="shared" si="33"/>
        <v>10.097838576483824</v>
      </c>
      <c r="O120" s="6">
        <f t="shared" si="34"/>
        <v>1.2072616225638739</v>
      </c>
      <c r="P120" s="6">
        <f t="shared" si="35"/>
        <v>97.305569242744994</v>
      </c>
      <c r="Q120" s="6">
        <f t="shared" si="31"/>
        <v>0.913676064289899</v>
      </c>
      <c r="R120" s="10">
        <f t="shared" si="42"/>
        <v>9.1367606428989902E-4</v>
      </c>
      <c r="S120" s="3">
        <f t="shared" si="36"/>
        <v>1.6446169157218183E-2</v>
      </c>
      <c r="T120" s="4">
        <f t="shared" si="37"/>
        <v>1.6446169157218182E-5</v>
      </c>
      <c r="U120" s="3">
        <f t="shared" si="38"/>
        <v>5.9206208965985455E-2</v>
      </c>
      <c r="V120" s="2">
        <v>4.78</v>
      </c>
      <c r="W120" s="2">
        <v>1.38</v>
      </c>
      <c r="X120" s="2">
        <f t="shared" si="39"/>
        <v>13799.999999999998</v>
      </c>
      <c r="Y120" s="5">
        <v>-0.41</v>
      </c>
      <c r="Z120" s="5">
        <v>-2.04</v>
      </c>
      <c r="AA120" s="2">
        <f t="shared" si="40"/>
        <v>1.6300000000000001</v>
      </c>
      <c r="AB120" s="3">
        <f t="shared" si="41"/>
        <v>3.632282758649414E-2</v>
      </c>
    </row>
    <row r="121" spans="1:28" x14ac:dyDescent="0.2">
      <c r="A121" t="s">
        <v>11</v>
      </c>
      <c r="B121">
        <v>1212</v>
      </c>
      <c r="C121">
        <v>10</v>
      </c>
      <c r="D121">
        <v>41</v>
      </c>
      <c r="E121" t="s">
        <v>12</v>
      </c>
      <c r="F121" s="1">
        <v>45128</v>
      </c>
      <c r="G121" t="s">
        <v>8</v>
      </c>
      <c r="H121" s="2">
        <v>13.1</v>
      </c>
      <c r="I121" s="2">
        <v>46.98</v>
      </c>
      <c r="J121" s="2">
        <v>40.840000000000003</v>
      </c>
      <c r="K121" s="2">
        <f t="shared" si="30"/>
        <v>320.13</v>
      </c>
      <c r="L121" s="2">
        <v>6.33</v>
      </c>
      <c r="M121" s="2">
        <v>0.15</v>
      </c>
      <c r="N121" s="6">
        <f t="shared" si="33"/>
        <v>7.7194059207689296</v>
      </c>
      <c r="O121" s="6">
        <f t="shared" si="34"/>
        <v>1.3913760515376001</v>
      </c>
      <c r="P121" s="6">
        <f t="shared" si="35"/>
        <v>97.298064563078213</v>
      </c>
      <c r="Q121" s="6">
        <f t="shared" si="31"/>
        <v>9.7556357841972421</v>
      </c>
      <c r="R121" s="10">
        <f t="shared" si="42"/>
        <v>9.7556357841972422E-3</v>
      </c>
      <c r="S121" s="3">
        <f t="shared" si="36"/>
        <v>0.17560144411555037</v>
      </c>
      <c r="T121" s="4">
        <f t="shared" si="37"/>
        <v>1.7560144411555038E-4</v>
      </c>
      <c r="U121" s="3">
        <f t="shared" si="38"/>
        <v>0.63216519881598132</v>
      </c>
      <c r="V121" s="2">
        <v>15.53</v>
      </c>
      <c r="W121" s="2">
        <v>3.35</v>
      </c>
      <c r="X121" s="2">
        <f t="shared" si="39"/>
        <v>33500</v>
      </c>
      <c r="Y121" s="5">
        <v>-0.7</v>
      </c>
      <c r="Z121" s="5">
        <v>-2.2200000000000002</v>
      </c>
      <c r="AA121" s="2">
        <f t="shared" si="40"/>
        <v>1.5200000000000002</v>
      </c>
      <c r="AB121" s="3">
        <f t="shared" si="41"/>
        <v>0.4158981571157771</v>
      </c>
    </row>
    <row r="122" spans="1:28" x14ac:dyDescent="0.2">
      <c r="A122" t="s">
        <v>11</v>
      </c>
      <c r="B122">
        <v>1212</v>
      </c>
      <c r="C122">
        <v>10</v>
      </c>
      <c r="D122">
        <v>42</v>
      </c>
      <c r="E122" t="s">
        <v>12</v>
      </c>
      <c r="F122" s="1">
        <v>45128</v>
      </c>
      <c r="G122" t="s">
        <v>8</v>
      </c>
      <c r="H122" s="2">
        <v>14.29</v>
      </c>
      <c r="I122" s="2">
        <v>46.54</v>
      </c>
      <c r="J122" s="2">
        <v>40.97</v>
      </c>
      <c r="K122" s="2">
        <f t="shared" si="30"/>
        <v>319.69</v>
      </c>
      <c r="L122" s="2">
        <v>6.29</v>
      </c>
      <c r="M122" s="2">
        <v>0.14000000000000001</v>
      </c>
      <c r="N122" s="6">
        <f t="shared" si="33"/>
        <v>7.7728579355957477</v>
      </c>
      <c r="O122" s="6">
        <f t="shared" si="34"/>
        <v>1.4841263245099472</v>
      </c>
      <c r="P122" s="6">
        <f t="shared" si="35"/>
        <v>97.292633933187986</v>
      </c>
      <c r="Q122" s="6">
        <f t="shared" si="31"/>
        <v>9.0492197606306846</v>
      </c>
      <c r="R122" s="10">
        <f t="shared" si="42"/>
        <v>9.0492197606306841E-3</v>
      </c>
      <c r="S122" s="3">
        <f t="shared" si="36"/>
        <v>0.16288595569135231</v>
      </c>
      <c r="T122" s="4">
        <f t="shared" si="37"/>
        <v>1.6288595569135232E-4</v>
      </c>
      <c r="U122" s="3">
        <f t="shared" si="38"/>
        <v>0.58638944048886832</v>
      </c>
      <c r="V122" s="2">
        <v>14.52</v>
      </c>
      <c r="W122" s="2">
        <v>3.06</v>
      </c>
      <c r="X122" s="2">
        <f t="shared" si="39"/>
        <v>30600</v>
      </c>
      <c r="Y122" s="5">
        <v>-0.59</v>
      </c>
      <c r="Z122" s="5">
        <v>-2.29</v>
      </c>
      <c r="AA122" s="2">
        <f t="shared" si="40"/>
        <v>1.7000000000000002</v>
      </c>
      <c r="AB122" s="3">
        <f t="shared" si="41"/>
        <v>0.34493496499345194</v>
      </c>
    </row>
    <row r="123" spans="1:28" x14ac:dyDescent="0.2">
      <c r="F123" s="1"/>
      <c r="N123" s="6"/>
      <c r="O123" s="6"/>
      <c r="P123" s="6"/>
      <c r="Q123" s="6"/>
      <c r="R123" s="10"/>
      <c r="S123" s="3"/>
      <c r="T123" s="4"/>
      <c r="U123" s="3"/>
      <c r="Z123" s="5"/>
      <c r="AB123" s="3"/>
    </row>
    <row r="124" spans="1:28" x14ac:dyDescent="0.2">
      <c r="A124" t="s">
        <v>6</v>
      </c>
      <c r="B124">
        <v>72</v>
      </c>
      <c r="C124">
        <v>156</v>
      </c>
      <c r="D124">
        <v>43</v>
      </c>
      <c r="E124" t="s">
        <v>7</v>
      </c>
      <c r="F124" s="1">
        <v>45147</v>
      </c>
      <c r="G124" t="s">
        <v>8</v>
      </c>
      <c r="H124" s="2">
        <v>35.85</v>
      </c>
      <c r="I124" s="2">
        <v>35.96</v>
      </c>
      <c r="J124" s="2">
        <v>30.86</v>
      </c>
      <c r="K124" s="2">
        <f t="shared" si="30"/>
        <v>309.10999999999996</v>
      </c>
      <c r="L124" s="2">
        <v>2.34</v>
      </c>
      <c r="M124" s="2">
        <v>0.3</v>
      </c>
      <c r="N124" s="6">
        <f t="shared" ref="N124:N155" si="43">0.611*EXP((17.502*J124)/(240.97+J124))</f>
        <v>4.4561643055068503</v>
      </c>
      <c r="O124" s="6">
        <f t="shared" ref="O124:O155" si="44">(0.611*EXP((17.502*I124)/(240.97+I124)))*(H124/100)</f>
        <v>2.1258892335715522</v>
      </c>
      <c r="P124" s="6">
        <f t="shared" ref="P124:P155" si="45">101.325*EXP(-380/(29.27*K124))</f>
        <v>97.157494341152457</v>
      </c>
      <c r="Q124" s="6">
        <f t="shared" ref="Q68:Q131" si="46">(M124*(N124-L124)/P124)*1000</f>
        <v>6.5342287381649315</v>
      </c>
      <c r="R124" s="10">
        <f t="shared" ref="R124:R131" si="47">Q124/1000</f>
        <v>6.5342287381649315E-3</v>
      </c>
      <c r="S124" s="3">
        <f t="shared" ref="S124:S155" si="48">R124*18</f>
        <v>0.11761611728696877</v>
      </c>
      <c r="T124" s="4">
        <f t="shared" ref="T124:T155" si="49">S124/1000</f>
        <v>1.1761611728696877E-4</v>
      </c>
      <c r="U124" s="3">
        <f t="shared" ref="U124:U155" si="50">T124*3600</f>
        <v>0.42341802223308755</v>
      </c>
      <c r="V124" s="2">
        <v>18.53</v>
      </c>
      <c r="W124" s="2">
        <v>3.87</v>
      </c>
      <c r="X124" s="2">
        <f t="shared" ref="X124:X155" si="51">W124*10000</f>
        <v>38700</v>
      </c>
      <c r="Y124" s="5">
        <v>-0.66</v>
      </c>
      <c r="Z124" s="5">
        <v>-2.21</v>
      </c>
      <c r="AA124" s="2">
        <f t="shared" ref="AA124:AA155" si="52">Y124-Z124</f>
        <v>1.5499999999999998</v>
      </c>
      <c r="AB124" s="3">
        <f t="shared" ref="AB124:AB155" si="53">U124/AA124</f>
        <v>0.27317291756973394</v>
      </c>
    </row>
    <row r="125" spans="1:28" x14ac:dyDescent="0.2">
      <c r="A125" t="s">
        <v>6</v>
      </c>
      <c r="B125">
        <v>72</v>
      </c>
      <c r="C125">
        <v>156</v>
      </c>
      <c r="D125">
        <v>44</v>
      </c>
      <c r="E125" t="s">
        <v>7</v>
      </c>
      <c r="F125" s="1">
        <v>45148</v>
      </c>
      <c r="G125" t="s">
        <v>8</v>
      </c>
      <c r="H125" s="2">
        <v>29.74</v>
      </c>
      <c r="I125" s="2">
        <v>35.96</v>
      </c>
      <c r="J125" s="2">
        <v>31</v>
      </c>
      <c r="K125" s="2">
        <f t="shared" si="30"/>
        <v>309.10999999999996</v>
      </c>
      <c r="L125" s="2">
        <v>2.73</v>
      </c>
      <c r="M125" s="2">
        <v>0.28999999999999998</v>
      </c>
      <c r="N125" s="6">
        <f t="shared" si="43"/>
        <v>4.4918962719856363</v>
      </c>
      <c r="O125" s="6">
        <f t="shared" si="44"/>
        <v>1.7635689206811145</v>
      </c>
      <c r="P125" s="6">
        <f t="shared" si="45"/>
        <v>97.157494341152457</v>
      </c>
      <c r="Q125" s="6">
        <f t="shared" si="46"/>
        <v>5.2589861681870724</v>
      </c>
      <c r="R125" s="10">
        <f t="shared" si="47"/>
        <v>5.2589861681870721E-3</v>
      </c>
      <c r="S125" s="3">
        <f t="shared" si="48"/>
        <v>9.4661751027367291E-2</v>
      </c>
      <c r="T125" s="4">
        <f t="shared" si="49"/>
        <v>9.4661751027367297E-5</v>
      </c>
      <c r="U125" s="3">
        <f t="shared" si="50"/>
        <v>0.34078230369852225</v>
      </c>
      <c r="V125" s="2">
        <v>5.08</v>
      </c>
      <c r="W125" s="2">
        <v>1.59</v>
      </c>
      <c r="X125" s="2">
        <f t="shared" si="51"/>
        <v>15900</v>
      </c>
      <c r="Y125" s="5">
        <v>-0.77</v>
      </c>
      <c r="Z125" s="5">
        <v>-2.2799999999999998</v>
      </c>
      <c r="AA125" s="2">
        <f t="shared" si="52"/>
        <v>1.5099999999999998</v>
      </c>
      <c r="AB125" s="3">
        <f t="shared" si="53"/>
        <v>0.22568364483345849</v>
      </c>
    </row>
    <row r="126" spans="1:28" x14ac:dyDescent="0.2">
      <c r="A126" t="s">
        <v>6</v>
      </c>
      <c r="B126">
        <v>72</v>
      </c>
      <c r="C126">
        <v>156</v>
      </c>
      <c r="D126">
        <v>45</v>
      </c>
      <c r="E126" t="s">
        <v>7</v>
      </c>
      <c r="F126" s="1">
        <v>45147</v>
      </c>
      <c r="G126" t="s">
        <v>8</v>
      </c>
      <c r="H126" s="2">
        <v>33.9</v>
      </c>
      <c r="I126" s="2">
        <v>37.03</v>
      </c>
      <c r="J126" s="2">
        <v>31.92</v>
      </c>
      <c r="K126" s="2">
        <f t="shared" si="30"/>
        <v>310.17999999999995</v>
      </c>
      <c r="L126" s="2">
        <v>2.61</v>
      </c>
      <c r="M126" s="2">
        <v>0.38</v>
      </c>
      <c r="N126" s="6">
        <f t="shared" si="43"/>
        <v>4.732976362327598</v>
      </c>
      <c r="O126" s="6">
        <f t="shared" si="44"/>
        <v>2.1316111267275804</v>
      </c>
      <c r="P126" s="6">
        <f t="shared" si="45"/>
        <v>97.171571842332611</v>
      </c>
      <c r="Q126" s="6">
        <f t="shared" si="46"/>
        <v>8.3021299582707417</v>
      </c>
      <c r="R126" s="10">
        <f t="shared" si="47"/>
        <v>8.3021299582707424E-3</v>
      </c>
      <c r="S126" s="3">
        <f t="shared" si="48"/>
        <v>0.14943833924887337</v>
      </c>
      <c r="T126" s="4">
        <f t="shared" si="49"/>
        <v>1.4943833924887338E-4</v>
      </c>
      <c r="U126" s="3">
        <f t="shared" si="50"/>
        <v>0.53797802129594419</v>
      </c>
      <c r="V126" s="2">
        <v>13.38</v>
      </c>
      <c r="W126" s="2">
        <v>3.64</v>
      </c>
      <c r="X126" s="2">
        <f t="shared" si="51"/>
        <v>36400</v>
      </c>
      <c r="Y126" s="5">
        <v>-0.51</v>
      </c>
      <c r="Z126" s="5">
        <v>-1.92</v>
      </c>
      <c r="AA126" s="2">
        <f t="shared" si="52"/>
        <v>1.41</v>
      </c>
      <c r="AB126" s="3">
        <f t="shared" si="53"/>
        <v>0.38154469595457036</v>
      </c>
    </row>
    <row r="127" spans="1:28" x14ac:dyDescent="0.2">
      <c r="A127" t="s">
        <v>6</v>
      </c>
      <c r="B127">
        <v>72</v>
      </c>
      <c r="C127">
        <v>149</v>
      </c>
      <c r="D127">
        <v>46</v>
      </c>
      <c r="E127" t="s">
        <v>7</v>
      </c>
      <c r="F127" s="1">
        <v>45147</v>
      </c>
      <c r="G127" t="s">
        <v>8</v>
      </c>
      <c r="H127" s="2">
        <v>35.57</v>
      </c>
      <c r="I127" s="2">
        <v>36.04</v>
      </c>
      <c r="J127" s="2">
        <v>31.33</v>
      </c>
      <c r="K127" s="2">
        <f t="shared" si="30"/>
        <v>309.19</v>
      </c>
      <c r="L127" s="2">
        <v>2.46</v>
      </c>
      <c r="M127" s="2">
        <v>0.45</v>
      </c>
      <c r="N127" s="6">
        <f t="shared" si="43"/>
        <v>4.5771106563627146</v>
      </c>
      <c r="O127" s="6">
        <f t="shared" si="44"/>
        <v>2.1185828513460803</v>
      </c>
      <c r="P127" s="6">
        <f t="shared" si="45"/>
        <v>97.158550163943588</v>
      </c>
      <c r="Q127" s="6">
        <f t="shared" si="46"/>
        <v>9.8056197190638699</v>
      </c>
      <c r="R127" s="10">
        <f t="shared" si="47"/>
        <v>9.805619719063869E-3</v>
      </c>
      <c r="S127" s="3">
        <f t="shared" si="48"/>
        <v>0.17650115494314964</v>
      </c>
      <c r="T127" s="4">
        <f t="shared" si="49"/>
        <v>1.7650115494314964E-4</v>
      </c>
      <c r="U127" s="3">
        <f t="shared" si="50"/>
        <v>0.63540415779533876</v>
      </c>
      <c r="V127" s="2">
        <v>10.99</v>
      </c>
      <c r="W127" s="2">
        <v>2.0499999999999998</v>
      </c>
      <c r="X127" s="2">
        <f t="shared" si="51"/>
        <v>20500</v>
      </c>
      <c r="Y127" s="5">
        <v>-0.62</v>
      </c>
      <c r="Z127" s="5">
        <v>-2.1</v>
      </c>
      <c r="AA127" s="2">
        <f t="shared" si="52"/>
        <v>1.48</v>
      </c>
      <c r="AB127" s="3">
        <f t="shared" si="53"/>
        <v>0.42932713364549918</v>
      </c>
    </row>
    <row r="128" spans="1:28" x14ac:dyDescent="0.2">
      <c r="A128" t="s">
        <v>6</v>
      </c>
      <c r="B128">
        <v>72</v>
      </c>
      <c r="C128">
        <v>149</v>
      </c>
      <c r="D128">
        <v>47</v>
      </c>
      <c r="E128" t="s">
        <v>7</v>
      </c>
      <c r="F128" s="1">
        <v>45148</v>
      </c>
      <c r="G128" t="s">
        <v>8</v>
      </c>
      <c r="H128" s="2">
        <v>32.18</v>
      </c>
      <c r="I128" s="2">
        <v>34.9</v>
      </c>
      <c r="J128" s="2">
        <v>30.72</v>
      </c>
      <c r="K128" s="2">
        <f t="shared" si="30"/>
        <v>308.04999999999995</v>
      </c>
      <c r="L128" s="2">
        <v>2.63</v>
      </c>
      <c r="M128" s="2">
        <v>0.35</v>
      </c>
      <c r="N128" s="6">
        <f t="shared" si="43"/>
        <v>4.4206801922177688</v>
      </c>
      <c r="O128" s="6">
        <f t="shared" si="44"/>
        <v>1.7997985711429494</v>
      </c>
      <c r="P128" s="6">
        <f t="shared" si="45"/>
        <v>97.143454008577649</v>
      </c>
      <c r="Q128" s="6">
        <f t="shared" si="46"/>
        <v>6.4516757580071102</v>
      </c>
      <c r="R128" s="10">
        <f t="shared" si="47"/>
        <v>6.4516757580071107E-3</v>
      </c>
      <c r="S128" s="3">
        <f t="shared" si="48"/>
        <v>0.116130163644128</v>
      </c>
      <c r="T128" s="4">
        <f t="shared" si="49"/>
        <v>1.1613016364412799E-4</v>
      </c>
      <c r="U128" s="3">
        <f t="shared" si="50"/>
        <v>0.4180685891188608</v>
      </c>
      <c r="V128" s="2">
        <v>10.98</v>
      </c>
      <c r="W128" s="2">
        <v>2.5099999999999998</v>
      </c>
      <c r="X128" s="2">
        <f t="shared" si="51"/>
        <v>25099.999999999996</v>
      </c>
      <c r="Y128" s="5">
        <v>-0.44</v>
      </c>
      <c r="Z128" s="5">
        <v>-2.2999999999999998</v>
      </c>
      <c r="AA128" s="2">
        <f t="shared" si="52"/>
        <v>1.8599999999999999</v>
      </c>
      <c r="AB128" s="3">
        <f t="shared" si="53"/>
        <v>0.2247680586660542</v>
      </c>
    </row>
    <row r="129" spans="1:28" x14ac:dyDescent="0.2">
      <c r="A129" t="s">
        <v>6</v>
      </c>
      <c r="B129">
        <v>72</v>
      </c>
      <c r="C129">
        <v>149</v>
      </c>
      <c r="D129">
        <v>48</v>
      </c>
      <c r="E129" t="s">
        <v>7</v>
      </c>
      <c r="F129" s="1">
        <v>45148</v>
      </c>
      <c r="G129" t="s">
        <v>8</v>
      </c>
      <c r="H129" s="2">
        <v>30.89</v>
      </c>
      <c r="I129" s="2">
        <v>35.200000000000003</v>
      </c>
      <c r="J129" s="2">
        <v>31.5</v>
      </c>
      <c r="K129" s="2">
        <f t="shared" si="30"/>
        <v>308.34999999999997</v>
      </c>
      <c r="L129" s="2">
        <v>2.87</v>
      </c>
      <c r="M129" s="2">
        <v>0.33</v>
      </c>
      <c r="N129" s="6">
        <f t="shared" si="43"/>
        <v>4.6215558439845621</v>
      </c>
      <c r="O129" s="6">
        <f t="shared" si="44"/>
        <v>1.7565806548089198</v>
      </c>
      <c r="P129" s="6">
        <f t="shared" si="45"/>
        <v>97.147437275481494</v>
      </c>
      <c r="Q129" s="6">
        <f t="shared" si="46"/>
        <v>5.9498577082978503</v>
      </c>
      <c r="R129" s="10">
        <f t="shared" si="47"/>
        <v>5.9498577082978503E-3</v>
      </c>
      <c r="S129" s="3">
        <f t="shared" si="48"/>
        <v>0.10709743874936131</v>
      </c>
      <c r="T129" s="4">
        <f t="shared" si="49"/>
        <v>1.0709743874936131E-4</v>
      </c>
      <c r="U129" s="3">
        <f t="shared" si="50"/>
        <v>0.38555077949770072</v>
      </c>
      <c r="V129" s="2">
        <v>17.25</v>
      </c>
      <c r="W129" s="2">
        <v>2.85</v>
      </c>
      <c r="X129" s="2">
        <f t="shared" si="51"/>
        <v>28500</v>
      </c>
      <c r="Y129" s="5">
        <v>-0.61</v>
      </c>
      <c r="Z129" s="5">
        <v>-2.2000000000000002</v>
      </c>
      <c r="AA129" s="2">
        <f t="shared" si="52"/>
        <v>1.5900000000000003</v>
      </c>
      <c r="AB129" s="3">
        <f t="shared" si="53"/>
        <v>0.24248476697968593</v>
      </c>
    </row>
    <row r="130" spans="1:28" x14ac:dyDescent="0.2">
      <c r="A130" t="s">
        <v>6</v>
      </c>
      <c r="B130">
        <v>72</v>
      </c>
      <c r="C130">
        <v>152</v>
      </c>
      <c r="D130">
        <v>49</v>
      </c>
      <c r="E130" t="s">
        <v>7</v>
      </c>
      <c r="F130" s="1">
        <v>45147</v>
      </c>
      <c r="G130" t="s">
        <v>8</v>
      </c>
      <c r="H130" s="2">
        <v>36.61</v>
      </c>
      <c r="I130" s="2">
        <v>34.85</v>
      </c>
      <c r="J130" s="2">
        <v>29.61</v>
      </c>
      <c r="K130" s="2">
        <f t="shared" si="30"/>
        <v>308</v>
      </c>
      <c r="L130" s="2">
        <v>2.11</v>
      </c>
      <c r="M130" s="2">
        <v>0.45</v>
      </c>
      <c r="N130" s="6">
        <f t="shared" si="43"/>
        <v>4.1479465012641219</v>
      </c>
      <c r="O130" s="6">
        <f t="shared" si="44"/>
        <v>2.0418978526772031</v>
      </c>
      <c r="P130" s="6">
        <f t="shared" si="45"/>
        <v>97.142789392253164</v>
      </c>
      <c r="Q130" s="6">
        <f t="shared" si="46"/>
        <v>9.4404940532002968</v>
      </c>
      <c r="R130" s="10">
        <f t="shared" si="47"/>
        <v>9.4404940532002973E-3</v>
      </c>
      <c r="S130" s="3">
        <f t="shared" si="48"/>
        <v>0.16992889295760535</v>
      </c>
      <c r="T130" s="4">
        <f t="shared" si="49"/>
        <v>1.6992889295760536E-4</v>
      </c>
      <c r="U130" s="3">
        <f t="shared" si="50"/>
        <v>0.61174401464737926</v>
      </c>
      <c r="V130" s="2">
        <v>16.68</v>
      </c>
      <c r="W130" s="2">
        <v>2.78</v>
      </c>
      <c r="X130" s="2">
        <f t="shared" si="51"/>
        <v>27799.999999999996</v>
      </c>
      <c r="Y130" s="5">
        <v>-0.93</v>
      </c>
      <c r="Z130" s="5">
        <v>-1.75</v>
      </c>
      <c r="AA130" s="2">
        <f t="shared" si="52"/>
        <v>0.82</v>
      </c>
      <c r="AB130" s="3">
        <f t="shared" si="53"/>
        <v>0.74602928615534059</v>
      </c>
    </row>
    <row r="131" spans="1:28" x14ac:dyDescent="0.2">
      <c r="A131" t="s">
        <v>6</v>
      </c>
      <c r="B131">
        <v>72</v>
      </c>
      <c r="C131">
        <v>152</v>
      </c>
      <c r="D131">
        <v>50</v>
      </c>
      <c r="E131" t="s">
        <v>7</v>
      </c>
      <c r="F131" s="1">
        <v>45148</v>
      </c>
      <c r="G131" t="s">
        <v>8</v>
      </c>
      <c r="H131" s="2">
        <v>31.37</v>
      </c>
      <c r="I131" s="2">
        <v>35.229999999999997</v>
      </c>
      <c r="J131" s="2">
        <v>30.47</v>
      </c>
      <c r="K131" s="2">
        <f t="shared" si="30"/>
        <v>308.38</v>
      </c>
      <c r="L131" s="2">
        <v>2.57</v>
      </c>
      <c r="M131" s="2">
        <v>0.32</v>
      </c>
      <c r="N131" s="6">
        <f t="shared" si="43"/>
        <v>4.3579276361742201</v>
      </c>
      <c r="O131" s="6">
        <f t="shared" si="44"/>
        <v>1.786837575413541</v>
      </c>
      <c r="P131" s="6">
        <f t="shared" si="45"/>
        <v>97.147835184891704</v>
      </c>
      <c r="Q131" s="6">
        <f t="shared" si="46"/>
        <v>5.8893421812936948</v>
      </c>
      <c r="R131" s="10">
        <f t="shared" si="47"/>
        <v>5.889342181293695E-3</v>
      </c>
      <c r="S131" s="3">
        <f t="shared" si="48"/>
        <v>0.10600815926328651</v>
      </c>
      <c r="T131" s="4">
        <f t="shared" si="49"/>
        <v>1.0600815926328651E-4</v>
      </c>
      <c r="U131" s="3">
        <f t="shared" si="50"/>
        <v>0.38162937334783142</v>
      </c>
      <c r="V131" s="2">
        <v>29.47</v>
      </c>
      <c r="W131" s="2">
        <v>3.96</v>
      </c>
      <c r="X131" s="2">
        <f t="shared" si="51"/>
        <v>39600</v>
      </c>
      <c r="Y131" s="5">
        <v>-0.61</v>
      </c>
      <c r="Z131" s="5">
        <v>-2.42</v>
      </c>
      <c r="AA131" s="2">
        <f t="shared" si="52"/>
        <v>1.81</v>
      </c>
      <c r="AB131" s="3">
        <f t="shared" si="53"/>
        <v>0.21084495765073558</v>
      </c>
    </row>
    <row r="132" spans="1:28" x14ac:dyDescent="0.2">
      <c r="A132" t="s">
        <v>6</v>
      </c>
      <c r="B132">
        <v>72</v>
      </c>
      <c r="C132">
        <v>152</v>
      </c>
      <c r="D132">
        <v>51</v>
      </c>
      <c r="E132" t="s">
        <v>7</v>
      </c>
      <c r="F132" s="1">
        <v>45148</v>
      </c>
      <c r="G132" t="s">
        <v>8</v>
      </c>
      <c r="H132" s="2">
        <v>30.61</v>
      </c>
      <c r="I132" s="2">
        <v>36</v>
      </c>
      <c r="J132" s="2">
        <v>31.25</v>
      </c>
      <c r="K132" s="2">
        <f t="shared" ref="K132:K195" si="54">273.15+I132</f>
        <v>309.14999999999998</v>
      </c>
      <c r="L132" s="2">
        <v>2.74</v>
      </c>
      <c r="M132" s="2">
        <v>0.38</v>
      </c>
      <c r="N132" s="6">
        <f t="shared" si="43"/>
        <v>4.5563243955355492</v>
      </c>
      <c r="O132" s="6">
        <f t="shared" si="44"/>
        <v>1.8191562274688196</v>
      </c>
      <c r="P132" s="6">
        <f t="shared" si="45"/>
        <v>97.158022319418691</v>
      </c>
      <c r="Q132" s="6">
        <f t="shared" ref="Q132:Q195" si="55">(M132*(N132-L132)/P132)*1000</f>
        <v>7.1039246562098839</v>
      </c>
      <c r="R132" s="10">
        <f t="shared" ref="R132:R195" si="56">Q132/1000</f>
        <v>7.1039246562098835E-3</v>
      </c>
      <c r="S132" s="3">
        <f t="shared" si="48"/>
        <v>0.1278706438117779</v>
      </c>
      <c r="T132" s="4">
        <f t="shared" si="49"/>
        <v>1.278706438117779E-4</v>
      </c>
      <c r="U132" s="3">
        <f t="shared" si="50"/>
        <v>0.46033431772240047</v>
      </c>
      <c r="V132" s="2">
        <v>11.56</v>
      </c>
      <c r="W132" s="2">
        <v>1.91</v>
      </c>
      <c r="X132" s="2">
        <f t="shared" si="51"/>
        <v>19100</v>
      </c>
      <c r="Y132" s="5">
        <v>-0.71199999999999997</v>
      </c>
      <c r="Z132" s="5">
        <v>-1.64</v>
      </c>
      <c r="AA132" s="6">
        <f t="shared" si="52"/>
        <v>0.92799999999999994</v>
      </c>
      <c r="AB132" s="3">
        <f t="shared" si="53"/>
        <v>0.49604991133879361</v>
      </c>
    </row>
    <row r="133" spans="1:28" x14ac:dyDescent="0.2">
      <c r="A133" t="s">
        <v>6</v>
      </c>
      <c r="B133">
        <v>72</v>
      </c>
      <c r="C133">
        <v>155</v>
      </c>
      <c r="D133">
        <v>58</v>
      </c>
      <c r="E133" t="s">
        <v>7</v>
      </c>
      <c r="F133" s="1">
        <v>45148</v>
      </c>
      <c r="G133" t="s">
        <v>8</v>
      </c>
      <c r="H133" s="2">
        <v>31.28</v>
      </c>
      <c r="I133" s="2">
        <v>35.33</v>
      </c>
      <c r="J133" s="2">
        <v>31.05</v>
      </c>
      <c r="K133" s="2">
        <f t="shared" si="54"/>
        <v>308.47999999999996</v>
      </c>
      <c r="L133" s="2">
        <v>2.72</v>
      </c>
      <c r="M133" s="2">
        <v>0.26</v>
      </c>
      <c r="N133" s="6">
        <f t="shared" si="43"/>
        <v>4.5047180317776814</v>
      </c>
      <c r="O133" s="6">
        <f t="shared" si="44"/>
        <v>1.7915849613217496</v>
      </c>
      <c r="P133" s="6">
        <f t="shared" si="45"/>
        <v>97.149161002396411</v>
      </c>
      <c r="Q133" s="6">
        <f t="shared" si="55"/>
        <v>4.776435364693997</v>
      </c>
      <c r="R133" s="10">
        <f t="shared" si="56"/>
        <v>4.7764353646939971E-3</v>
      </c>
      <c r="S133" s="3">
        <f t="shared" si="48"/>
        <v>8.5975836564491953E-2</v>
      </c>
      <c r="T133" s="4">
        <f t="shared" si="49"/>
        <v>8.5975836564491958E-5</v>
      </c>
      <c r="U133" s="3">
        <f t="shared" si="50"/>
        <v>0.30951301163217104</v>
      </c>
      <c r="V133" s="2">
        <v>25.14</v>
      </c>
      <c r="W133" s="2">
        <v>4.53</v>
      </c>
      <c r="X133" s="2">
        <f t="shared" si="51"/>
        <v>45300</v>
      </c>
      <c r="Y133" s="5">
        <v>-0.73</v>
      </c>
      <c r="Z133" s="5">
        <v>-1.74</v>
      </c>
      <c r="AA133" s="2">
        <f t="shared" si="52"/>
        <v>1.01</v>
      </c>
      <c r="AB133" s="3">
        <f t="shared" si="53"/>
        <v>0.30644852636848618</v>
      </c>
    </row>
    <row r="134" spans="1:28" x14ac:dyDescent="0.2">
      <c r="A134" t="s">
        <v>6</v>
      </c>
      <c r="B134">
        <v>72</v>
      </c>
      <c r="C134">
        <v>155</v>
      </c>
      <c r="D134">
        <v>59</v>
      </c>
      <c r="E134" t="s">
        <v>7</v>
      </c>
      <c r="F134" s="1">
        <v>45147</v>
      </c>
      <c r="G134" t="s">
        <v>8</v>
      </c>
      <c r="H134" s="2">
        <v>37.19</v>
      </c>
      <c r="I134" s="2">
        <v>35</v>
      </c>
      <c r="J134" s="2">
        <v>30.76</v>
      </c>
      <c r="K134" s="2">
        <f t="shared" si="54"/>
        <v>308.14999999999998</v>
      </c>
      <c r="L134" s="2">
        <v>2.35</v>
      </c>
      <c r="M134" s="2">
        <v>0.32</v>
      </c>
      <c r="N134" s="6">
        <f t="shared" si="43"/>
        <v>4.4307933036961673</v>
      </c>
      <c r="O134" s="6">
        <f t="shared" si="44"/>
        <v>2.0915579007928038</v>
      </c>
      <c r="P134" s="6">
        <f t="shared" si="45"/>
        <v>97.144782607818328</v>
      </c>
      <c r="Q134" s="6">
        <f t="shared" si="55"/>
        <v>6.8542420839097629</v>
      </c>
      <c r="R134" s="10">
        <f t="shared" si="56"/>
        <v>6.8542420839097628E-3</v>
      </c>
      <c r="S134" s="3">
        <f t="shared" si="48"/>
        <v>0.12337635751037573</v>
      </c>
      <c r="T134" s="4">
        <f t="shared" si="49"/>
        <v>1.2337635751037573E-4</v>
      </c>
      <c r="U134" s="3">
        <f t="shared" si="50"/>
        <v>0.44415488703735262</v>
      </c>
      <c r="V134" s="2">
        <v>16.940000000000001</v>
      </c>
      <c r="W134" s="2">
        <v>3.17</v>
      </c>
      <c r="X134" s="2">
        <f t="shared" si="51"/>
        <v>31700</v>
      </c>
      <c r="Y134" s="5">
        <v>-0.52</v>
      </c>
      <c r="Z134" s="5">
        <v>-2.02</v>
      </c>
      <c r="AA134" s="2">
        <f t="shared" si="52"/>
        <v>1.5</v>
      </c>
      <c r="AB134" s="3">
        <f t="shared" si="53"/>
        <v>0.29610325802490173</v>
      </c>
    </row>
    <row r="135" spans="1:28" x14ac:dyDescent="0.2">
      <c r="A135" t="s">
        <v>6</v>
      </c>
      <c r="B135">
        <v>72</v>
      </c>
      <c r="C135">
        <v>155</v>
      </c>
      <c r="D135">
        <v>60</v>
      </c>
      <c r="E135" t="s">
        <v>7</v>
      </c>
      <c r="F135" s="1">
        <v>45148</v>
      </c>
      <c r="G135" t="s">
        <v>8</v>
      </c>
      <c r="H135" s="2">
        <v>31.82</v>
      </c>
      <c r="I135" s="2">
        <v>34.81</v>
      </c>
      <c r="J135" s="2">
        <v>30.63</v>
      </c>
      <c r="K135" s="2">
        <f t="shared" si="54"/>
        <v>307.95999999999998</v>
      </c>
      <c r="L135" s="2">
        <v>2.63</v>
      </c>
      <c r="M135" s="2">
        <v>0.2</v>
      </c>
      <c r="N135" s="6">
        <f t="shared" si="43"/>
        <v>4.397999184463373</v>
      </c>
      <c r="O135" s="6">
        <f t="shared" si="44"/>
        <v>1.7708072080654589</v>
      </c>
      <c r="P135" s="6">
        <f t="shared" si="45"/>
        <v>97.142257547083801</v>
      </c>
      <c r="Q135" s="6">
        <f t="shared" si="55"/>
        <v>3.6400207882886462</v>
      </c>
      <c r="R135" s="10">
        <f t="shared" si="56"/>
        <v>3.6400207882886461E-3</v>
      </c>
      <c r="S135" s="3">
        <f t="shared" si="48"/>
        <v>6.5520374189195624E-2</v>
      </c>
      <c r="T135" s="4">
        <f t="shared" si="49"/>
        <v>6.552037418919563E-5</v>
      </c>
      <c r="U135" s="3">
        <f t="shared" si="50"/>
        <v>0.23587334708110427</v>
      </c>
      <c r="V135" s="2">
        <v>22.24</v>
      </c>
      <c r="W135" s="2">
        <v>4.22</v>
      </c>
      <c r="X135" s="2">
        <f t="shared" si="51"/>
        <v>42200</v>
      </c>
      <c r="Y135" s="5">
        <v>-0.49</v>
      </c>
      <c r="Z135" s="5">
        <v>-2.4500000000000002</v>
      </c>
      <c r="AA135" s="2">
        <f t="shared" si="52"/>
        <v>1.9600000000000002</v>
      </c>
      <c r="AB135" s="3">
        <f t="shared" si="53"/>
        <v>0.12034354442913482</v>
      </c>
    </row>
    <row r="136" spans="1:28" x14ac:dyDescent="0.2">
      <c r="A136" t="s">
        <v>6</v>
      </c>
      <c r="B136">
        <v>72</v>
      </c>
      <c r="C136">
        <v>5</v>
      </c>
      <c r="D136">
        <v>61</v>
      </c>
      <c r="E136" t="s">
        <v>7</v>
      </c>
      <c r="F136" s="1">
        <v>45148</v>
      </c>
      <c r="G136" t="s">
        <v>8</v>
      </c>
      <c r="H136" s="2">
        <v>31.02</v>
      </c>
      <c r="I136" s="2">
        <v>35.369999999999997</v>
      </c>
      <c r="J136" s="2">
        <v>31.37</v>
      </c>
      <c r="K136" s="2">
        <f t="shared" si="54"/>
        <v>308.52</v>
      </c>
      <c r="L136" s="2">
        <v>2.81</v>
      </c>
      <c r="M136" s="2">
        <v>0.16</v>
      </c>
      <c r="N136" s="6">
        <f t="shared" si="43"/>
        <v>4.5875347200424823</v>
      </c>
      <c r="O136" s="6">
        <f t="shared" si="44"/>
        <v>1.7806231418229326</v>
      </c>
      <c r="P136" s="6">
        <f t="shared" si="45"/>
        <v>97.149691093810205</v>
      </c>
      <c r="Q136" s="6">
        <f t="shared" si="55"/>
        <v>2.9274982967487557</v>
      </c>
      <c r="R136" s="10">
        <f t="shared" si="56"/>
        <v>2.9274982967487555E-3</v>
      </c>
      <c r="S136" s="3">
        <f t="shared" si="48"/>
        <v>5.2694969341477597E-2</v>
      </c>
      <c r="T136" s="4">
        <f t="shared" si="49"/>
        <v>5.2694969341477597E-5</v>
      </c>
      <c r="U136" s="3">
        <f t="shared" si="50"/>
        <v>0.18970188962931936</v>
      </c>
      <c r="V136" s="2">
        <v>5.59</v>
      </c>
      <c r="W136" s="2">
        <v>1.83</v>
      </c>
      <c r="X136" s="2">
        <f t="shared" si="51"/>
        <v>18300</v>
      </c>
      <c r="Y136" s="5">
        <v>-0.52</v>
      </c>
      <c r="Z136" s="5">
        <v>-2.48</v>
      </c>
      <c r="AA136" s="2">
        <f t="shared" si="52"/>
        <v>1.96</v>
      </c>
      <c r="AB136" s="3">
        <f t="shared" si="53"/>
        <v>9.6786678382305799E-2</v>
      </c>
    </row>
    <row r="137" spans="1:28" x14ac:dyDescent="0.2">
      <c r="A137" t="s">
        <v>6</v>
      </c>
      <c r="B137">
        <v>72</v>
      </c>
      <c r="C137">
        <v>5</v>
      </c>
      <c r="D137">
        <v>63</v>
      </c>
      <c r="E137" t="s">
        <v>7</v>
      </c>
      <c r="F137" s="1">
        <v>45147</v>
      </c>
      <c r="G137" t="s">
        <v>8</v>
      </c>
      <c r="H137" s="2">
        <v>35.76</v>
      </c>
      <c r="I137" s="2">
        <v>34.869999999999997</v>
      </c>
      <c r="J137" s="2">
        <v>30.4</v>
      </c>
      <c r="K137" s="2">
        <f t="shared" si="54"/>
        <v>308.02</v>
      </c>
      <c r="L137" s="2">
        <v>2.35</v>
      </c>
      <c r="M137" s="2">
        <v>0.28999999999999998</v>
      </c>
      <c r="N137" s="6">
        <f t="shared" si="43"/>
        <v>4.3404966072178901</v>
      </c>
      <c r="O137" s="6">
        <f t="shared" si="44"/>
        <v>1.9967021141680508</v>
      </c>
      <c r="P137" s="6">
        <f t="shared" si="45"/>
        <v>97.143055264129757</v>
      </c>
      <c r="Q137" s="6">
        <f t="shared" si="55"/>
        <v>5.9422056936924079</v>
      </c>
      <c r="R137" s="10">
        <f t="shared" si="56"/>
        <v>5.9422056936924081E-3</v>
      </c>
      <c r="S137" s="3">
        <f t="shared" si="48"/>
        <v>0.10695970248646335</v>
      </c>
      <c r="T137" s="4">
        <f t="shared" si="49"/>
        <v>1.0695970248646334E-4</v>
      </c>
      <c r="U137" s="3">
        <f t="shared" si="50"/>
        <v>0.38505492895126803</v>
      </c>
      <c r="V137" s="2">
        <v>13.53</v>
      </c>
      <c r="W137" s="2">
        <v>2.78</v>
      </c>
      <c r="X137" s="2">
        <f t="shared" si="51"/>
        <v>27799.999999999996</v>
      </c>
      <c r="Y137" s="5">
        <v>-0.76</v>
      </c>
      <c r="Z137" s="5">
        <v>-1.58</v>
      </c>
      <c r="AA137" s="2">
        <f t="shared" si="52"/>
        <v>0.82000000000000006</v>
      </c>
      <c r="AB137" s="3">
        <f t="shared" si="53"/>
        <v>0.46957918164788781</v>
      </c>
    </row>
    <row r="138" spans="1:28" x14ac:dyDescent="0.2">
      <c r="A138" t="s">
        <v>6</v>
      </c>
      <c r="B138">
        <v>72</v>
      </c>
      <c r="C138">
        <v>5</v>
      </c>
      <c r="D138">
        <v>85</v>
      </c>
      <c r="E138" t="s">
        <v>7</v>
      </c>
      <c r="F138" s="1">
        <v>45148</v>
      </c>
      <c r="G138" t="s">
        <v>8</v>
      </c>
      <c r="H138" s="2">
        <v>32.29</v>
      </c>
      <c r="I138" s="2">
        <v>34.75</v>
      </c>
      <c r="J138" s="2">
        <v>31.06</v>
      </c>
      <c r="K138" s="2">
        <f t="shared" si="54"/>
        <v>307.89999999999998</v>
      </c>
      <c r="L138" s="2">
        <v>2.72</v>
      </c>
      <c r="M138" s="2">
        <v>0.2</v>
      </c>
      <c r="N138" s="6">
        <f t="shared" si="43"/>
        <v>4.5072862055074223</v>
      </c>
      <c r="O138" s="6">
        <f t="shared" si="44"/>
        <v>1.7909928835550892</v>
      </c>
      <c r="P138" s="6">
        <f t="shared" si="45"/>
        <v>97.141459525692554</v>
      </c>
      <c r="Q138" s="6">
        <f t="shared" si="55"/>
        <v>3.6797598352631509</v>
      </c>
      <c r="R138" s="10">
        <f t="shared" si="56"/>
        <v>3.6797598352631511E-3</v>
      </c>
      <c r="S138" s="3">
        <f t="shared" si="48"/>
        <v>6.623567703473672E-2</v>
      </c>
      <c r="T138" s="4">
        <f t="shared" si="49"/>
        <v>6.6235677034736723E-5</v>
      </c>
      <c r="U138" s="3">
        <f t="shared" si="50"/>
        <v>0.23844843732505219</v>
      </c>
      <c r="V138" s="2">
        <v>8.26</v>
      </c>
      <c r="W138" s="2">
        <v>2.33</v>
      </c>
      <c r="X138" s="2">
        <f t="shared" si="51"/>
        <v>23300</v>
      </c>
      <c r="Y138" s="5">
        <v>-0.53</v>
      </c>
      <c r="Z138" s="5">
        <v>-2.08</v>
      </c>
      <c r="AA138" s="2">
        <f t="shared" si="52"/>
        <v>1.55</v>
      </c>
      <c r="AB138" s="3">
        <f t="shared" si="53"/>
        <v>0.15383770150003367</v>
      </c>
    </row>
    <row r="139" spans="1:28" x14ac:dyDescent="0.2">
      <c r="A139" t="s">
        <v>9</v>
      </c>
      <c r="B139">
        <v>1521</v>
      </c>
      <c r="C139">
        <v>153</v>
      </c>
      <c r="D139">
        <v>69</v>
      </c>
      <c r="E139" t="s">
        <v>7</v>
      </c>
      <c r="F139" s="1">
        <v>45148</v>
      </c>
      <c r="G139" t="s">
        <v>8</v>
      </c>
      <c r="H139" s="2">
        <v>31.24</v>
      </c>
      <c r="I139" s="2">
        <v>35.24</v>
      </c>
      <c r="J139" s="2">
        <v>32.229999999999997</v>
      </c>
      <c r="K139" s="2">
        <f t="shared" si="54"/>
        <v>308.39</v>
      </c>
      <c r="L139" s="2">
        <v>3.04</v>
      </c>
      <c r="M139" s="2">
        <v>0.23</v>
      </c>
      <c r="N139" s="6">
        <f t="shared" si="43"/>
        <v>4.8167084553897102</v>
      </c>
      <c r="O139" s="6">
        <f t="shared" si="44"/>
        <v>1.7804167522465242</v>
      </c>
      <c r="P139" s="6">
        <f t="shared" si="45"/>
        <v>97.147967804520164</v>
      </c>
      <c r="Q139" s="6">
        <f t="shared" si="55"/>
        <v>4.206397251272401</v>
      </c>
      <c r="R139" s="10">
        <f t="shared" si="56"/>
        <v>4.2063972512724011E-3</v>
      </c>
      <c r="S139" s="3">
        <f t="shared" si="48"/>
        <v>7.5715150522903216E-2</v>
      </c>
      <c r="T139" s="4">
        <f t="shared" si="49"/>
        <v>7.5715150522903213E-5</v>
      </c>
      <c r="U139" s="3">
        <f t="shared" si="50"/>
        <v>0.27257454188245156</v>
      </c>
      <c r="V139" s="2">
        <v>1.89</v>
      </c>
      <c r="W139" s="2">
        <v>0.42</v>
      </c>
      <c r="X139" s="2">
        <f t="shared" si="51"/>
        <v>4200</v>
      </c>
      <c r="Y139" s="5">
        <v>-0.67</v>
      </c>
      <c r="Z139" s="5">
        <v>-2.2999999999999998</v>
      </c>
      <c r="AA139" s="2">
        <f t="shared" si="52"/>
        <v>1.63</v>
      </c>
      <c r="AB139" s="3">
        <f t="shared" si="53"/>
        <v>0.1672236453266574</v>
      </c>
    </row>
    <row r="140" spans="1:28" x14ac:dyDescent="0.2">
      <c r="A140" t="s">
        <v>9</v>
      </c>
      <c r="B140">
        <v>1521</v>
      </c>
      <c r="C140">
        <v>153</v>
      </c>
      <c r="D140">
        <v>76</v>
      </c>
      <c r="E140" t="s">
        <v>7</v>
      </c>
      <c r="F140" s="1">
        <v>45148</v>
      </c>
      <c r="G140" t="s">
        <v>8</v>
      </c>
      <c r="H140" s="2">
        <v>30.8</v>
      </c>
      <c r="I140" s="2">
        <v>35.19</v>
      </c>
      <c r="J140" s="2">
        <v>32.35</v>
      </c>
      <c r="K140" s="2">
        <f t="shared" si="54"/>
        <v>308.33999999999997</v>
      </c>
      <c r="L140" s="2">
        <v>3.11</v>
      </c>
      <c r="M140" s="2">
        <v>0.15</v>
      </c>
      <c r="N140" s="6">
        <f t="shared" si="43"/>
        <v>4.8494653510875381</v>
      </c>
      <c r="O140" s="6">
        <f t="shared" si="44"/>
        <v>1.750494479238101</v>
      </c>
      <c r="P140" s="6">
        <f t="shared" si="45"/>
        <v>97.147304622167127</v>
      </c>
      <c r="Q140" s="6">
        <f t="shared" si="55"/>
        <v>2.6858161806744953</v>
      </c>
      <c r="R140" s="10">
        <f t="shared" si="56"/>
        <v>2.6858161806744955E-3</v>
      </c>
      <c r="S140" s="3">
        <f t="shared" si="48"/>
        <v>4.8344691252140921E-2</v>
      </c>
      <c r="T140" s="4">
        <f t="shared" si="49"/>
        <v>4.8344691252140919E-5</v>
      </c>
      <c r="U140" s="3">
        <f t="shared" si="50"/>
        <v>0.1740408885077073</v>
      </c>
      <c r="V140" s="2">
        <v>1.63</v>
      </c>
      <c r="W140" s="2">
        <v>0.4</v>
      </c>
      <c r="X140" s="2">
        <f t="shared" si="51"/>
        <v>4000</v>
      </c>
      <c r="Y140" s="5">
        <v>-0.77</v>
      </c>
      <c r="Z140" s="5">
        <v>-1.82</v>
      </c>
      <c r="AA140" s="2">
        <f t="shared" si="52"/>
        <v>1.05</v>
      </c>
      <c r="AB140" s="3">
        <f t="shared" si="53"/>
        <v>0.16575322715019741</v>
      </c>
    </row>
    <row r="141" spans="1:28" x14ac:dyDescent="0.2">
      <c r="A141" t="s">
        <v>9</v>
      </c>
      <c r="B141">
        <v>1521</v>
      </c>
      <c r="C141">
        <v>153</v>
      </c>
      <c r="D141">
        <v>90</v>
      </c>
      <c r="E141" t="s">
        <v>7</v>
      </c>
      <c r="F141" s="1">
        <v>45147</v>
      </c>
      <c r="G141" t="s">
        <v>8</v>
      </c>
      <c r="H141" s="2">
        <v>34.74</v>
      </c>
      <c r="I141" s="2">
        <v>36.450000000000003</v>
      </c>
      <c r="J141" s="2">
        <v>34.46</v>
      </c>
      <c r="K141" s="2">
        <f t="shared" si="54"/>
        <v>309.59999999999997</v>
      </c>
      <c r="L141" s="2">
        <v>3.36</v>
      </c>
      <c r="M141" s="2">
        <v>0.17</v>
      </c>
      <c r="N141" s="6">
        <f t="shared" si="43"/>
        <v>5.4579728003172727</v>
      </c>
      <c r="O141" s="6">
        <f t="shared" si="44"/>
        <v>2.1162328420157093</v>
      </c>
      <c r="P141" s="6">
        <f t="shared" si="45"/>
        <v>97.163952871245414</v>
      </c>
      <c r="Q141" s="6">
        <f t="shared" si="55"/>
        <v>3.6706552740454081</v>
      </c>
      <c r="R141" s="10">
        <f t="shared" si="56"/>
        <v>3.670655274045408E-3</v>
      </c>
      <c r="S141" s="3">
        <f t="shared" si="48"/>
        <v>6.607179493281734E-2</v>
      </c>
      <c r="T141" s="4">
        <f t="shared" si="49"/>
        <v>6.6071794932817337E-5</v>
      </c>
      <c r="U141" s="3">
        <f t="shared" si="50"/>
        <v>0.2378584617581424</v>
      </c>
      <c r="V141" s="2">
        <v>3.81</v>
      </c>
      <c r="W141" s="2">
        <v>0.53</v>
      </c>
      <c r="X141" s="2">
        <f t="shared" si="51"/>
        <v>5300</v>
      </c>
      <c r="Y141" s="5">
        <v>-0.55000000000000004</v>
      </c>
      <c r="Z141" s="5">
        <v>-2.0499999999999998</v>
      </c>
      <c r="AA141" s="2">
        <f t="shared" si="52"/>
        <v>1.4999999999999998</v>
      </c>
      <c r="AB141" s="3">
        <f t="shared" si="53"/>
        <v>0.15857230783876164</v>
      </c>
    </row>
    <row r="142" spans="1:28" x14ac:dyDescent="0.2">
      <c r="A142" t="s">
        <v>9</v>
      </c>
      <c r="B142">
        <v>1521</v>
      </c>
      <c r="C142">
        <v>155</v>
      </c>
      <c r="D142">
        <v>62</v>
      </c>
      <c r="E142" t="s">
        <v>7</v>
      </c>
      <c r="F142" s="1">
        <v>45147</v>
      </c>
      <c r="G142" t="s">
        <v>8</v>
      </c>
      <c r="H142" s="2">
        <v>35.14</v>
      </c>
      <c r="I142" s="2">
        <v>35.729999999999997</v>
      </c>
      <c r="J142" s="2">
        <v>31.98</v>
      </c>
      <c r="K142" s="2">
        <f t="shared" si="54"/>
        <v>308.88</v>
      </c>
      <c r="L142" s="2">
        <v>2.69</v>
      </c>
      <c r="M142" s="2">
        <v>0.27</v>
      </c>
      <c r="N142" s="6">
        <f t="shared" si="43"/>
        <v>4.7490829463182465</v>
      </c>
      <c r="O142" s="6">
        <f t="shared" si="44"/>
        <v>2.0575741576097553</v>
      </c>
      <c r="P142" s="6">
        <f t="shared" si="45"/>
        <v>97.154455868153832</v>
      </c>
      <c r="Q142" s="6">
        <f t="shared" si="55"/>
        <v>5.7223561239475966</v>
      </c>
      <c r="R142" s="10">
        <f t="shared" si="56"/>
        <v>5.7223561239475966E-3</v>
      </c>
      <c r="S142" s="3">
        <f t="shared" si="48"/>
        <v>0.10300241023105675</v>
      </c>
      <c r="T142" s="4">
        <f t="shared" si="49"/>
        <v>1.0300241023105674E-4</v>
      </c>
      <c r="U142" s="3">
        <f t="shared" si="50"/>
        <v>0.37080867683180424</v>
      </c>
      <c r="V142" s="2">
        <v>1.17</v>
      </c>
      <c r="W142" s="2">
        <v>0.44</v>
      </c>
      <c r="X142" s="2">
        <f t="shared" si="51"/>
        <v>4400</v>
      </c>
      <c r="Y142" s="5">
        <v>-1.3</v>
      </c>
      <c r="Z142" s="5">
        <v>-2.12</v>
      </c>
      <c r="AA142" s="2">
        <f t="shared" si="52"/>
        <v>0.82000000000000006</v>
      </c>
      <c r="AB142" s="3">
        <f t="shared" si="53"/>
        <v>0.45220570345341976</v>
      </c>
    </row>
    <row r="143" spans="1:28" x14ac:dyDescent="0.2">
      <c r="A143" t="s">
        <v>9</v>
      </c>
      <c r="B143">
        <v>1521</v>
      </c>
      <c r="C143">
        <v>155</v>
      </c>
      <c r="D143">
        <v>64</v>
      </c>
      <c r="E143" t="s">
        <v>7</v>
      </c>
      <c r="F143" s="1">
        <v>45147</v>
      </c>
      <c r="G143" t="s">
        <v>8</v>
      </c>
      <c r="H143" s="2">
        <v>36.869999999999997</v>
      </c>
      <c r="I143" s="2">
        <v>34.46</v>
      </c>
      <c r="J143" s="2">
        <v>30.79</v>
      </c>
      <c r="K143" s="2">
        <f t="shared" si="54"/>
        <v>307.60999999999996</v>
      </c>
      <c r="L143" s="2">
        <v>2.4300000000000002</v>
      </c>
      <c r="M143" s="2">
        <v>0.25</v>
      </c>
      <c r="N143" s="6">
        <f t="shared" si="43"/>
        <v>4.4383913578498166</v>
      </c>
      <c r="O143" s="6">
        <f t="shared" si="44"/>
        <v>2.0123545714769784</v>
      </c>
      <c r="P143" s="6">
        <f t="shared" si="45"/>
        <v>97.137598126281404</v>
      </c>
      <c r="Q143" s="6">
        <f t="shared" si="55"/>
        <v>5.1689340600095326</v>
      </c>
      <c r="R143" s="10">
        <f t="shared" si="56"/>
        <v>5.168934060009533E-3</v>
      </c>
      <c r="S143" s="3">
        <f t="shared" si="48"/>
        <v>9.3040813080171592E-2</v>
      </c>
      <c r="T143" s="4">
        <f t="shared" si="49"/>
        <v>9.3040813080171595E-5</v>
      </c>
      <c r="U143" s="3">
        <f t="shared" si="50"/>
        <v>0.33494692708861773</v>
      </c>
      <c r="V143" s="2">
        <v>1.37</v>
      </c>
      <c r="W143" s="2">
        <v>0.45</v>
      </c>
      <c r="X143" s="2">
        <f t="shared" si="51"/>
        <v>4500</v>
      </c>
      <c r="Y143" s="5">
        <v>-0.61</v>
      </c>
      <c r="Z143" s="5">
        <v>-2.15</v>
      </c>
      <c r="AA143" s="2">
        <f t="shared" si="52"/>
        <v>1.54</v>
      </c>
      <c r="AB143" s="3">
        <f t="shared" si="53"/>
        <v>0.21749800460299851</v>
      </c>
    </row>
    <row r="144" spans="1:28" x14ac:dyDescent="0.2">
      <c r="A144" t="s">
        <v>9</v>
      </c>
      <c r="B144">
        <v>1521</v>
      </c>
      <c r="C144">
        <v>155</v>
      </c>
      <c r="D144">
        <v>66</v>
      </c>
      <c r="E144" t="s">
        <v>7</v>
      </c>
      <c r="F144" s="1">
        <v>45148</v>
      </c>
      <c r="G144" t="s">
        <v>8</v>
      </c>
      <c r="H144" s="2">
        <v>29.72</v>
      </c>
      <c r="I144" s="2">
        <v>35.909999999999997</v>
      </c>
      <c r="J144" s="2">
        <v>32.72</v>
      </c>
      <c r="K144" s="2">
        <f t="shared" si="54"/>
        <v>309.05999999999995</v>
      </c>
      <c r="L144" s="2">
        <v>3.2</v>
      </c>
      <c r="M144" s="2">
        <v>0.16</v>
      </c>
      <c r="N144" s="6">
        <f t="shared" si="43"/>
        <v>4.951689510201974</v>
      </c>
      <c r="O144" s="6">
        <f t="shared" si="44"/>
        <v>1.7575427407840225</v>
      </c>
      <c r="P144" s="6">
        <f t="shared" si="45"/>
        <v>97.156834180168445</v>
      </c>
      <c r="Q144" s="6">
        <f t="shared" si="55"/>
        <v>2.8847206066078708</v>
      </c>
      <c r="R144" s="10">
        <f t="shared" si="56"/>
        <v>2.8847206066078706E-3</v>
      </c>
      <c r="S144" s="3">
        <f t="shared" si="48"/>
        <v>5.1924970918941674E-2</v>
      </c>
      <c r="T144" s="4">
        <f t="shared" si="49"/>
        <v>5.1924970918941673E-5</v>
      </c>
      <c r="U144" s="3">
        <f t="shared" si="50"/>
        <v>0.18692989530819001</v>
      </c>
      <c r="V144" s="2">
        <v>3.21</v>
      </c>
      <c r="W144" s="2">
        <v>0.68</v>
      </c>
      <c r="X144" s="2">
        <f t="shared" si="51"/>
        <v>6800.0000000000009</v>
      </c>
      <c r="Y144" s="5">
        <v>-0.89</v>
      </c>
      <c r="Z144" s="5">
        <v>-1.85</v>
      </c>
      <c r="AA144" s="2">
        <f t="shared" si="52"/>
        <v>0.96000000000000008</v>
      </c>
      <c r="AB144" s="3">
        <f t="shared" si="53"/>
        <v>0.19471864094603125</v>
      </c>
    </row>
    <row r="145" spans="1:28" x14ac:dyDescent="0.2">
      <c r="A145" t="s">
        <v>9</v>
      </c>
      <c r="B145">
        <v>1521</v>
      </c>
      <c r="C145">
        <v>156</v>
      </c>
      <c r="D145">
        <v>71</v>
      </c>
      <c r="E145" t="s">
        <v>7</v>
      </c>
      <c r="F145" s="1">
        <v>45147</v>
      </c>
      <c r="G145" t="s">
        <v>8</v>
      </c>
      <c r="H145" s="2">
        <v>35.200000000000003</v>
      </c>
      <c r="I145" s="2">
        <v>35.9</v>
      </c>
      <c r="J145" s="2">
        <v>32.94</v>
      </c>
      <c r="K145" s="2">
        <f t="shared" si="54"/>
        <v>309.04999999999995</v>
      </c>
      <c r="L145" s="2">
        <v>2.94</v>
      </c>
      <c r="M145" s="2">
        <v>0.19</v>
      </c>
      <c r="N145" s="6">
        <f t="shared" si="43"/>
        <v>5.0133561484994944</v>
      </c>
      <c r="O145" s="6">
        <f t="shared" si="44"/>
        <v>2.0804669706615728</v>
      </c>
      <c r="P145" s="6">
        <f t="shared" si="45"/>
        <v>97.156702122876879</v>
      </c>
      <c r="Q145" s="6">
        <f t="shared" si="55"/>
        <v>4.0546628241526728</v>
      </c>
      <c r="R145" s="10">
        <f t="shared" si="56"/>
        <v>4.0546628241526729E-3</v>
      </c>
      <c r="S145" s="3">
        <f t="shared" si="48"/>
        <v>7.2983930834748106E-2</v>
      </c>
      <c r="T145" s="4">
        <f t="shared" si="49"/>
        <v>7.298393083474811E-5</v>
      </c>
      <c r="U145" s="3">
        <f t="shared" si="50"/>
        <v>0.26274215100509318</v>
      </c>
      <c r="V145" s="2">
        <v>3.35</v>
      </c>
      <c r="W145" s="2">
        <v>0.65</v>
      </c>
      <c r="X145" s="2">
        <f t="shared" si="51"/>
        <v>6500</v>
      </c>
      <c r="Y145" s="5">
        <v>-0.36</v>
      </c>
      <c r="Z145" s="5">
        <v>-1.87</v>
      </c>
      <c r="AA145" s="2">
        <f t="shared" si="52"/>
        <v>1.5100000000000002</v>
      </c>
      <c r="AB145" s="3">
        <f t="shared" si="53"/>
        <v>0.17400142450668421</v>
      </c>
    </row>
    <row r="146" spans="1:28" x14ac:dyDescent="0.2">
      <c r="A146" t="s">
        <v>9</v>
      </c>
      <c r="B146">
        <v>1521</v>
      </c>
      <c r="C146">
        <v>156</v>
      </c>
      <c r="D146">
        <v>74</v>
      </c>
      <c r="E146" t="s">
        <v>7</v>
      </c>
      <c r="F146" s="1">
        <v>45148</v>
      </c>
      <c r="G146" t="s">
        <v>8</v>
      </c>
      <c r="H146" s="2">
        <v>31.47</v>
      </c>
      <c r="I146" s="2">
        <v>35.17</v>
      </c>
      <c r="J146" s="2">
        <v>34.19</v>
      </c>
      <c r="K146" s="2">
        <f t="shared" si="54"/>
        <v>308.32</v>
      </c>
      <c r="L146" s="2">
        <v>3.61</v>
      </c>
      <c r="M146" s="2">
        <v>0.04</v>
      </c>
      <c r="N146" s="6">
        <f t="shared" si="43"/>
        <v>5.3765791234281357</v>
      </c>
      <c r="O146" s="6">
        <f t="shared" si="44"/>
        <v>1.7865961876920635</v>
      </c>
      <c r="P146" s="6">
        <f t="shared" si="45"/>
        <v>97.147039290267173</v>
      </c>
      <c r="Q146" s="6">
        <f t="shared" si="55"/>
        <v>0.72738361820775455</v>
      </c>
      <c r="R146" s="10">
        <f t="shared" si="56"/>
        <v>7.2738361820775459E-4</v>
      </c>
      <c r="S146" s="3">
        <f t="shared" si="48"/>
        <v>1.3092905127739583E-2</v>
      </c>
      <c r="T146" s="4">
        <f t="shared" si="49"/>
        <v>1.3092905127739584E-5</v>
      </c>
      <c r="U146" s="3">
        <f t="shared" si="50"/>
        <v>4.7134458459862499E-2</v>
      </c>
      <c r="V146" s="2">
        <v>2.92</v>
      </c>
      <c r="W146" s="2">
        <v>0.64</v>
      </c>
      <c r="X146" s="2">
        <f t="shared" si="51"/>
        <v>6400</v>
      </c>
      <c r="Y146" s="5">
        <v>-0.35</v>
      </c>
      <c r="Z146" s="5">
        <v>-1.77</v>
      </c>
      <c r="AA146" s="2">
        <f t="shared" si="52"/>
        <v>1.42</v>
      </c>
      <c r="AB146" s="3">
        <f t="shared" si="53"/>
        <v>3.3193280605536973E-2</v>
      </c>
    </row>
    <row r="147" spans="1:28" x14ac:dyDescent="0.2">
      <c r="A147" t="s">
        <v>9</v>
      </c>
      <c r="B147">
        <v>1521</v>
      </c>
      <c r="C147">
        <v>156</v>
      </c>
      <c r="D147">
        <v>75</v>
      </c>
      <c r="E147" t="s">
        <v>7</v>
      </c>
      <c r="F147" s="1">
        <v>45148</v>
      </c>
      <c r="G147" t="s">
        <v>8</v>
      </c>
      <c r="H147" s="2">
        <v>29.88</v>
      </c>
      <c r="I147" s="2">
        <v>35.799999999999997</v>
      </c>
      <c r="J147" s="2">
        <v>33.229999999999997</v>
      </c>
      <c r="K147" s="2">
        <f t="shared" si="54"/>
        <v>308.95</v>
      </c>
      <c r="L147" s="2">
        <v>3.35</v>
      </c>
      <c r="M147" s="2">
        <v>0.15</v>
      </c>
      <c r="N147" s="6">
        <f t="shared" si="43"/>
        <v>5.0956642905620058</v>
      </c>
      <c r="O147" s="6">
        <f t="shared" si="44"/>
        <v>1.7563397197255497</v>
      </c>
      <c r="P147" s="6">
        <f t="shared" si="45"/>
        <v>97.15538108965707</v>
      </c>
      <c r="Q147" s="6">
        <f t="shared" si="55"/>
        <v>2.6951635683736384</v>
      </c>
      <c r="R147" s="10">
        <f t="shared" si="56"/>
        <v>2.6951635683736385E-3</v>
      </c>
      <c r="S147" s="3">
        <f t="shared" si="48"/>
        <v>4.8512944230725497E-2</v>
      </c>
      <c r="T147" s="4">
        <f t="shared" si="49"/>
        <v>4.8512944230725495E-5</v>
      </c>
      <c r="U147" s="3">
        <f t="shared" si="50"/>
        <v>0.17464659923061179</v>
      </c>
      <c r="V147" s="2">
        <v>2.78</v>
      </c>
      <c r="W147" s="2">
        <v>0.57999999999999996</v>
      </c>
      <c r="X147" s="2">
        <f t="shared" si="51"/>
        <v>5800</v>
      </c>
      <c r="Y147" s="5">
        <v>-0.39</v>
      </c>
      <c r="Z147" s="5">
        <v>-2.06</v>
      </c>
      <c r="AA147" s="2">
        <f t="shared" si="52"/>
        <v>1.67</v>
      </c>
      <c r="AB147" s="3">
        <f t="shared" si="53"/>
        <v>0.10457880193449809</v>
      </c>
    </row>
    <row r="148" spans="1:28" x14ac:dyDescent="0.2">
      <c r="A148" t="s">
        <v>9</v>
      </c>
      <c r="B148">
        <v>1521</v>
      </c>
      <c r="C148">
        <v>157</v>
      </c>
      <c r="D148">
        <v>67</v>
      </c>
      <c r="E148" t="s">
        <v>7</v>
      </c>
      <c r="F148" s="1">
        <v>45148</v>
      </c>
      <c r="G148" t="s">
        <v>8</v>
      </c>
      <c r="H148" s="2">
        <v>31.73</v>
      </c>
      <c r="I148" s="2">
        <v>34.89</v>
      </c>
      <c r="J148" s="2">
        <v>32.159999999999997</v>
      </c>
      <c r="K148" s="2">
        <f t="shared" si="54"/>
        <v>308.03999999999996</v>
      </c>
      <c r="L148" s="2">
        <v>3.03</v>
      </c>
      <c r="M148" s="2">
        <v>0.17</v>
      </c>
      <c r="N148" s="6">
        <f t="shared" si="43"/>
        <v>4.7976893483457017</v>
      </c>
      <c r="O148" s="6">
        <f t="shared" si="44"/>
        <v>1.7736472670804333</v>
      </c>
      <c r="P148" s="6">
        <f t="shared" si="45"/>
        <v>97.143321102209541</v>
      </c>
      <c r="Q148" s="6">
        <f t="shared" si="55"/>
        <v>3.093441585166623</v>
      </c>
      <c r="R148" s="10">
        <f t="shared" si="56"/>
        <v>3.0934415851666232E-3</v>
      </c>
      <c r="S148" s="3">
        <f t="shared" si="48"/>
        <v>5.5681948532999216E-2</v>
      </c>
      <c r="T148" s="4">
        <f t="shared" si="49"/>
        <v>5.5681948532999213E-5</v>
      </c>
      <c r="U148" s="3">
        <f t="shared" si="50"/>
        <v>0.20045501471879718</v>
      </c>
      <c r="V148" s="2">
        <v>2.46</v>
      </c>
      <c r="W148" s="2">
        <v>0.65</v>
      </c>
      <c r="X148" s="2">
        <f t="shared" si="51"/>
        <v>6500</v>
      </c>
      <c r="Y148" s="5">
        <v>-0.7</v>
      </c>
      <c r="Z148" s="5">
        <v>-2.02</v>
      </c>
      <c r="AA148" s="2">
        <f t="shared" si="52"/>
        <v>1.32</v>
      </c>
      <c r="AB148" s="3">
        <f t="shared" si="53"/>
        <v>0.1518598596354524</v>
      </c>
    </row>
    <row r="149" spans="1:28" x14ac:dyDescent="0.2">
      <c r="A149" t="s">
        <v>9</v>
      </c>
      <c r="B149">
        <v>1521</v>
      </c>
      <c r="C149">
        <v>157</v>
      </c>
      <c r="D149">
        <v>68</v>
      </c>
      <c r="E149" t="s">
        <v>7</v>
      </c>
      <c r="F149" s="1">
        <v>45148</v>
      </c>
      <c r="G149" t="s">
        <v>8</v>
      </c>
      <c r="H149" s="2">
        <v>31.55</v>
      </c>
      <c r="I149" s="2">
        <v>34.869999999999997</v>
      </c>
      <c r="J149" s="2">
        <v>32.03</v>
      </c>
      <c r="K149" s="2">
        <f t="shared" si="54"/>
        <v>308.02</v>
      </c>
      <c r="L149" s="2">
        <v>3.01</v>
      </c>
      <c r="M149" s="2">
        <v>0.12</v>
      </c>
      <c r="N149" s="6">
        <f t="shared" si="43"/>
        <v>4.7625415289735118</v>
      </c>
      <c r="O149" s="6">
        <f t="shared" si="44"/>
        <v>1.7616317590045303</v>
      </c>
      <c r="P149" s="6">
        <f t="shared" si="45"/>
        <v>97.143055264129757</v>
      </c>
      <c r="Q149" s="6">
        <f t="shared" si="55"/>
        <v>2.1648998263952781</v>
      </c>
      <c r="R149" s="10">
        <f t="shared" si="56"/>
        <v>2.1648998263952782E-3</v>
      </c>
      <c r="S149" s="3">
        <f t="shared" si="48"/>
        <v>3.8968196875115005E-2</v>
      </c>
      <c r="T149" s="4">
        <f t="shared" si="49"/>
        <v>3.8968196875115003E-5</v>
      </c>
      <c r="U149" s="3">
        <f t="shared" si="50"/>
        <v>0.14028550875041401</v>
      </c>
      <c r="V149" s="2">
        <v>2.9</v>
      </c>
      <c r="W149" s="2">
        <v>0.85</v>
      </c>
      <c r="X149" s="2">
        <f t="shared" si="51"/>
        <v>8500</v>
      </c>
      <c r="Y149" s="5">
        <v>-0.66</v>
      </c>
      <c r="Z149" s="5">
        <v>-2.2000000000000002</v>
      </c>
      <c r="AA149" s="2">
        <f t="shared" si="52"/>
        <v>1.54</v>
      </c>
      <c r="AB149" s="3">
        <f t="shared" si="53"/>
        <v>9.1094486201567543E-2</v>
      </c>
    </row>
    <row r="150" spans="1:28" x14ac:dyDescent="0.2">
      <c r="A150" t="s">
        <v>9</v>
      </c>
      <c r="B150">
        <v>1521</v>
      </c>
      <c r="C150">
        <v>157</v>
      </c>
      <c r="D150">
        <v>72</v>
      </c>
      <c r="E150" t="s">
        <v>7</v>
      </c>
      <c r="F150" s="1">
        <v>45147</v>
      </c>
      <c r="G150" t="s">
        <v>8</v>
      </c>
      <c r="H150" s="2">
        <v>36.22</v>
      </c>
      <c r="I150" s="2">
        <v>35.159999999999997</v>
      </c>
      <c r="J150" s="2">
        <v>32.020000000000003</v>
      </c>
      <c r="K150" s="2">
        <f t="shared" si="54"/>
        <v>308.30999999999995</v>
      </c>
      <c r="L150" s="2">
        <v>2.71</v>
      </c>
      <c r="M150" s="2">
        <v>0.18</v>
      </c>
      <c r="N150" s="6">
        <f t="shared" si="43"/>
        <v>4.7598471593782454</v>
      </c>
      <c r="O150" s="6">
        <f t="shared" si="44"/>
        <v>2.0551233585238995</v>
      </c>
      <c r="P150" s="6">
        <f t="shared" si="45"/>
        <v>97.146906611679981</v>
      </c>
      <c r="Q150" s="6">
        <f t="shared" si="55"/>
        <v>3.7980878810990628</v>
      </c>
      <c r="R150" s="10">
        <f t="shared" si="56"/>
        <v>3.798087881099063E-3</v>
      </c>
      <c r="S150" s="3">
        <f t="shared" si="48"/>
        <v>6.8365581859783128E-2</v>
      </c>
      <c r="T150" s="4">
        <f t="shared" si="49"/>
        <v>6.8365581859783134E-5</v>
      </c>
      <c r="U150" s="3">
        <f t="shared" si="50"/>
        <v>0.24611609469521928</v>
      </c>
      <c r="V150" s="2">
        <v>1.89</v>
      </c>
      <c r="W150" s="2">
        <v>1.52</v>
      </c>
      <c r="X150" s="2">
        <f t="shared" si="51"/>
        <v>15200</v>
      </c>
      <c r="Y150" s="5">
        <v>-0.72</v>
      </c>
      <c r="Z150" s="5">
        <v>-2.09</v>
      </c>
      <c r="AA150" s="2">
        <f t="shared" si="52"/>
        <v>1.3699999999999999</v>
      </c>
      <c r="AB150" s="3">
        <f t="shared" si="53"/>
        <v>0.17964678444906518</v>
      </c>
    </row>
    <row r="151" spans="1:28" x14ac:dyDescent="0.2">
      <c r="A151" t="s">
        <v>9</v>
      </c>
      <c r="B151">
        <v>1521</v>
      </c>
      <c r="C151">
        <v>158</v>
      </c>
      <c r="D151">
        <v>70</v>
      </c>
      <c r="E151" t="s">
        <v>7</v>
      </c>
      <c r="F151" s="1">
        <v>45148</v>
      </c>
      <c r="G151" t="s">
        <v>8</v>
      </c>
      <c r="H151" s="2">
        <v>29.82</v>
      </c>
      <c r="I151" s="2">
        <v>36.119999999999997</v>
      </c>
      <c r="J151" s="2">
        <v>33.81</v>
      </c>
      <c r="K151" s="2">
        <f t="shared" si="54"/>
        <v>309.27</v>
      </c>
      <c r="L151" s="2">
        <v>3.49</v>
      </c>
      <c r="M151" s="2">
        <v>0.13</v>
      </c>
      <c r="N151" s="6">
        <f t="shared" si="43"/>
        <v>5.2638138837601911</v>
      </c>
      <c r="O151" s="6">
        <f t="shared" si="44"/>
        <v>1.7839317643354093</v>
      </c>
      <c r="P151" s="6">
        <f t="shared" si="45"/>
        <v>97.159605451972496</v>
      </c>
      <c r="Q151" s="6">
        <f t="shared" si="55"/>
        <v>2.3733711537436402</v>
      </c>
      <c r="R151" s="10">
        <f t="shared" si="56"/>
        <v>2.3733711537436402E-3</v>
      </c>
      <c r="S151" s="3">
        <f t="shared" si="48"/>
        <v>4.2720680767385527E-2</v>
      </c>
      <c r="T151" s="4">
        <f t="shared" si="49"/>
        <v>4.2720680767385529E-5</v>
      </c>
      <c r="U151" s="3">
        <f t="shared" si="50"/>
        <v>0.15379445076258791</v>
      </c>
      <c r="V151" s="2">
        <v>1.25</v>
      </c>
      <c r="W151" s="2">
        <v>0.24</v>
      </c>
      <c r="X151" s="2">
        <f t="shared" si="51"/>
        <v>2400</v>
      </c>
      <c r="Y151" s="5">
        <v>-0.44</v>
      </c>
      <c r="Z151" s="5">
        <v>-1.95</v>
      </c>
      <c r="AA151" s="2">
        <f t="shared" si="52"/>
        <v>1.51</v>
      </c>
      <c r="AB151" s="3">
        <f t="shared" si="53"/>
        <v>0.10185062964409795</v>
      </c>
    </row>
    <row r="152" spans="1:28" x14ac:dyDescent="0.2">
      <c r="A152" t="s">
        <v>9</v>
      </c>
      <c r="B152">
        <v>1521</v>
      </c>
      <c r="C152">
        <v>158</v>
      </c>
      <c r="D152">
        <v>73</v>
      </c>
      <c r="E152" t="s">
        <v>7</v>
      </c>
      <c r="F152" s="1">
        <v>45148</v>
      </c>
      <c r="G152" t="s">
        <v>8</v>
      </c>
      <c r="H152" s="2">
        <v>30.77</v>
      </c>
      <c r="I152" s="2">
        <v>35.22</v>
      </c>
      <c r="J152" s="2">
        <v>32.67</v>
      </c>
      <c r="K152" s="2">
        <f t="shared" si="54"/>
        <v>308.37</v>
      </c>
      <c r="L152" s="2">
        <v>3.2</v>
      </c>
      <c r="M152" s="2">
        <v>0.1</v>
      </c>
      <c r="N152" s="6">
        <f t="shared" si="43"/>
        <v>4.9377667839853716</v>
      </c>
      <c r="O152" s="6">
        <f t="shared" si="44"/>
        <v>1.7516928127161728</v>
      </c>
      <c r="P152" s="6">
        <f t="shared" si="45"/>
        <v>97.147702556842972</v>
      </c>
      <c r="Q152" s="6">
        <f t="shared" si="55"/>
        <v>1.7887883483076414</v>
      </c>
      <c r="R152" s="10">
        <f t="shared" si="56"/>
        <v>1.7887883483076413E-3</v>
      </c>
      <c r="S152" s="3">
        <f t="shared" si="48"/>
        <v>3.2198190269537547E-2</v>
      </c>
      <c r="T152" s="4">
        <f t="shared" si="49"/>
        <v>3.2198190269537545E-5</v>
      </c>
      <c r="U152" s="3">
        <f t="shared" si="50"/>
        <v>0.11591348497033516</v>
      </c>
      <c r="V152" s="2">
        <v>1.75</v>
      </c>
      <c r="W152" s="2">
        <v>0.39</v>
      </c>
      <c r="X152" s="2">
        <f t="shared" si="51"/>
        <v>3900</v>
      </c>
      <c r="Y152" s="5">
        <v>-0.49</v>
      </c>
      <c r="Z152" s="5">
        <v>-2.7</v>
      </c>
      <c r="AA152" s="2">
        <f t="shared" si="52"/>
        <v>2.21</v>
      </c>
      <c r="AB152" s="3">
        <f t="shared" si="53"/>
        <v>5.2449540710558892E-2</v>
      </c>
    </row>
    <row r="153" spans="1:28" x14ac:dyDescent="0.2">
      <c r="A153" t="s">
        <v>9</v>
      </c>
      <c r="B153">
        <v>1521</v>
      </c>
      <c r="C153">
        <v>158</v>
      </c>
      <c r="D153">
        <v>81</v>
      </c>
      <c r="E153" t="s">
        <v>7</v>
      </c>
      <c r="F153" s="1">
        <v>45148</v>
      </c>
      <c r="G153" t="s">
        <v>8</v>
      </c>
      <c r="H153" s="2">
        <v>29.8</v>
      </c>
      <c r="I153" s="2">
        <v>36.22</v>
      </c>
      <c r="J153" s="2">
        <v>33.03</v>
      </c>
      <c r="K153" s="2">
        <f t="shared" si="54"/>
        <v>309.37</v>
      </c>
      <c r="L153" s="2">
        <v>3.25</v>
      </c>
      <c r="M153" s="2">
        <v>0.17</v>
      </c>
      <c r="N153" s="6">
        <f t="shared" si="43"/>
        <v>5.0387753530460113</v>
      </c>
      <c r="O153" s="6">
        <f t="shared" si="44"/>
        <v>1.7925512403536219</v>
      </c>
      <c r="P153" s="6">
        <f t="shared" si="45"/>
        <v>97.160923810617916</v>
      </c>
      <c r="Q153" s="6">
        <f t="shared" si="55"/>
        <v>3.1297747910522671</v>
      </c>
      <c r="R153" s="10">
        <f t="shared" si="56"/>
        <v>3.1297747910522672E-3</v>
      </c>
      <c r="S153" s="3">
        <f t="shared" si="48"/>
        <v>5.6335946238940809E-2</v>
      </c>
      <c r="T153" s="4">
        <f t="shared" si="49"/>
        <v>5.6335946238940808E-5</v>
      </c>
      <c r="U153" s="3">
        <f t="shared" si="50"/>
        <v>0.20280940646018691</v>
      </c>
      <c r="V153" s="2">
        <v>0.53</v>
      </c>
      <c r="W153" s="2">
        <v>0.2</v>
      </c>
      <c r="X153" s="2">
        <f t="shared" si="51"/>
        <v>2000</v>
      </c>
      <c r="Y153" s="5">
        <v>-0.83</v>
      </c>
      <c r="Z153" s="5">
        <v>-1.97</v>
      </c>
      <c r="AA153" s="2">
        <f t="shared" si="52"/>
        <v>1.1400000000000001</v>
      </c>
      <c r="AB153" s="3">
        <f t="shared" si="53"/>
        <v>0.17790298812297095</v>
      </c>
    </row>
    <row r="154" spans="1:28" x14ac:dyDescent="0.2">
      <c r="A154" t="s">
        <v>10</v>
      </c>
      <c r="B154">
        <v>666</v>
      </c>
      <c r="C154">
        <v>101</v>
      </c>
      <c r="D154">
        <v>1</v>
      </c>
      <c r="E154" t="s">
        <v>7</v>
      </c>
      <c r="F154" s="1">
        <v>45147</v>
      </c>
      <c r="G154" t="s">
        <v>8</v>
      </c>
      <c r="H154" s="2">
        <v>32.630000000000003</v>
      </c>
      <c r="I154" s="2">
        <v>37.479999999999997</v>
      </c>
      <c r="J154" s="2">
        <v>33.18</v>
      </c>
      <c r="K154" s="2">
        <f t="shared" si="54"/>
        <v>310.63</v>
      </c>
      <c r="L154" s="2">
        <v>2.98</v>
      </c>
      <c r="M154" s="2">
        <v>0.42</v>
      </c>
      <c r="N154" s="6">
        <f t="shared" si="43"/>
        <v>5.0813899265173816</v>
      </c>
      <c r="O154" s="6">
        <f t="shared" si="44"/>
        <v>2.102679331236545</v>
      </c>
      <c r="P154" s="6">
        <f t="shared" si="45"/>
        <v>97.177463921779889</v>
      </c>
      <c r="Q154" s="6">
        <f t="shared" si="55"/>
        <v>9.0821856582685658</v>
      </c>
      <c r="R154" s="10">
        <f t="shared" si="56"/>
        <v>9.082185658268566E-3</v>
      </c>
      <c r="S154" s="3">
        <f t="shared" si="48"/>
        <v>0.1634793418488342</v>
      </c>
      <c r="T154" s="4">
        <f t="shared" si="49"/>
        <v>1.6347934184883419E-4</v>
      </c>
      <c r="U154" s="3">
        <f t="shared" si="50"/>
        <v>0.5885256306558031</v>
      </c>
      <c r="V154" s="2">
        <v>5.47</v>
      </c>
      <c r="W154" s="2">
        <v>1.21</v>
      </c>
      <c r="X154" s="2">
        <f t="shared" si="51"/>
        <v>12100</v>
      </c>
      <c r="Y154" s="5">
        <v>-0.41</v>
      </c>
      <c r="Z154" s="5">
        <v>-1.98</v>
      </c>
      <c r="AA154" s="2">
        <f t="shared" si="52"/>
        <v>1.57</v>
      </c>
      <c r="AB154" s="3">
        <f t="shared" si="53"/>
        <v>0.3748570895896835</v>
      </c>
    </row>
    <row r="155" spans="1:28" x14ac:dyDescent="0.2">
      <c r="A155" t="s">
        <v>10</v>
      </c>
      <c r="B155">
        <v>666</v>
      </c>
      <c r="C155">
        <v>101</v>
      </c>
      <c r="D155">
        <v>2</v>
      </c>
      <c r="E155" t="s">
        <v>7</v>
      </c>
      <c r="F155" s="1">
        <v>45147</v>
      </c>
      <c r="G155" t="s">
        <v>8</v>
      </c>
      <c r="H155" s="2">
        <v>32.979999999999997</v>
      </c>
      <c r="I155" s="2">
        <v>37.1</v>
      </c>
      <c r="J155" s="2">
        <v>31.24</v>
      </c>
      <c r="K155" s="2">
        <f t="shared" si="54"/>
        <v>310.25</v>
      </c>
      <c r="L155" s="2">
        <v>2.48</v>
      </c>
      <c r="M155" s="2">
        <v>0.55000000000000004</v>
      </c>
      <c r="N155" s="6">
        <f t="shared" si="43"/>
        <v>4.5537319024581357</v>
      </c>
      <c r="O155" s="6">
        <f t="shared" si="44"/>
        <v>2.0816969345060903</v>
      </c>
      <c r="P155" s="6">
        <f t="shared" si="45"/>
        <v>97.172489487138918</v>
      </c>
      <c r="Q155" s="6">
        <f t="shared" si="55"/>
        <v>11.737401731412165</v>
      </c>
      <c r="R155" s="10">
        <f t="shared" si="56"/>
        <v>1.1737401731412165E-2</v>
      </c>
      <c r="S155" s="3">
        <f t="shared" si="48"/>
        <v>0.21127323116541896</v>
      </c>
      <c r="T155" s="4">
        <f t="shared" si="49"/>
        <v>2.1127323116541897E-4</v>
      </c>
      <c r="U155" s="3">
        <f t="shared" si="50"/>
        <v>0.76058363219550829</v>
      </c>
      <c r="V155" s="2">
        <v>6.42</v>
      </c>
      <c r="W155" s="2">
        <v>1.41</v>
      </c>
      <c r="X155" s="2">
        <f t="shared" si="51"/>
        <v>14100</v>
      </c>
      <c r="Y155" s="5">
        <v>-0.33</v>
      </c>
      <c r="Z155" s="5">
        <v>-2.63</v>
      </c>
      <c r="AA155" s="2">
        <f t="shared" si="52"/>
        <v>2.2999999999999998</v>
      </c>
      <c r="AB155" s="3">
        <f t="shared" si="53"/>
        <v>0.33068853573717755</v>
      </c>
    </row>
    <row r="156" spans="1:28" x14ac:dyDescent="0.2">
      <c r="A156" t="s">
        <v>10</v>
      </c>
      <c r="B156">
        <v>666</v>
      </c>
      <c r="C156">
        <v>101</v>
      </c>
      <c r="D156">
        <v>3</v>
      </c>
      <c r="E156" t="s">
        <v>7</v>
      </c>
      <c r="F156" s="1">
        <v>45147</v>
      </c>
      <c r="G156" t="s">
        <v>8</v>
      </c>
      <c r="H156" s="2">
        <v>33.6</v>
      </c>
      <c r="I156" s="2">
        <v>36.78</v>
      </c>
      <c r="J156" s="2">
        <v>31.35</v>
      </c>
      <c r="K156" s="2">
        <f t="shared" si="54"/>
        <v>309.92999999999995</v>
      </c>
      <c r="L156" s="2">
        <v>2.5</v>
      </c>
      <c r="M156" s="2">
        <v>0.45</v>
      </c>
      <c r="N156" s="6">
        <f t="shared" ref="N156:N187" si="57">0.611*EXP((17.502*J156)/(240.97+J156))</f>
        <v>4.582320106850621</v>
      </c>
      <c r="O156" s="6">
        <f t="shared" ref="O156:O187" si="58">(0.611*EXP((17.502*I156)/(240.97+I156)))*(H156/100)</f>
        <v>2.0840938174091512</v>
      </c>
      <c r="P156" s="6">
        <f t="shared" ref="P156:P187" si="59">101.325*EXP(-380/(29.27*K156))</f>
        <v>97.16829122653688</v>
      </c>
      <c r="Q156" s="6">
        <f t="shared" si="55"/>
        <v>9.6435167918942533</v>
      </c>
      <c r="R156" s="10">
        <f t="shared" si="56"/>
        <v>9.6435167918942528E-3</v>
      </c>
      <c r="S156" s="3">
        <f t="shared" ref="S156:S187" si="60">R156*18</f>
        <v>0.17358330225409654</v>
      </c>
      <c r="T156" s="4">
        <f t="shared" ref="T156:T187" si="61">S156/1000</f>
        <v>1.7358330225409656E-4</v>
      </c>
      <c r="U156" s="3">
        <f t="shared" ref="U156:U187" si="62">T156*3600</f>
        <v>0.62489988811474761</v>
      </c>
      <c r="V156" s="2">
        <v>5.07</v>
      </c>
      <c r="W156" s="2">
        <v>1.03</v>
      </c>
      <c r="X156" s="2">
        <f t="shared" ref="X156:X187" si="63">W156*10000</f>
        <v>10300</v>
      </c>
      <c r="Y156" s="5">
        <v>-0.54</v>
      </c>
      <c r="Z156" s="5">
        <v>-2.2999999999999998</v>
      </c>
      <c r="AA156" s="2">
        <f t="shared" ref="AA156:AA187" si="64">Y156-Z156</f>
        <v>1.7599999999999998</v>
      </c>
      <c r="AB156" s="3">
        <f t="shared" ref="AB156:AB187" si="65">U156/AA156</f>
        <v>0.35505675461065211</v>
      </c>
    </row>
    <row r="157" spans="1:28" x14ac:dyDescent="0.2">
      <c r="A157" t="s">
        <v>10</v>
      </c>
      <c r="B157">
        <v>666</v>
      </c>
      <c r="C157">
        <v>105</v>
      </c>
      <c r="D157">
        <v>7</v>
      </c>
      <c r="E157" t="s">
        <v>7</v>
      </c>
      <c r="F157" s="1">
        <v>45147</v>
      </c>
      <c r="G157" t="s">
        <v>8</v>
      </c>
      <c r="H157" s="2">
        <v>34.78</v>
      </c>
      <c r="I157" s="2">
        <v>35.979999999999997</v>
      </c>
      <c r="J157" s="2">
        <v>30.9</v>
      </c>
      <c r="K157" s="2">
        <f t="shared" si="54"/>
        <v>309.13</v>
      </c>
      <c r="L157" s="2">
        <v>2.41</v>
      </c>
      <c r="M157" s="2">
        <v>0.4</v>
      </c>
      <c r="N157" s="6">
        <f t="shared" si="57"/>
        <v>4.4663480841680787</v>
      </c>
      <c r="O157" s="6">
        <f t="shared" si="58"/>
        <v>2.0647081988085709</v>
      </c>
      <c r="P157" s="6">
        <f t="shared" si="59"/>
        <v>97.157758347006421</v>
      </c>
      <c r="Q157" s="6">
        <f t="shared" si="55"/>
        <v>8.4660169981430524</v>
      </c>
      <c r="R157" s="10">
        <f t="shared" si="56"/>
        <v>8.4660169981430524E-3</v>
      </c>
      <c r="S157" s="3">
        <f t="shared" si="60"/>
        <v>0.15238830596657493</v>
      </c>
      <c r="T157" s="4">
        <f t="shared" si="61"/>
        <v>1.5238830596657493E-4</v>
      </c>
      <c r="U157" s="3">
        <f t="shared" si="62"/>
        <v>0.5485979014796698</v>
      </c>
      <c r="V157" s="2">
        <v>3.34</v>
      </c>
      <c r="W157" s="2">
        <v>0.91</v>
      </c>
      <c r="X157" s="2">
        <f t="shared" si="63"/>
        <v>9100</v>
      </c>
      <c r="Y157" s="5">
        <v>-1.19</v>
      </c>
      <c r="Z157" s="5">
        <v>-2.2599999999999998</v>
      </c>
      <c r="AA157" s="2">
        <f t="shared" si="64"/>
        <v>1.0699999999999998</v>
      </c>
      <c r="AB157" s="3">
        <f t="shared" si="65"/>
        <v>0.51270831913987835</v>
      </c>
    </row>
    <row r="158" spans="1:28" x14ac:dyDescent="0.2">
      <c r="A158" t="s">
        <v>10</v>
      </c>
      <c r="B158">
        <v>666</v>
      </c>
      <c r="C158">
        <v>105</v>
      </c>
      <c r="D158">
        <v>8</v>
      </c>
      <c r="E158" t="s">
        <v>7</v>
      </c>
      <c r="F158" s="1">
        <v>45147</v>
      </c>
      <c r="G158" t="s">
        <v>8</v>
      </c>
      <c r="H158" s="2">
        <v>36.04</v>
      </c>
      <c r="I158" s="2">
        <v>35.369999999999997</v>
      </c>
      <c r="J158" s="2">
        <v>30.51</v>
      </c>
      <c r="K158" s="2">
        <f t="shared" si="54"/>
        <v>308.52</v>
      </c>
      <c r="L158" s="2">
        <v>2.2999999999999998</v>
      </c>
      <c r="M158" s="2">
        <v>0.46</v>
      </c>
      <c r="N158" s="6">
        <f t="shared" si="57"/>
        <v>4.3679155820789983</v>
      </c>
      <c r="O158" s="6">
        <f t="shared" si="58"/>
        <v>2.0687833021050452</v>
      </c>
      <c r="P158" s="6">
        <f t="shared" si="59"/>
        <v>97.149691093810205</v>
      </c>
      <c r="Q158" s="6">
        <f t="shared" si="55"/>
        <v>9.7914996645516545</v>
      </c>
      <c r="R158" s="10">
        <f t="shared" si="56"/>
        <v>9.7914996645516554E-3</v>
      </c>
      <c r="S158" s="3">
        <f t="shared" si="60"/>
        <v>0.1762469939619298</v>
      </c>
      <c r="T158" s="4">
        <f t="shared" si="61"/>
        <v>1.7624699396192979E-4</v>
      </c>
      <c r="U158" s="3">
        <f t="shared" si="62"/>
        <v>0.63448917826294726</v>
      </c>
      <c r="V158" s="2">
        <v>2.64</v>
      </c>
      <c r="W158" s="2">
        <v>0.69</v>
      </c>
      <c r="X158" s="2">
        <f t="shared" si="63"/>
        <v>6899.9999999999991</v>
      </c>
      <c r="Y158" s="5">
        <v>-0.73</v>
      </c>
      <c r="Z158" s="5">
        <v>-2.1800000000000002</v>
      </c>
      <c r="AA158" s="2">
        <f t="shared" si="64"/>
        <v>1.4500000000000002</v>
      </c>
      <c r="AB158" s="3">
        <f t="shared" si="65"/>
        <v>0.43757874362961874</v>
      </c>
    </row>
    <row r="159" spans="1:28" x14ac:dyDescent="0.2">
      <c r="A159" t="s">
        <v>10</v>
      </c>
      <c r="B159">
        <v>666</v>
      </c>
      <c r="C159">
        <v>105</v>
      </c>
      <c r="D159">
        <v>9</v>
      </c>
      <c r="E159" t="s">
        <v>7</v>
      </c>
      <c r="F159" s="1">
        <v>45148</v>
      </c>
      <c r="G159" t="s">
        <v>8</v>
      </c>
      <c r="H159" s="2">
        <v>32.46</v>
      </c>
      <c r="I159" s="2">
        <v>35</v>
      </c>
      <c r="J159" s="2">
        <v>31.64</v>
      </c>
      <c r="K159" s="2">
        <f t="shared" si="54"/>
        <v>308.14999999999998</v>
      </c>
      <c r="L159" s="2">
        <v>2.84</v>
      </c>
      <c r="M159" s="2">
        <v>0.22</v>
      </c>
      <c r="N159" s="6">
        <f t="shared" si="57"/>
        <v>4.6584394770701598</v>
      </c>
      <c r="O159" s="6">
        <f t="shared" si="58"/>
        <v>1.8255436800143698</v>
      </c>
      <c r="P159" s="6">
        <f t="shared" si="59"/>
        <v>97.144782607818328</v>
      </c>
      <c r="Q159" s="6">
        <f t="shared" si="55"/>
        <v>4.1181489547462133</v>
      </c>
      <c r="R159" s="10">
        <f t="shared" si="56"/>
        <v>4.1181489547462129E-3</v>
      </c>
      <c r="S159" s="3">
        <f t="shared" si="60"/>
        <v>7.4126681185431836E-2</v>
      </c>
      <c r="T159" s="4">
        <f t="shared" si="61"/>
        <v>7.4126681185431834E-5</v>
      </c>
      <c r="U159" s="3">
        <f t="shared" si="62"/>
        <v>0.2668560522675546</v>
      </c>
      <c r="V159" s="2">
        <v>5.01</v>
      </c>
      <c r="W159" s="2">
        <v>1.0900000000000001</v>
      </c>
      <c r="X159" s="2">
        <f t="shared" si="63"/>
        <v>10900</v>
      </c>
      <c r="Y159" s="5">
        <v>-0.92</v>
      </c>
      <c r="Z159" s="5">
        <v>-2.63</v>
      </c>
      <c r="AA159" s="2">
        <f t="shared" si="64"/>
        <v>1.71</v>
      </c>
      <c r="AB159" s="3">
        <f t="shared" si="65"/>
        <v>0.1560561709166986</v>
      </c>
    </row>
    <row r="160" spans="1:28" x14ac:dyDescent="0.2">
      <c r="A160" t="s">
        <v>10</v>
      </c>
      <c r="B160">
        <v>666</v>
      </c>
      <c r="C160">
        <v>118</v>
      </c>
      <c r="D160">
        <v>10</v>
      </c>
      <c r="E160" t="s">
        <v>7</v>
      </c>
      <c r="F160" s="1">
        <v>45148</v>
      </c>
      <c r="G160" t="s">
        <v>8</v>
      </c>
      <c r="H160" s="2">
        <v>30.01</v>
      </c>
      <c r="I160" s="2">
        <v>36.24</v>
      </c>
      <c r="J160" s="2">
        <v>32.619999999999997</v>
      </c>
      <c r="K160" s="2">
        <f t="shared" si="54"/>
        <v>309.39</v>
      </c>
      <c r="L160" s="2">
        <v>3.12</v>
      </c>
      <c r="M160" s="2">
        <v>0.26</v>
      </c>
      <c r="N160" s="6">
        <f t="shared" si="57"/>
        <v>4.9238781370193392</v>
      </c>
      <c r="O160" s="6">
        <f t="shared" si="58"/>
        <v>1.8071659986787056</v>
      </c>
      <c r="P160" s="6">
        <f t="shared" si="59"/>
        <v>97.161187382224966</v>
      </c>
      <c r="Q160" s="6">
        <f t="shared" si="55"/>
        <v>4.8271159324142872</v>
      </c>
      <c r="R160" s="10">
        <f t="shared" si="56"/>
        <v>4.8271159324142872E-3</v>
      </c>
      <c r="S160" s="3">
        <f t="shared" si="60"/>
        <v>8.6888086783457164E-2</v>
      </c>
      <c r="T160" s="4">
        <f t="shared" si="61"/>
        <v>8.6888086783457169E-5</v>
      </c>
      <c r="U160" s="3">
        <f t="shared" si="62"/>
        <v>0.31279711242044583</v>
      </c>
      <c r="V160" s="2">
        <v>3.56</v>
      </c>
      <c r="W160" s="6">
        <v>1</v>
      </c>
      <c r="X160" s="2">
        <f t="shared" si="63"/>
        <v>10000</v>
      </c>
      <c r="Y160" s="5">
        <v>-0.72</v>
      </c>
      <c r="Z160" s="5">
        <v>-2.11</v>
      </c>
      <c r="AA160" s="2">
        <f t="shared" si="64"/>
        <v>1.39</v>
      </c>
      <c r="AB160" s="3">
        <f t="shared" si="65"/>
        <v>0.2250338938276589</v>
      </c>
    </row>
    <row r="161" spans="1:28" x14ac:dyDescent="0.2">
      <c r="A161" t="s">
        <v>10</v>
      </c>
      <c r="B161">
        <v>666</v>
      </c>
      <c r="C161">
        <v>118</v>
      </c>
      <c r="D161">
        <v>11</v>
      </c>
      <c r="E161" t="s">
        <v>7</v>
      </c>
      <c r="F161" s="1">
        <v>45148</v>
      </c>
      <c r="G161" t="s">
        <v>8</v>
      </c>
      <c r="H161" s="2">
        <v>31.55</v>
      </c>
      <c r="I161" s="2">
        <v>35.119999999999997</v>
      </c>
      <c r="J161" s="2">
        <v>31.53</v>
      </c>
      <c r="K161" s="2">
        <f t="shared" si="54"/>
        <v>308.27</v>
      </c>
      <c r="L161" s="2">
        <v>2.85</v>
      </c>
      <c r="M161" s="2">
        <v>0.18</v>
      </c>
      <c r="N161" s="6">
        <f t="shared" si="57"/>
        <v>4.6294379995986104</v>
      </c>
      <c r="O161" s="6">
        <f t="shared" si="58"/>
        <v>1.7861905892656809</v>
      </c>
      <c r="P161" s="6">
        <f t="shared" si="59"/>
        <v>97.146375813064282</v>
      </c>
      <c r="Q161" s="6">
        <f t="shared" si="55"/>
        <v>3.2970745151017349</v>
      </c>
      <c r="R161" s="10">
        <f t="shared" si="56"/>
        <v>3.2970745151017348E-3</v>
      </c>
      <c r="S161" s="3">
        <f t="shared" si="60"/>
        <v>5.9347341271831229E-2</v>
      </c>
      <c r="T161" s="4">
        <f t="shared" si="61"/>
        <v>5.9347341271831229E-5</v>
      </c>
      <c r="U161" s="3">
        <f t="shared" si="62"/>
        <v>0.21365042857859243</v>
      </c>
      <c r="V161" s="2">
        <v>3.32</v>
      </c>
      <c r="W161" s="2">
        <v>0.91</v>
      </c>
      <c r="X161" s="2">
        <f t="shared" si="63"/>
        <v>9100</v>
      </c>
      <c r="Y161" s="5">
        <v>-0.56999999999999995</v>
      </c>
      <c r="Z161" s="5">
        <v>-1.72</v>
      </c>
      <c r="AA161" s="2">
        <f t="shared" si="64"/>
        <v>1.1499999999999999</v>
      </c>
      <c r="AB161" s="3">
        <f t="shared" si="65"/>
        <v>0.18578298137268909</v>
      </c>
    </row>
    <row r="162" spans="1:28" x14ac:dyDescent="0.2">
      <c r="A162" t="s">
        <v>10</v>
      </c>
      <c r="B162">
        <v>666</v>
      </c>
      <c r="C162">
        <v>118</v>
      </c>
      <c r="D162">
        <v>12</v>
      </c>
      <c r="E162" t="s">
        <v>7</v>
      </c>
      <c r="F162" s="1">
        <v>45147</v>
      </c>
      <c r="G162" t="s">
        <v>8</v>
      </c>
      <c r="H162" s="2">
        <v>34.299999999999997</v>
      </c>
      <c r="I162" s="2">
        <v>36.11</v>
      </c>
      <c r="J162" s="2">
        <v>31.26</v>
      </c>
      <c r="K162" s="2">
        <f t="shared" si="54"/>
        <v>309.26</v>
      </c>
      <c r="L162" s="2">
        <v>2.5099999999999998</v>
      </c>
      <c r="M162" s="2">
        <v>0.28000000000000003</v>
      </c>
      <c r="N162" s="6">
        <f t="shared" si="57"/>
        <v>4.5589181739236322</v>
      </c>
      <c r="O162" s="6">
        <f t="shared" si="58"/>
        <v>2.0508134320401159</v>
      </c>
      <c r="P162" s="6">
        <f t="shared" si="59"/>
        <v>97.159473570199793</v>
      </c>
      <c r="Q162" s="6">
        <f t="shared" si="55"/>
        <v>5.9046953180958592</v>
      </c>
      <c r="R162" s="10">
        <f t="shared" si="56"/>
        <v>5.9046953180958593E-3</v>
      </c>
      <c r="S162" s="3">
        <f t="shared" si="60"/>
        <v>0.10628451572572546</v>
      </c>
      <c r="T162" s="4">
        <f t="shared" si="61"/>
        <v>1.0628451572572546E-4</v>
      </c>
      <c r="U162" s="3">
        <f t="shared" si="62"/>
        <v>0.38262425661261162</v>
      </c>
      <c r="V162" s="2">
        <v>1.61</v>
      </c>
      <c r="W162" s="2">
        <v>0.5</v>
      </c>
      <c r="X162" s="2">
        <f t="shared" si="63"/>
        <v>5000</v>
      </c>
      <c r="Y162" s="5">
        <v>-0.28999999999999998</v>
      </c>
      <c r="Z162" s="5">
        <v>-1.91</v>
      </c>
      <c r="AA162" s="2">
        <f t="shared" si="64"/>
        <v>1.6199999999999999</v>
      </c>
      <c r="AB162" s="3">
        <f t="shared" si="65"/>
        <v>0.23618781272383435</v>
      </c>
    </row>
    <row r="163" spans="1:28" x14ac:dyDescent="0.2">
      <c r="A163" t="s">
        <v>10</v>
      </c>
      <c r="B163">
        <v>666</v>
      </c>
      <c r="C163">
        <v>122</v>
      </c>
      <c r="D163">
        <v>16</v>
      </c>
      <c r="E163" t="s">
        <v>7</v>
      </c>
      <c r="F163" s="1">
        <v>45148</v>
      </c>
      <c r="G163" t="s">
        <v>8</v>
      </c>
      <c r="H163" s="2">
        <v>30.99</v>
      </c>
      <c r="I163" s="2">
        <v>35.200000000000003</v>
      </c>
      <c r="J163" s="2">
        <v>31.11</v>
      </c>
      <c r="K163" s="2">
        <f t="shared" si="54"/>
        <v>308.34999999999997</v>
      </c>
      <c r="L163" s="2">
        <v>2.76</v>
      </c>
      <c r="M163" s="2">
        <v>0.23</v>
      </c>
      <c r="N163" s="6">
        <f t="shared" si="57"/>
        <v>4.5201462122845459</v>
      </c>
      <c r="O163" s="6">
        <f t="shared" si="58"/>
        <v>1.7622672221601952</v>
      </c>
      <c r="P163" s="6">
        <f t="shared" si="59"/>
        <v>97.147437275481494</v>
      </c>
      <c r="Q163" s="6">
        <f t="shared" si="55"/>
        <v>4.1672085253001248</v>
      </c>
      <c r="R163" s="10">
        <f t="shared" si="56"/>
        <v>4.1672085253001249E-3</v>
      </c>
      <c r="S163" s="3">
        <f t="shared" si="60"/>
        <v>7.5009753455402256E-2</v>
      </c>
      <c r="T163" s="4">
        <f t="shared" si="61"/>
        <v>7.5009753455402263E-5</v>
      </c>
      <c r="U163" s="3">
        <f t="shared" si="62"/>
        <v>0.27003511243944817</v>
      </c>
      <c r="V163" s="2">
        <v>7.05</v>
      </c>
      <c r="W163" s="2">
        <v>2.21</v>
      </c>
      <c r="X163" s="2">
        <f t="shared" si="63"/>
        <v>22100</v>
      </c>
      <c r="Y163" s="5">
        <v>-0.6</v>
      </c>
      <c r="Z163" s="5">
        <v>-2.31</v>
      </c>
      <c r="AA163" s="2">
        <f t="shared" si="64"/>
        <v>1.71</v>
      </c>
      <c r="AB163" s="3">
        <f t="shared" si="65"/>
        <v>0.15791527043242584</v>
      </c>
    </row>
    <row r="164" spans="1:28" x14ac:dyDescent="0.2">
      <c r="A164" t="s">
        <v>10</v>
      </c>
      <c r="B164">
        <v>666</v>
      </c>
      <c r="C164">
        <v>122</v>
      </c>
      <c r="D164">
        <v>17</v>
      </c>
      <c r="E164" t="s">
        <v>7</v>
      </c>
      <c r="F164" s="1">
        <v>45148</v>
      </c>
      <c r="G164" t="s">
        <v>8</v>
      </c>
      <c r="H164" s="2">
        <v>30.33</v>
      </c>
      <c r="I164" s="2">
        <v>35.76</v>
      </c>
      <c r="J164" s="2">
        <v>31.25</v>
      </c>
      <c r="K164" s="2">
        <f t="shared" si="54"/>
        <v>308.90999999999997</v>
      </c>
      <c r="L164" s="2">
        <v>2.78</v>
      </c>
      <c r="M164" s="2">
        <v>0.26</v>
      </c>
      <c r="N164" s="6">
        <f t="shared" si="57"/>
        <v>4.5563243955355492</v>
      </c>
      <c r="O164" s="6">
        <f t="shared" si="58"/>
        <v>1.7788681680792751</v>
      </c>
      <c r="P164" s="6">
        <f t="shared" si="59"/>
        <v>97.154852441921136</v>
      </c>
      <c r="Q164" s="6">
        <f t="shared" si="55"/>
        <v>4.7536930089552856</v>
      </c>
      <c r="R164" s="10">
        <f t="shared" si="56"/>
        <v>4.753693008955286E-3</v>
      </c>
      <c r="S164" s="3">
        <f t="shared" si="60"/>
        <v>8.5566474161195144E-2</v>
      </c>
      <c r="T164" s="4">
        <f t="shared" si="61"/>
        <v>8.5566474161195144E-5</v>
      </c>
      <c r="U164" s="3">
        <f t="shared" si="62"/>
        <v>0.30803930698030252</v>
      </c>
      <c r="V164" s="2">
        <v>4.82</v>
      </c>
      <c r="W164" s="2">
        <v>1.19</v>
      </c>
      <c r="X164" s="2">
        <f t="shared" si="63"/>
        <v>11900</v>
      </c>
      <c r="Y164" s="5">
        <v>-0.56000000000000005</v>
      </c>
      <c r="Z164" s="5">
        <v>-2.2000000000000002</v>
      </c>
      <c r="AA164" s="2">
        <f t="shared" si="64"/>
        <v>1.6400000000000001</v>
      </c>
      <c r="AB164" s="3">
        <f t="shared" si="65"/>
        <v>0.18782884571969663</v>
      </c>
    </row>
    <row r="165" spans="1:28" x14ac:dyDescent="0.2">
      <c r="A165" t="s">
        <v>10</v>
      </c>
      <c r="B165">
        <v>666</v>
      </c>
      <c r="C165">
        <v>122</v>
      </c>
      <c r="D165">
        <v>18</v>
      </c>
      <c r="E165" t="s">
        <v>7</v>
      </c>
      <c r="F165" s="1">
        <v>45147</v>
      </c>
      <c r="G165" t="s">
        <v>8</v>
      </c>
      <c r="H165" s="2">
        <v>32.31</v>
      </c>
      <c r="I165" s="2">
        <v>37.19</v>
      </c>
      <c r="J165" s="2">
        <v>32.64</v>
      </c>
      <c r="K165" s="2">
        <f t="shared" si="54"/>
        <v>310.33999999999997</v>
      </c>
      <c r="L165" s="2">
        <v>2.89</v>
      </c>
      <c r="M165" s="2">
        <v>0.31</v>
      </c>
      <c r="N165" s="6">
        <f t="shared" si="57"/>
        <v>4.9294295107833497</v>
      </c>
      <c r="O165" s="6">
        <f t="shared" si="58"/>
        <v>2.0494391644476933</v>
      </c>
      <c r="P165" s="6">
        <f t="shared" si="59"/>
        <v>97.173668720621947</v>
      </c>
      <c r="Q165" s="6">
        <f t="shared" si="55"/>
        <v>6.5061158713735958</v>
      </c>
      <c r="R165" s="10">
        <f t="shared" si="56"/>
        <v>6.5061158713735955E-3</v>
      </c>
      <c r="S165" s="3">
        <f t="shared" si="60"/>
        <v>0.11711008568472472</v>
      </c>
      <c r="T165" s="4">
        <f t="shared" si="61"/>
        <v>1.1711008568472472E-4</v>
      </c>
      <c r="U165" s="3">
        <f t="shared" si="62"/>
        <v>0.42159630846500901</v>
      </c>
      <c r="V165" s="2">
        <v>7.37</v>
      </c>
      <c r="W165" s="2">
        <v>1.96</v>
      </c>
      <c r="X165" s="2">
        <f t="shared" si="63"/>
        <v>19600</v>
      </c>
      <c r="Y165" s="5">
        <v>-0.54</v>
      </c>
      <c r="Z165" s="5">
        <v>-2.4700000000000002</v>
      </c>
      <c r="AA165" s="2">
        <f t="shared" si="64"/>
        <v>1.9300000000000002</v>
      </c>
      <c r="AB165" s="3">
        <f t="shared" si="65"/>
        <v>0.21844368314249168</v>
      </c>
    </row>
    <row r="166" spans="1:28" x14ac:dyDescent="0.2">
      <c r="A166" t="s">
        <v>10</v>
      </c>
      <c r="B166">
        <v>666</v>
      </c>
      <c r="C166">
        <v>123</v>
      </c>
      <c r="D166">
        <v>19</v>
      </c>
      <c r="E166" t="s">
        <v>7</v>
      </c>
      <c r="F166" s="1">
        <v>45147</v>
      </c>
      <c r="G166" t="s">
        <v>8</v>
      </c>
      <c r="H166" s="2">
        <v>37.630000000000003</v>
      </c>
      <c r="I166" s="2">
        <v>34.06</v>
      </c>
      <c r="J166" s="2">
        <v>30.23</v>
      </c>
      <c r="K166" s="2">
        <f t="shared" si="54"/>
        <v>307.20999999999998</v>
      </c>
      <c r="L166" s="2">
        <v>2.29</v>
      </c>
      <c r="M166" s="2">
        <v>0.4</v>
      </c>
      <c r="N166" s="6">
        <f t="shared" si="57"/>
        <v>4.2984167992656275</v>
      </c>
      <c r="O166" s="6">
        <f t="shared" si="58"/>
        <v>2.008601889209932</v>
      </c>
      <c r="P166" s="6">
        <f t="shared" si="59"/>
        <v>97.132260348427252</v>
      </c>
      <c r="Q166" s="6">
        <f t="shared" si="55"/>
        <v>8.2708537495622991</v>
      </c>
      <c r="R166" s="10">
        <f t="shared" si="56"/>
        <v>8.2708537495622993E-3</v>
      </c>
      <c r="S166" s="3">
        <f t="shared" si="60"/>
        <v>0.14887536749212138</v>
      </c>
      <c r="T166" s="4">
        <f t="shared" si="61"/>
        <v>1.4887536749212137E-4</v>
      </c>
      <c r="U166" s="3">
        <f t="shared" si="62"/>
        <v>0.53595132297163695</v>
      </c>
      <c r="V166" s="2">
        <v>6.06</v>
      </c>
      <c r="W166" s="2">
        <v>1.55</v>
      </c>
      <c r="X166" s="2">
        <f t="shared" si="63"/>
        <v>15500</v>
      </c>
      <c r="Y166" s="5">
        <v>-0.59</v>
      </c>
      <c r="Z166" s="5">
        <v>-2.0299999999999998</v>
      </c>
      <c r="AA166" s="2">
        <f t="shared" si="64"/>
        <v>1.44</v>
      </c>
      <c r="AB166" s="3">
        <f t="shared" si="65"/>
        <v>0.37218841873030345</v>
      </c>
    </row>
    <row r="167" spans="1:28" x14ac:dyDescent="0.2">
      <c r="A167" t="s">
        <v>10</v>
      </c>
      <c r="B167">
        <v>666</v>
      </c>
      <c r="C167">
        <v>123</v>
      </c>
      <c r="D167">
        <v>20</v>
      </c>
      <c r="E167" t="s">
        <v>7</v>
      </c>
      <c r="F167" s="1">
        <v>45147</v>
      </c>
      <c r="G167" t="s">
        <v>8</v>
      </c>
      <c r="H167" s="2">
        <v>36.229999999999997</v>
      </c>
      <c r="I167" s="2">
        <v>34.67</v>
      </c>
      <c r="J167" s="2">
        <v>30.45</v>
      </c>
      <c r="K167" s="2">
        <f t="shared" si="54"/>
        <v>307.82</v>
      </c>
      <c r="L167" s="2">
        <v>2.35</v>
      </c>
      <c r="M167" s="2">
        <v>0.43</v>
      </c>
      <c r="N167" s="6">
        <f t="shared" si="57"/>
        <v>4.3529411296933125</v>
      </c>
      <c r="O167" s="6">
        <f t="shared" si="58"/>
        <v>2.0006269569384165</v>
      </c>
      <c r="P167" s="6">
        <f t="shared" si="59"/>
        <v>97.140395023443816</v>
      </c>
      <c r="Q167" s="6">
        <f t="shared" si="55"/>
        <v>8.8661847170815715</v>
      </c>
      <c r="R167" s="10">
        <f t="shared" si="56"/>
        <v>8.8661847170815721E-3</v>
      </c>
      <c r="S167" s="3">
        <f t="shared" si="60"/>
        <v>0.1595913249074683</v>
      </c>
      <c r="T167" s="4">
        <f t="shared" si="61"/>
        <v>1.595913249074683E-4</v>
      </c>
      <c r="U167" s="3">
        <f t="shared" si="62"/>
        <v>0.57452876966688593</v>
      </c>
      <c r="V167" s="2">
        <v>5.82</v>
      </c>
      <c r="W167" s="2">
        <v>2.02</v>
      </c>
      <c r="X167" s="2">
        <f t="shared" si="63"/>
        <v>20200</v>
      </c>
      <c r="Y167" s="5">
        <v>-0.68</v>
      </c>
      <c r="Z167" s="5">
        <v>-2.0499999999999998</v>
      </c>
      <c r="AA167" s="2">
        <f t="shared" si="64"/>
        <v>1.3699999999999997</v>
      </c>
      <c r="AB167" s="3">
        <f t="shared" si="65"/>
        <v>0.41936406545028182</v>
      </c>
    </row>
    <row r="168" spans="1:28" x14ac:dyDescent="0.2">
      <c r="A168" t="s">
        <v>10</v>
      </c>
      <c r="B168">
        <v>666</v>
      </c>
      <c r="C168">
        <v>123</v>
      </c>
      <c r="D168">
        <v>22</v>
      </c>
      <c r="E168" t="s">
        <v>7</v>
      </c>
      <c r="F168" s="1">
        <v>45147</v>
      </c>
      <c r="G168" t="s">
        <v>8</v>
      </c>
      <c r="H168" s="2">
        <v>33.729999999999997</v>
      </c>
      <c r="I168" s="2">
        <v>37.020000000000003</v>
      </c>
      <c r="J168" s="2">
        <v>31.9</v>
      </c>
      <c r="K168" s="2">
        <f t="shared" si="54"/>
        <v>310.16999999999996</v>
      </c>
      <c r="L168" s="2">
        <v>2.61</v>
      </c>
      <c r="M168" s="2">
        <v>0.45</v>
      </c>
      <c r="N168" s="6">
        <f t="shared" si="57"/>
        <v>4.7276180796154579</v>
      </c>
      <c r="O168" s="6">
        <f t="shared" si="58"/>
        <v>2.1197644996491074</v>
      </c>
      <c r="P168" s="6">
        <f t="shared" si="59"/>
        <v>97.171440717113356</v>
      </c>
      <c r="Q168" s="6">
        <f t="shared" si="55"/>
        <v>9.8066687989234591</v>
      </c>
      <c r="R168" s="10">
        <f t="shared" si="56"/>
        <v>9.8066687989234597E-3</v>
      </c>
      <c r="S168" s="3">
        <f t="shared" si="60"/>
        <v>0.17652003838062227</v>
      </c>
      <c r="T168" s="4">
        <f t="shared" si="61"/>
        <v>1.7652003838062227E-4</v>
      </c>
      <c r="U168" s="3">
        <f t="shared" si="62"/>
        <v>0.63547213817024018</v>
      </c>
      <c r="V168" s="2">
        <v>4.78</v>
      </c>
      <c r="W168" s="2">
        <v>1.58</v>
      </c>
      <c r="X168" s="2">
        <f t="shared" si="63"/>
        <v>15800</v>
      </c>
      <c r="Y168" s="5">
        <v>-0.36</v>
      </c>
      <c r="Z168" s="5">
        <v>-2.12</v>
      </c>
      <c r="AA168" s="2">
        <f t="shared" si="64"/>
        <v>1.7600000000000002</v>
      </c>
      <c r="AB168" s="3">
        <f t="shared" si="65"/>
        <v>0.3610637148694546</v>
      </c>
    </row>
    <row r="169" spans="1:28" x14ac:dyDescent="0.2">
      <c r="A169" t="s">
        <v>11</v>
      </c>
      <c r="B169">
        <v>1212</v>
      </c>
      <c r="C169">
        <v>3</v>
      </c>
      <c r="D169">
        <v>29</v>
      </c>
      <c r="E169" t="s">
        <v>7</v>
      </c>
      <c r="F169" s="1">
        <v>45147</v>
      </c>
      <c r="G169" t="s">
        <v>8</v>
      </c>
      <c r="H169" s="2">
        <v>35.15</v>
      </c>
      <c r="I169" s="2">
        <v>36.130000000000003</v>
      </c>
      <c r="J169" s="2">
        <v>31.95</v>
      </c>
      <c r="K169" s="2">
        <f t="shared" si="54"/>
        <v>309.27999999999997</v>
      </c>
      <c r="L169" s="2">
        <v>2.64</v>
      </c>
      <c r="M169" s="2">
        <v>0.28999999999999998</v>
      </c>
      <c r="N169" s="6">
        <f t="shared" si="57"/>
        <v>4.7410236997412563</v>
      </c>
      <c r="O169" s="6">
        <f t="shared" si="58"/>
        <v>2.1039454611099311</v>
      </c>
      <c r="P169" s="6">
        <f t="shared" si="59"/>
        <v>97.159737325395866</v>
      </c>
      <c r="Q169" s="6">
        <f t="shared" si="55"/>
        <v>6.2710839870262252</v>
      </c>
      <c r="R169" s="10">
        <f t="shared" si="56"/>
        <v>6.2710839870262249E-3</v>
      </c>
      <c r="S169" s="3">
        <f t="shared" si="60"/>
        <v>0.11287951176647204</v>
      </c>
      <c r="T169" s="4">
        <f t="shared" si="61"/>
        <v>1.1287951176647204E-4</v>
      </c>
      <c r="U169" s="3">
        <f t="shared" si="62"/>
        <v>0.40636624235929936</v>
      </c>
      <c r="V169" s="2">
        <v>8.68</v>
      </c>
      <c r="W169" s="2">
        <v>2.3199999999999998</v>
      </c>
      <c r="X169" s="2">
        <f t="shared" si="63"/>
        <v>23200</v>
      </c>
      <c r="Y169" s="5">
        <v>-0.68</v>
      </c>
      <c r="Z169" s="5">
        <v>-2.4700000000000002</v>
      </c>
      <c r="AA169" s="2">
        <f t="shared" si="64"/>
        <v>1.79</v>
      </c>
      <c r="AB169" s="3">
        <f t="shared" si="65"/>
        <v>0.22702024712810021</v>
      </c>
    </row>
    <row r="170" spans="1:28" x14ac:dyDescent="0.2">
      <c r="A170" t="s">
        <v>11</v>
      </c>
      <c r="B170">
        <v>1212</v>
      </c>
      <c r="C170">
        <v>3</v>
      </c>
      <c r="D170">
        <v>30</v>
      </c>
      <c r="E170" t="s">
        <v>7</v>
      </c>
      <c r="F170" s="1">
        <v>45147</v>
      </c>
      <c r="G170" t="s">
        <v>8</v>
      </c>
      <c r="H170" s="2">
        <v>32.82</v>
      </c>
      <c r="I170" s="2">
        <v>37.75</v>
      </c>
      <c r="J170" s="2">
        <v>33.65</v>
      </c>
      <c r="K170" s="2">
        <f t="shared" si="54"/>
        <v>310.89999999999998</v>
      </c>
      <c r="L170" s="2">
        <v>3.08</v>
      </c>
      <c r="M170" s="2">
        <v>0.36</v>
      </c>
      <c r="N170" s="6">
        <f t="shared" si="57"/>
        <v>5.2169526718629839</v>
      </c>
      <c r="O170" s="6">
        <f t="shared" si="58"/>
        <v>2.1461825543970399</v>
      </c>
      <c r="P170" s="6">
        <f t="shared" si="59"/>
        <v>97.180991153262553</v>
      </c>
      <c r="Q170" s="6">
        <f t="shared" si="55"/>
        <v>7.9161876488522234</v>
      </c>
      <c r="R170" s="10">
        <f t="shared" si="56"/>
        <v>7.9161876488522236E-3</v>
      </c>
      <c r="S170" s="3">
        <f t="shared" si="60"/>
        <v>0.14249137767934003</v>
      </c>
      <c r="T170" s="4">
        <f t="shared" si="61"/>
        <v>1.4249137767934002E-4</v>
      </c>
      <c r="U170" s="3">
        <f t="shared" si="62"/>
        <v>0.51296895964562406</v>
      </c>
      <c r="V170" s="6">
        <v>7</v>
      </c>
      <c r="W170" s="2">
        <v>2.4300000000000002</v>
      </c>
      <c r="X170" s="2">
        <f t="shared" si="63"/>
        <v>24300</v>
      </c>
      <c r="Y170" s="5">
        <v>-0.77</v>
      </c>
      <c r="Z170" s="5">
        <v>-2.74</v>
      </c>
      <c r="AA170" s="2">
        <f t="shared" si="64"/>
        <v>1.9700000000000002</v>
      </c>
      <c r="AB170" s="3">
        <f t="shared" si="65"/>
        <v>0.2603903348454944</v>
      </c>
    </row>
    <row r="171" spans="1:28" x14ac:dyDescent="0.2">
      <c r="A171" t="s">
        <v>11</v>
      </c>
      <c r="B171">
        <v>1212</v>
      </c>
      <c r="C171">
        <v>3</v>
      </c>
      <c r="D171">
        <v>31</v>
      </c>
      <c r="E171" t="s">
        <v>7</v>
      </c>
      <c r="F171" s="1">
        <v>45148</v>
      </c>
      <c r="G171" t="s">
        <v>8</v>
      </c>
      <c r="H171" s="2">
        <v>31.03</v>
      </c>
      <c r="I171" s="2">
        <v>35.29</v>
      </c>
      <c r="J171" s="2">
        <v>31.04</v>
      </c>
      <c r="K171" s="2">
        <f t="shared" si="54"/>
        <v>308.44</v>
      </c>
      <c r="L171" s="2">
        <v>2.74</v>
      </c>
      <c r="M171" s="2">
        <v>0.23</v>
      </c>
      <c r="N171" s="6">
        <f t="shared" si="57"/>
        <v>4.5021511326809236</v>
      </c>
      <c r="O171" s="6">
        <f t="shared" si="58"/>
        <v>1.7733424310490675</v>
      </c>
      <c r="P171" s="6">
        <f t="shared" si="59"/>
        <v>97.148630776386483</v>
      </c>
      <c r="Q171" s="6">
        <f t="shared" si="55"/>
        <v>4.171903991621936</v>
      </c>
      <c r="R171" s="10">
        <f t="shared" si="56"/>
        <v>4.1719039916219358E-3</v>
      </c>
      <c r="S171" s="3">
        <f t="shared" si="60"/>
        <v>7.5094271849194844E-2</v>
      </c>
      <c r="T171" s="4">
        <f t="shared" si="61"/>
        <v>7.5094271849194844E-5</v>
      </c>
      <c r="U171" s="3">
        <f t="shared" si="62"/>
        <v>0.27033937865710145</v>
      </c>
      <c r="V171" s="2">
        <v>6.14</v>
      </c>
      <c r="W171" s="2">
        <v>1.8</v>
      </c>
      <c r="X171" s="2">
        <f t="shared" si="63"/>
        <v>18000</v>
      </c>
      <c r="Y171" s="5">
        <v>-0.44</v>
      </c>
      <c r="Z171" s="5">
        <v>-2.16</v>
      </c>
      <c r="AA171" s="2">
        <f t="shared" si="64"/>
        <v>1.7200000000000002</v>
      </c>
      <c r="AB171" s="3">
        <f t="shared" si="65"/>
        <v>0.1571740573587799</v>
      </c>
    </row>
    <row r="172" spans="1:28" x14ac:dyDescent="0.2">
      <c r="A172" t="s">
        <v>11</v>
      </c>
      <c r="B172">
        <v>1212</v>
      </c>
      <c r="C172">
        <v>4</v>
      </c>
      <c r="D172">
        <v>32</v>
      </c>
      <c r="E172" t="s">
        <v>7</v>
      </c>
      <c r="F172" s="1">
        <v>45147</v>
      </c>
      <c r="G172" t="s">
        <v>8</v>
      </c>
      <c r="H172" s="2">
        <v>33.83</v>
      </c>
      <c r="I172" s="2">
        <v>36.270000000000003</v>
      </c>
      <c r="J172" s="2">
        <v>31.94</v>
      </c>
      <c r="K172" s="2">
        <f t="shared" si="54"/>
        <v>309.41999999999996</v>
      </c>
      <c r="L172" s="2">
        <v>2.7</v>
      </c>
      <c r="M172" s="2">
        <v>0.26</v>
      </c>
      <c r="N172" s="6">
        <f t="shared" si="57"/>
        <v>4.7383399314270589</v>
      </c>
      <c r="O172" s="6">
        <f t="shared" si="58"/>
        <v>2.0405583838160837</v>
      </c>
      <c r="P172" s="6">
        <f t="shared" si="59"/>
        <v>97.161582677088958</v>
      </c>
      <c r="Q172" s="6">
        <f t="shared" si="55"/>
        <v>5.4545054492613119</v>
      </c>
      <c r="R172" s="10">
        <f t="shared" si="56"/>
        <v>5.4545054492613123E-3</v>
      </c>
      <c r="S172" s="3">
        <f t="shared" si="60"/>
        <v>9.8181098086703625E-2</v>
      </c>
      <c r="T172" s="4">
        <f t="shared" si="61"/>
        <v>9.8181098086703623E-5</v>
      </c>
      <c r="U172" s="3">
        <f t="shared" si="62"/>
        <v>0.35345195311213307</v>
      </c>
      <c r="V172" s="2">
        <v>6.68</v>
      </c>
      <c r="W172" s="2">
        <v>1.44</v>
      </c>
      <c r="X172" s="2">
        <f t="shared" si="63"/>
        <v>14400</v>
      </c>
      <c r="Y172" s="5">
        <v>-0.4</v>
      </c>
      <c r="Z172" s="5">
        <v>-1.92</v>
      </c>
      <c r="AA172" s="2">
        <f t="shared" si="64"/>
        <v>1.52</v>
      </c>
      <c r="AB172" s="3">
        <f t="shared" si="65"/>
        <v>0.23253417967903492</v>
      </c>
    </row>
    <row r="173" spans="1:28" x14ac:dyDescent="0.2">
      <c r="A173" t="s">
        <v>11</v>
      </c>
      <c r="B173">
        <v>1212</v>
      </c>
      <c r="C173">
        <v>4</v>
      </c>
      <c r="D173">
        <v>33</v>
      </c>
      <c r="E173" t="s">
        <v>7</v>
      </c>
      <c r="F173" s="1">
        <v>45148</v>
      </c>
      <c r="G173" t="s">
        <v>8</v>
      </c>
      <c r="H173" s="2">
        <v>30.5</v>
      </c>
      <c r="I173" s="2">
        <v>35.64</v>
      </c>
      <c r="J173" s="2">
        <v>32.42</v>
      </c>
      <c r="K173" s="2">
        <f t="shared" si="54"/>
        <v>308.78999999999996</v>
      </c>
      <c r="L173" s="2">
        <v>3.1</v>
      </c>
      <c r="M173" s="2">
        <v>0.26</v>
      </c>
      <c r="N173" s="6">
        <f t="shared" si="57"/>
        <v>4.8686629417648577</v>
      </c>
      <c r="O173" s="6">
        <f t="shared" si="58"/>
        <v>1.7770506376005903</v>
      </c>
      <c r="P173" s="6">
        <f t="shared" si="59"/>
        <v>97.153265694229177</v>
      </c>
      <c r="Q173" s="6">
        <f t="shared" si="55"/>
        <v>4.7332671894546294</v>
      </c>
      <c r="R173" s="10">
        <f t="shared" si="56"/>
        <v>4.7332671894546293E-3</v>
      </c>
      <c r="S173" s="3">
        <f t="shared" si="60"/>
        <v>8.5198809410183332E-2</v>
      </c>
      <c r="T173" s="4">
        <f t="shared" si="61"/>
        <v>8.5198809410183334E-5</v>
      </c>
      <c r="U173" s="3">
        <f t="shared" si="62"/>
        <v>0.30671571387666002</v>
      </c>
      <c r="V173" s="2">
        <v>14.08</v>
      </c>
      <c r="W173" s="2">
        <v>4.13</v>
      </c>
      <c r="X173" s="2">
        <f t="shared" si="63"/>
        <v>41300</v>
      </c>
      <c r="Y173" s="5">
        <v>-0.37</v>
      </c>
      <c r="Z173" s="5">
        <v>-1.79</v>
      </c>
      <c r="AA173" s="2">
        <f t="shared" si="64"/>
        <v>1.42</v>
      </c>
      <c r="AB173" s="3">
        <f t="shared" si="65"/>
        <v>0.21599698160328171</v>
      </c>
    </row>
    <row r="174" spans="1:28" x14ac:dyDescent="0.2">
      <c r="A174" t="s">
        <v>11</v>
      </c>
      <c r="B174">
        <v>1212</v>
      </c>
      <c r="C174">
        <v>4</v>
      </c>
      <c r="D174">
        <v>34</v>
      </c>
      <c r="E174" t="s">
        <v>7</v>
      </c>
      <c r="F174" s="1">
        <v>45147</v>
      </c>
      <c r="G174" t="s">
        <v>8</v>
      </c>
      <c r="H174" s="2">
        <v>32.14</v>
      </c>
      <c r="I174" s="2">
        <v>37.619999999999997</v>
      </c>
      <c r="J174" s="2">
        <v>33.57</v>
      </c>
      <c r="K174" s="2">
        <f t="shared" si="54"/>
        <v>310.77</v>
      </c>
      <c r="L174" s="2">
        <v>3.11</v>
      </c>
      <c r="M174" s="2">
        <v>0.38</v>
      </c>
      <c r="N174" s="6">
        <f t="shared" si="57"/>
        <v>5.1936584420716354</v>
      </c>
      <c r="O174" s="6">
        <f t="shared" si="58"/>
        <v>2.0869278947337162</v>
      </c>
      <c r="P174" s="6">
        <f t="shared" si="59"/>
        <v>97.179293605714435</v>
      </c>
      <c r="Q174" s="6">
        <f t="shared" si="55"/>
        <v>8.1477254938665453</v>
      </c>
      <c r="R174" s="10">
        <f t="shared" si="56"/>
        <v>8.1477254938665446E-3</v>
      </c>
      <c r="S174" s="3">
        <f t="shared" si="60"/>
        <v>0.14665905888959779</v>
      </c>
      <c r="T174" s="4">
        <f t="shared" si="61"/>
        <v>1.4665905888959778E-4</v>
      </c>
      <c r="U174" s="3">
        <f t="shared" si="62"/>
        <v>0.52797261200255197</v>
      </c>
      <c r="V174" s="2">
        <v>4.71</v>
      </c>
      <c r="W174" s="2">
        <v>1.38</v>
      </c>
      <c r="X174" s="2">
        <f t="shared" si="63"/>
        <v>13799.999999999998</v>
      </c>
      <c r="Y174" s="5">
        <v>-0.74</v>
      </c>
      <c r="Z174" s="5">
        <v>-2.59</v>
      </c>
      <c r="AA174" s="2">
        <f t="shared" si="64"/>
        <v>1.8499999999999999</v>
      </c>
      <c r="AB174" s="3">
        <f t="shared" si="65"/>
        <v>0.28539060108246056</v>
      </c>
    </row>
    <row r="175" spans="1:28" x14ac:dyDescent="0.2">
      <c r="A175" t="s">
        <v>11</v>
      </c>
      <c r="B175">
        <v>1212</v>
      </c>
      <c r="C175">
        <v>7</v>
      </c>
      <c r="D175">
        <v>36</v>
      </c>
      <c r="E175" t="s">
        <v>7</v>
      </c>
      <c r="F175" s="1">
        <v>45147</v>
      </c>
      <c r="G175" t="s">
        <v>8</v>
      </c>
      <c r="H175" s="2">
        <v>32.43</v>
      </c>
      <c r="I175" s="2">
        <v>37.99</v>
      </c>
      <c r="J175" s="2">
        <v>34.24</v>
      </c>
      <c r="K175" s="2">
        <f t="shared" si="54"/>
        <v>311.14</v>
      </c>
      <c r="L175" s="2">
        <v>3.25</v>
      </c>
      <c r="M175" s="2">
        <v>0.23</v>
      </c>
      <c r="N175" s="6">
        <f t="shared" si="57"/>
        <v>5.3915718980288805</v>
      </c>
      <c r="O175" s="6">
        <f t="shared" si="58"/>
        <v>2.1484674398020185</v>
      </c>
      <c r="P175" s="6">
        <f t="shared" si="59"/>
        <v>97.184121438153653</v>
      </c>
      <c r="Q175" s="6">
        <f t="shared" si="55"/>
        <v>5.068333481412397</v>
      </c>
      <c r="R175" s="10">
        <f t="shared" si="56"/>
        <v>5.0683334814123973E-3</v>
      </c>
      <c r="S175" s="3">
        <f t="shared" si="60"/>
        <v>9.1230002665423152E-2</v>
      </c>
      <c r="T175" s="4">
        <f t="shared" si="61"/>
        <v>9.1230002665423145E-5</v>
      </c>
      <c r="U175" s="3">
        <f t="shared" si="62"/>
        <v>0.32842800959552332</v>
      </c>
      <c r="V175" s="2">
        <v>6.11</v>
      </c>
      <c r="W175" s="2">
        <v>0.97</v>
      </c>
      <c r="X175" s="2">
        <f t="shared" si="63"/>
        <v>9700</v>
      </c>
      <c r="Y175" s="5">
        <v>-0.39</v>
      </c>
      <c r="Z175" s="5">
        <v>-2.15</v>
      </c>
      <c r="AA175" s="2">
        <f t="shared" si="64"/>
        <v>1.7599999999999998</v>
      </c>
      <c r="AB175" s="3">
        <f t="shared" si="65"/>
        <v>0.18660682363382008</v>
      </c>
    </row>
    <row r="176" spans="1:28" x14ac:dyDescent="0.2">
      <c r="A176" t="s">
        <v>11</v>
      </c>
      <c r="B176">
        <v>1212</v>
      </c>
      <c r="C176">
        <v>7</v>
      </c>
      <c r="D176">
        <v>37</v>
      </c>
      <c r="E176" t="s">
        <v>7</v>
      </c>
      <c r="F176" s="1">
        <v>45147</v>
      </c>
      <c r="G176" t="s">
        <v>8</v>
      </c>
      <c r="H176" s="2">
        <v>32.68</v>
      </c>
      <c r="I176" s="2">
        <v>37.380000000000003</v>
      </c>
      <c r="J176" s="2">
        <v>33.520000000000003</v>
      </c>
      <c r="K176" s="2">
        <f t="shared" si="54"/>
        <v>310.52999999999997</v>
      </c>
      <c r="L176" s="2">
        <v>3.09</v>
      </c>
      <c r="M176" s="2">
        <v>0.33</v>
      </c>
      <c r="N176" s="6">
        <f t="shared" si="57"/>
        <v>5.179145535592272</v>
      </c>
      <c r="O176" s="6">
        <f t="shared" si="58"/>
        <v>2.0944733622913003</v>
      </c>
      <c r="P176" s="6">
        <f t="shared" si="59"/>
        <v>97.176156015718334</v>
      </c>
      <c r="Q176" s="6">
        <f t="shared" si="55"/>
        <v>7.0945183984632587</v>
      </c>
      <c r="R176" s="10">
        <f t="shared" si="56"/>
        <v>7.0945183984632591E-3</v>
      </c>
      <c r="S176" s="3">
        <f t="shared" si="60"/>
        <v>0.12770133117233867</v>
      </c>
      <c r="T176" s="4">
        <f t="shared" si="61"/>
        <v>1.2770133117233866E-4</v>
      </c>
      <c r="U176" s="3">
        <f t="shared" si="62"/>
        <v>0.45972479222041918</v>
      </c>
      <c r="V176" s="2">
        <v>3.68</v>
      </c>
      <c r="W176" s="2">
        <v>0.9</v>
      </c>
      <c r="X176" s="2">
        <f t="shared" si="63"/>
        <v>9000</v>
      </c>
      <c r="Y176" s="5">
        <v>-0.51</v>
      </c>
      <c r="Z176" s="5">
        <v>-2.31</v>
      </c>
      <c r="AA176" s="2">
        <f t="shared" si="64"/>
        <v>1.8</v>
      </c>
      <c r="AB176" s="3">
        <f t="shared" si="65"/>
        <v>0.25540266234467729</v>
      </c>
    </row>
    <row r="177" spans="1:28" x14ac:dyDescent="0.2">
      <c r="A177" t="s">
        <v>11</v>
      </c>
      <c r="B177">
        <v>1212</v>
      </c>
      <c r="C177">
        <v>7</v>
      </c>
      <c r="D177">
        <v>83</v>
      </c>
      <c r="E177" t="s">
        <v>7</v>
      </c>
      <c r="F177" s="1">
        <v>45147</v>
      </c>
      <c r="G177" t="s">
        <v>8</v>
      </c>
      <c r="H177" s="2">
        <v>35.85</v>
      </c>
      <c r="I177" s="2">
        <v>36.04</v>
      </c>
      <c r="J177" s="2">
        <v>32.08</v>
      </c>
      <c r="K177" s="2">
        <f t="shared" si="54"/>
        <v>309.19</v>
      </c>
      <c r="L177" s="2">
        <v>2.64</v>
      </c>
      <c r="M177" s="2">
        <v>0.28999999999999998</v>
      </c>
      <c r="N177" s="6">
        <f t="shared" si="57"/>
        <v>4.7760333024054171</v>
      </c>
      <c r="O177" s="6">
        <f t="shared" si="58"/>
        <v>2.1352599162428163</v>
      </c>
      <c r="P177" s="6">
        <f t="shared" si="59"/>
        <v>97.158550163943588</v>
      </c>
      <c r="Q177" s="6">
        <f t="shared" si="55"/>
        <v>6.3756576920129282</v>
      </c>
      <c r="R177" s="10">
        <f t="shared" si="56"/>
        <v>6.3756576920129286E-3</v>
      </c>
      <c r="S177" s="3">
        <f t="shared" si="60"/>
        <v>0.11476183845623271</v>
      </c>
      <c r="T177" s="4">
        <f t="shared" si="61"/>
        <v>1.1476183845623271E-4</v>
      </c>
      <c r="U177" s="3">
        <f t="shared" si="62"/>
        <v>0.41314261844243777</v>
      </c>
      <c r="V177" s="2">
        <v>7.91</v>
      </c>
      <c r="W177" s="2">
        <v>2.14</v>
      </c>
      <c r="X177" s="2">
        <f t="shared" si="63"/>
        <v>21400</v>
      </c>
      <c r="Y177" s="5">
        <v>-0.43</v>
      </c>
      <c r="Z177" s="5">
        <v>-2.98</v>
      </c>
      <c r="AA177" s="2">
        <f t="shared" si="64"/>
        <v>2.5499999999999998</v>
      </c>
      <c r="AB177" s="3">
        <f t="shared" si="65"/>
        <v>0.16201671311468149</v>
      </c>
    </row>
    <row r="178" spans="1:28" x14ac:dyDescent="0.2">
      <c r="A178" t="s">
        <v>11</v>
      </c>
      <c r="B178">
        <v>1212</v>
      </c>
      <c r="C178">
        <v>8</v>
      </c>
      <c r="D178">
        <v>38</v>
      </c>
      <c r="E178" t="s">
        <v>7</v>
      </c>
      <c r="F178" s="1">
        <v>45147</v>
      </c>
      <c r="G178" t="s">
        <v>8</v>
      </c>
      <c r="H178" s="2">
        <v>35.08</v>
      </c>
      <c r="I178" s="2">
        <v>35.61</v>
      </c>
      <c r="J178" s="2">
        <v>31.25</v>
      </c>
      <c r="K178" s="2">
        <f t="shared" si="54"/>
        <v>308.76</v>
      </c>
      <c r="L178" s="2">
        <v>2.52</v>
      </c>
      <c r="M178" s="2">
        <v>0.38</v>
      </c>
      <c r="N178" s="6">
        <f t="shared" si="57"/>
        <v>4.5563243955355492</v>
      </c>
      <c r="O178" s="6">
        <f t="shared" si="58"/>
        <v>2.0405221433451861</v>
      </c>
      <c r="P178" s="6">
        <f t="shared" si="59"/>
        <v>97.152868818641636</v>
      </c>
      <c r="Q178" s="6">
        <f t="shared" si="55"/>
        <v>7.964801036889523</v>
      </c>
      <c r="R178" s="10">
        <f t="shared" si="56"/>
        <v>7.9648010368895232E-3</v>
      </c>
      <c r="S178" s="3">
        <f t="shared" si="60"/>
        <v>0.14336641866401142</v>
      </c>
      <c r="T178" s="4">
        <f t="shared" si="61"/>
        <v>1.4336641866401141E-4</v>
      </c>
      <c r="U178" s="3">
        <f t="shared" si="62"/>
        <v>0.51611910719044107</v>
      </c>
      <c r="V178" s="2">
        <v>13.38</v>
      </c>
      <c r="W178" s="2">
        <v>3.28</v>
      </c>
      <c r="X178" s="2">
        <f t="shared" si="63"/>
        <v>32800</v>
      </c>
      <c r="Y178" s="5">
        <v>-0.57999999999999996</v>
      </c>
      <c r="Z178" s="5">
        <v>-2.4700000000000002</v>
      </c>
      <c r="AA178" s="2">
        <f t="shared" si="64"/>
        <v>1.8900000000000001</v>
      </c>
      <c r="AB178" s="3">
        <f t="shared" si="65"/>
        <v>0.27307889269335506</v>
      </c>
    </row>
    <row r="179" spans="1:28" x14ac:dyDescent="0.2">
      <c r="A179" t="s">
        <v>11</v>
      </c>
      <c r="B179">
        <v>1212</v>
      </c>
      <c r="C179">
        <v>8</v>
      </c>
      <c r="D179">
        <v>39</v>
      </c>
      <c r="E179" t="s">
        <v>7</v>
      </c>
      <c r="F179" s="1">
        <v>45148</v>
      </c>
      <c r="G179" t="s">
        <v>8</v>
      </c>
      <c r="H179" s="2">
        <v>29.19</v>
      </c>
      <c r="I179" s="2">
        <v>36.299999999999997</v>
      </c>
      <c r="J179" s="2">
        <v>32.6</v>
      </c>
      <c r="K179" s="2">
        <f t="shared" si="54"/>
        <v>309.45</v>
      </c>
      <c r="L179" s="2">
        <v>3.16</v>
      </c>
      <c r="M179" s="2">
        <v>0.33</v>
      </c>
      <c r="N179" s="6">
        <f t="shared" si="57"/>
        <v>4.9183322047213416</v>
      </c>
      <c r="O179" s="6">
        <f t="shared" si="58"/>
        <v>1.7635831617040176</v>
      </c>
      <c r="P179" s="6">
        <f t="shared" si="59"/>
        <v>97.161977896916056</v>
      </c>
      <c r="Q179" s="6">
        <f t="shared" si="55"/>
        <v>5.9719824577228984</v>
      </c>
      <c r="R179" s="10">
        <f t="shared" si="56"/>
        <v>5.9719824577228985E-3</v>
      </c>
      <c r="S179" s="3">
        <f t="shared" si="60"/>
        <v>0.10749568423901218</v>
      </c>
      <c r="T179" s="4">
        <f t="shared" si="61"/>
        <v>1.0749568423901218E-4</v>
      </c>
      <c r="U179" s="3">
        <f t="shared" si="62"/>
        <v>0.38698446326044383</v>
      </c>
      <c r="V179" s="2">
        <v>3.71</v>
      </c>
      <c r="W179" s="2">
        <v>1.36</v>
      </c>
      <c r="X179" s="2">
        <f t="shared" si="63"/>
        <v>13600.000000000002</v>
      </c>
      <c r="Y179" s="5">
        <v>-0.48</v>
      </c>
      <c r="Z179" s="5">
        <v>-2.2799999999999998</v>
      </c>
      <c r="AA179" s="2">
        <f t="shared" si="64"/>
        <v>1.7999999999999998</v>
      </c>
      <c r="AB179" s="3">
        <f t="shared" si="65"/>
        <v>0.21499136847802439</v>
      </c>
    </row>
    <row r="180" spans="1:28" x14ac:dyDescent="0.2">
      <c r="A180" t="s">
        <v>11</v>
      </c>
      <c r="B180">
        <v>1212</v>
      </c>
      <c r="C180">
        <v>8</v>
      </c>
      <c r="D180">
        <v>40</v>
      </c>
      <c r="E180" t="s">
        <v>7</v>
      </c>
      <c r="F180" s="1">
        <v>45148</v>
      </c>
      <c r="G180" t="s">
        <v>8</v>
      </c>
      <c r="H180" s="2">
        <v>31.6</v>
      </c>
      <c r="I180" s="2">
        <v>35.200000000000003</v>
      </c>
      <c r="J180" s="2">
        <v>32.32</v>
      </c>
      <c r="K180" s="2">
        <f t="shared" si="54"/>
        <v>308.34999999999997</v>
      </c>
      <c r="L180" s="2">
        <v>3.05</v>
      </c>
      <c r="M180" s="2">
        <v>0.2</v>
      </c>
      <c r="N180" s="6">
        <f t="shared" si="57"/>
        <v>4.841258002954036</v>
      </c>
      <c r="O180" s="6">
        <f t="shared" si="58"/>
        <v>1.796955283002974</v>
      </c>
      <c r="P180" s="6">
        <f t="shared" si="59"/>
        <v>97.147437275481494</v>
      </c>
      <c r="Q180" s="6">
        <f t="shared" si="55"/>
        <v>3.6877102540019795</v>
      </c>
      <c r="R180" s="10">
        <f t="shared" si="56"/>
        <v>3.6877102540019795E-3</v>
      </c>
      <c r="S180" s="3">
        <f t="shared" si="60"/>
        <v>6.6378784572035637E-2</v>
      </c>
      <c r="T180" s="4">
        <f t="shared" si="61"/>
        <v>6.6378784572035642E-5</v>
      </c>
      <c r="U180" s="3">
        <f t="shared" si="62"/>
        <v>0.23896362445932831</v>
      </c>
      <c r="V180" s="2">
        <v>4.62</v>
      </c>
      <c r="W180" s="2">
        <v>1.66</v>
      </c>
      <c r="X180" s="2">
        <f t="shared" si="63"/>
        <v>16600</v>
      </c>
      <c r="Y180" s="5">
        <v>-0.6</v>
      </c>
      <c r="Z180" s="5">
        <v>-3.11</v>
      </c>
      <c r="AA180" s="2">
        <f t="shared" si="64"/>
        <v>2.5099999999999998</v>
      </c>
      <c r="AB180" s="3">
        <f t="shared" si="65"/>
        <v>9.5204631258696548E-2</v>
      </c>
    </row>
    <row r="181" spans="1:28" x14ac:dyDescent="0.2">
      <c r="A181" t="s">
        <v>11</v>
      </c>
      <c r="B181">
        <v>1212</v>
      </c>
      <c r="C181">
        <v>10</v>
      </c>
      <c r="D181">
        <v>21</v>
      </c>
      <c r="E181" t="s">
        <v>7</v>
      </c>
      <c r="F181" s="1">
        <v>45147</v>
      </c>
      <c r="G181" t="s">
        <v>8</v>
      </c>
      <c r="H181" s="2">
        <v>33.42</v>
      </c>
      <c r="I181" s="2">
        <v>37.18</v>
      </c>
      <c r="J181" s="2">
        <v>33.06</v>
      </c>
      <c r="K181" s="2">
        <f t="shared" si="54"/>
        <v>310.33</v>
      </c>
      <c r="L181" s="2">
        <v>2.93</v>
      </c>
      <c r="M181" s="2">
        <v>0.35</v>
      </c>
      <c r="N181" s="6">
        <f t="shared" si="57"/>
        <v>5.0472733035817976</v>
      </c>
      <c r="O181" s="6">
        <f t="shared" si="58"/>
        <v>2.1186917937933867</v>
      </c>
      <c r="P181" s="6">
        <f t="shared" si="59"/>
        <v>97.173537727750045</v>
      </c>
      <c r="Q181" s="6">
        <f t="shared" si="55"/>
        <v>7.6260026503286102</v>
      </c>
      <c r="R181" s="10">
        <f t="shared" si="56"/>
        <v>7.6260026503286102E-3</v>
      </c>
      <c r="S181" s="3">
        <f t="shared" si="60"/>
        <v>0.137268047705915</v>
      </c>
      <c r="T181" s="4">
        <f t="shared" si="61"/>
        <v>1.37268047705915E-4</v>
      </c>
      <c r="U181" s="3">
        <f t="shared" si="62"/>
        <v>0.49416497174129398</v>
      </c>
      <c r="V181" s="2">
        <v>4.78</v>
      </c>
      <c r="W181" s="2">
        <v>1.38</v>
      </c>
      <c r="X181" s="2">
        <f t="shared" si="63"/>
        <v>13799.999999999998</v>
      </c>
      <c r="Y181" s="5">
        <v>-0.44</v>
      </c>
      <c r="Z181" s="5">
        <v>-2.76</v>
      </c>
      <c r="AA181" s="2">
        <f t="shared" si="64"/>
        <v>2.3199999999999998</v>
      </c>
      <c r="AB181" s="3">
        <f t="shared" si="65"/>
        <v>0.21300214299193707</v>
      </c>
    </row>
    <row r="182" spans="1:28" x14ac:dyDescent="0.2">
      <c r="A182" t="s">
        <v>11</v>
      </c>
      <c r="B182">
        <v>1212</v>
      </c>
      <c r="C182">
        <v>10</v>
      </c>
      <c r="D182">
        <v>41</v>
      </c>
      <c r="E182" t="s">
        <v>7</v>
      </c>
      <c r="F182" s="1">
        <v>45148</v>
      </c>
      <c r="G182" t="s">
        <v>8</v>
      </c>
      <c r="H182" s="2">
        <v>30.14</v>
      </c>
      <c r="I182" s="2">
        <v>35.94</v>
      </c>
      <c r="J182" s="2">
        <v>31.15</v>
      </c>
      <c r="K182" s="2">
        <f t="shared" si="54"/>
        <v>309.08999999999997</v>
      </c>
      <c r="L182" s="2">
        <v>2.75</v>
      </c>
      <c r="M182" s="2">
        <v>0.33</v>
      </c>
      <c r="N182" s="6">
        <f t="shared" si="57"/>
        <v>4.5304572154326594</v>
      </c>
      <c r="O182" s="6">
        <f t="shared" si="58"/>
        <v>1.7853239015606444</v>
      </c>
      <c r="P182" s="6">
        <f t="shared" si="59"/>
        <v>97.157230301850447</v>
      </c>
      <c r="Q182" s="6">
        <f t="shared" si="55"/>
        <v>6.0474231229869391</v>
      </c>
      <c r="R182" s="10">
        <f t="shared" si="56"/>
        <v>6.0474231229869389E-3</v>
      </c>
      <c r="S182" s="3">
        <f t="shared" si="60"/>
        <v>0.10885361621376489</v>
      </c>
      <c r="T182" s="4">
        <f t="shared" si="61"/>
        <v>1.0885361621376489E-4</v>
      </c>
      <c r="U182" s="3">
        <f t="shared" si="62"/>
        <v>0.39187301836955363</v>
      </c>
      <c r="V182" s="2">
        <v>15.53</v>
      </c>
      <c r="W182" s="2">
        <v>3.35</v>
      </c>
      <c r="X182" s="2">
        <f t="shared" si="63"/>
        <v>33500</v>
      </c>
      <c r="Y182" s="5">
        <v>-0.65</v>
      </c>
      <c r="Z182" s="5">
        <v>-2.09</v>
      </c>
      <c r="AA182" s="2">
        <f t="shared" si="64"/>
        <v>1.44</v>
      </c>
      <c r="AB182" s="3">
        <f t="shared" si="65"/>
        <v>0.27213404053441226</v>
      </c>
    </row>
    <row r="183" spans="1:28" x14ac:dyDescent="0.2">
      <c r="A183" t="s">
        <v>11</v>
      </c>
      <c r="B183">
        <v>1212</v>
      </c>
      <c r="C183">
        <v>10</v>
      </c>
      <c r="D183">
        <v>42</v>
      </c>
      <c r="E183" t="s">
        <v>7</v>
      </c>
      <c r="F183" s="1">
        <v>45148</v>
      </c>
      <c r="G183" t="s">
        <v>8</v>
      </c>
      <c r="H183" s="2">
        <v>31.24</v>
      </c>
      <c r="I183" s="2">
        <v>35.47</v>
      </c>
      <c r="J183" s="2">
        <v>31.41</v>
      </c>
      <c r="K183" s="2">
        <f t="shared" si="54"/>
        <v>308.62</v>
      </c>
      <c r="L183" s="2">
        <v>2.8</v>
      </c>
      <c r="M183" s="2">
        <v>0.3</v>
      </c>
      <c r="N183" s="6">
        <f t="shared" si="57"/>
        <v>4.5979794517437051</v>
      </c>
      <c r="O183" s="6">
        <f t="shared" si="58"/>
        <v>1.8031793292269807</v>
      </c>
      <c r="P183" s="6">
        <f t="shared" si="59"/>
        <v>97.151015733822788</v>
      </c>
      <c r="Q183" s="6">
        <f t="shared" si="55"/>
        <v>5.5521173036518601</v>
      </c>
      <c r="R183" s="10">
        <f t="shared" si="56"/>
        <v>5.5521173036518602E-3</v>
      </c>
      <c r="S183" s="3">
        <f t="shared" si="60"/>
        <v>9.993811146573349E-2</v>
      </c>
      <c r="T183" s="4">
        <f t="shared" si="61"/>
        <v>9.9938111465733485E-5</v>
      </c>
      <c r="U183" s="3">
        <f t="shared" si="62"/>
        <v>0.35977720127664053</v>
      </c>
      <c r="V183" s="2">
        <v>14.52</v>
      </c>
      <c r="W183" s="2">
        <v>3.06</v>
      </c>
      <c r="X183" s="2">
        <f t="shared" si="63"/>
        <v>30600</v>
      </c>
      <c r="Y183" s="5">
        <v>-0.51</v>
      </c>
      <c r="Z183" s="5">
        <v>-2.25</v>
      </c>
      <c r="AA183" s="2">
        <f t="shared" si="64"/>
        <v>1.74</v>
      </c>
      <c r="AB183" s="3">
        <f t="shared" si="65"/>
        <v>0.2067685064808279</v>
      </c>
    </row>
    <row r="184" spans="1:28" x14ac:dyDescent="0.2">
      <c r="A184" t="s">
        <v>6</v>
      </c>
      <c r="B184">
        <v>72</v>
      </c>
      <c r="C184">
        <v>156</v>
      </c>
      <c r="D184">
        <v>43</v>
      </c>
      <c r="E184" t="s">
        <v>12</v>
      </c>
      <c r="F184" s="1">
        <v>45147</v>
      </c>
      <c r="G184" t="s">
        <v>8</v>
      </c>
      <c r="H184" s="2">
        <v>20.6</v>
      </c>
      <c r="I184" s="2">
        <v>43.69</v>
      </c>
      <c r="J184" s="2">
        <v>37.74</v>
      </c>
      <c r="K184" s="2">
        <f t="shared" si="54"/>
        <v>316.83999999999997</v>
      </c>
      <c r="L184" s="2">
        <v>4.6900000000000004</v>
      </c>
      <c r="M184" s="2">
        <v>0.21</v>
      </c>
      <c r="N184" s="6">
        <f t="shared" si="57"/>
        <v>6.5357028669982915</v>
      </c>
      <c r="O184" s="6">
        <f t="shared" si="58"/>
        <v>1.8472408449249176</v>
      </c>
      <c r="P184" s="6">
        <f t="shared" si="59"/>
        <v>97.257100487781514</v>
      </c>
      <c r="Q184" s="6">
        <f t="shared" si="55"/>
        <v>3.9852884789459186</v>
      </c>
      <c r="R184" s="10">
        <f t="shared" si="56"/>
        <v>3.9852884789459185E-3</v>
      </c>
      <c r="S184" s="3">
        <f t="shared" si="60"/>
        <v>7.1735192621026539E-2</v>
      </c>
      <c r="T184" s="4">
        <f t="shared" si="61"/>
        <v>7.1735192621026541E-5</v>
      </c>
      <c r="U184" s="3">
        <f t="shared" si="62"/>
        <v>0.25824669343569556</v>
      </c>
      <c r="V184" s="2">
        <v>18.53</v>
      </c>
      <c r="W184" s="2">
        <v>3.87</v>
      </c>
      <c r="X184" s="2">
        <f t="shared" si="63"/>
        <v>38700</v>
      </c>
      <c r="Y184" s="5">
        <v>-0.66</v>
      </c>
      <c r="Z184" s="5">
        <v>-2.21</v>
      </c>
      <c r="AA184" s="2">
        <f t="shared" si="64"/>
        <v>1.5499999999999998</v>
      </c>
      <c r="AB184" s="3">
        <f t="shared" si="65"/>
        <v>0.16661076995851329</v>
      </c>
    </row>
    <row r="185" spans="1:28" x14ac:dyDescent="0.2">
      <c r="A185" t="s">
        <v>6</v>
      </c>
      <c r="B185">
        <v>72</v>
      </c>
      <c r="C185">
        <v>156</v>
      </c>
      <c r="D185">
        <v>44</v>
      </c>
      <c r="E185" t="s">
        <v>12</v>
      </c>
      <c r="F185" s="1">
        <v>45148</v>
      </c>
      <c r="G185" t="s">
        <v>8</v>
      </c>
      <c r="H185" s="2">
        <v>19.28</v>
      </c>
      <c r="I185" s="2">
        <v>43.07</v>
      </c>
      <c r="J185" s="2">
        <v>36.979999999999997</v>
      </c>
      <c r="K185" s="2">
        <f t="shared" si="54"/>
        <v>316.21999999999997</v>
      </c>
      <c r="L185" s="2">
        <v>4.5999999999999996</v>
      </c>
      <c r="M185" s="2">
        <v>0.22</v>
      </c>
      <c r="N185" s="6">
        <f t="shared" si="57"/>
        <v>6.2708018135027173</v>
      </c>
      <c r="O185" s="6">
        <f t="shared" si="58"/>
        <v>1.6738570487573061</v>
      </c>
      <c r="P185" s="6">
        <f t="shared" si="59"/>
        <v>97.249287320955077</v>
      </c>
      <c r="Q185" s="6">
        <f t="shared" si="55"/>
        <v>3.7797336011057148</v>
      </c>
      <c r="R185" s="10">
        <f t="shared" si="56"/>
        <v>3.7797336011057146E-3</v>
      </c>
      <c r="S185" s="3">
        <f t="shared" si="60"/>
        <v>6.803520481990287E-2</v>
      </c>
      <c r="T185" s="4">
        <f t="shared" si="61"/>
        <v>6.8035204819902868E-5</v>
      </c>
      <c r="U185" s="3">
        <f t="shared" si="62"/>
        <v>0.24492673735165033</v>
      </c>
      <c r="V185" s="2">
        <v>5.08</v>
      </c>
      <c r="W185" s="2">
        <v>1.59</v>
      </c>
      <c r="X185" s="2">
        <f t="shared" si="63"/>
        <v>15900</v>
      </c>
      <c r="Y185" s="5">
        <v>-0.77</v>
      </c>
      <c r="Z185" s="5">
        <v>-2.2799999999999998</v>
      </c>
      <c r="AA185" s="2">
        <f t="shared" si="64"/>
        <v>1.5099999999999998</v>
      </c>
      <c r="AB185" s="3">
        <f t="shared" si="65"/>
        <v>0.16220313731897376</v>
      </c>
    </row>
    <row r="186" spans="1:28" x14ac:dyDescent="0.2">
      <c r="A186" t="s">
        <v>6</v>
      </c>
      <c r="B186">
        <v>72</v>
      </c>
      <c r="C186">
        <v>156</v>
      </c>
      <c r="D186">
        <v>45</v>
      </c>
      <c r="E186" t="s">
        <v>12</v>
      </c>
      <c r="F186" s="1">
        <v>45147</v>
      </c>
      <c r="G186" t="s">
        <v>8</v>
      </c>
      <c r="H186" s="2">
        <v>19.52</v>
      </c>
      <c r="I186" s="2">
        <v>44.01</v>
      </c>
      <c r="J186" s="2">
        <v>36.99</v>
      </c>
      <c r="K186" s="2">
        <f t="shared" si="54"/>
        <v>317.15999999999997</v>
      </c>
      <c r="L186" s="2">
        <v>4.49</v>
      </c>
      <c r="M186" s="2">
        <v>0.28999999999999998</v>
      </c>
      <c r="N186" s="6">
        <f t="shared" si="57"/>
        <v>6.2742258887015936</v>
      </c>
      <c r="O186" s="6">
        <f t="shared" si="58"/>
        <v>1.7797590913692329</v>
      </c>
      <c r="P186" s="6">
        <f t="shared" si="59"/>
        <v>97.261121382796873</v>
      </c>
      <c r="Q186" s="6">
        <f t="shared" si="55"/>
        <v>5.319962389565684</v>
      </c>
      <c r="R186" s="10">
        <f t="shared" si="56"/>
        <v>5.3199623895656837E-3</v>
      </c>
      <c r="S186" s="3">
        <f t="shared" si="60"/>
        <v>9.5759323012182304E-2</v>
      </c>
      <c r="T186" s="4">
        <f t="shared" si="61"/>
        <v>9.5759323012182298E-5</v>
      </c>
      <c r="U186" s="3">
        <f t="shared" si="62"/>
        <v>0.34473356284385626</v>
      </c>
      <c r="V186" s="2">
        <v>13.38</v>
      </c>
      <c r="W186" s="2">
        <v>3.64</v>
      </c>
      <c r="X186" s="2">
        <f t="shared" si="63"/>
        <v>36400</v>
      </c>
      <c r="Y186" s="5">
        <v>-0.51</v>
      </c>
      <c r="Z186" s="5">
        <v>-1.92</v>
      </c>
      <c r="AA186" s="2">
        <f t="shared" si="64"/>
        <v>1.41</v>
      </c>
      <c r="AB186" s="3">
        <f t="shared" si="65"/>
        <v>0.24449188854174203</v>
      </c>
    </row>
    <row r="187" spans="1:28" x14ac:dyDescent="0.2">
      <c r="A187" t="s">
        <v>6</v>
      </c>
      <c r="B187">
        <v>72</v>
      </c>
      <c r="C187">
        <v>149</v>
      </c>
      <c r="D187">
        <v>46</v>
      </c>
      <c r="E187" t="s">
        <v>12</v>
      </c>
      <c r="F187" s="1">
        <v>45147</v>
      </c>
      <c r="G187" t="s">
        <v>8</v>
      </c>
      <c r="H187" s="2">
        <v>20.100000000000001</v>
      </c>
      <c r="I187" s="2">
        <v>43.46</v>
      </c>
      <c r="J187" s="2">
        <v>35.22</v>
      </c>
      <c r="K187" s="2">
        <f t="shared" si="54"/>
        <v>316.60999999999996</v>
      </c>
      <c r="L187" s="2">
        <v>3.91</v>
      </c>
      <c r="M187" s="2">
        <v>0.33</v>
      </c>
      <c r="N187" s="6">
        <f t="shared" si="57"/>
        <v>5.6928593198445663</v>
      </c>
      <c r="O187" s="6">
        <f t="shared" si="58"/>
        <v>1.7809399431820119</v>
      </c>
      <c r="P187" s="6">
        <f t="shared" si="59"/>
        <v>97.254205552014326</v>
      </c>
      <c r="Q187" s="6">
        <f t="shared" si="55"/>
        <v>6.0495437930860883</v>
      </c>
      <c r="R187" s="10">
        <f t="shared" si="56"/>
        <v>6.0495437930860882E-3</v>
      </c>
      <c r="S187" s="3">
        <f t="shared" si="60"/>
        <v>0.10889178827554959</v>
      </c>
      <c r="T187" s="4">
        <f t="shared" si="61"/>
        <v>1.0889178827554958E-4</v>
      </c>
      <c r="U187" s="3">
        <f t="shared" si="62"/>
        <v>0.39201043779197847</v>
      </c>
      <c r="V187" s="2">
        <v>10.99</v>
      </c>
      <c r="W187" s="2">
        <v>2.0499999999999998</v>
      </c>
      <c r="X187" s="2">
        <f t="shared" si="63"/>
        <v>20500</v>
      </c>
      <c r="Y187" s="5">
        <v>-0.62</v>
      </c>
      <c r="Z187" s="5">
        <v>-2.1</v>
      </c>
      <c r="AA187" s="2">
        <f t="shared" si="64"/>
        <v>1.48</v>
      </c>
      <c r="AB187" s="3">
        <f t="shared" si="65"/>
        <v>0.26487191742701249</v>
      </c>
    </row>
    <row r="188" spans="1:28" x14ac:dyDescent="0.2">
      <c r="A188" t="s">
        <v>6</v>
      </c>
      <c r="B188">
        <v>72</v>
      </c>
      <c r="C188">
        <v>149</v>
      </c>
      <c r="D188">
        <v>47</v>
      </c>
      <c r="E188" t="s">
        <v>12</v>
      </c>
      <c r="F188" s="1">
        <v>45147</v>
      </c>
      <c r="G188" t="s">
        <v>8</v>
      </c>
      <c r="H188" s="2">
        <v>23.99</v>
      </c>
      <c r="I188" s="2">
        <v>41.26</v>
      </c>
      <c r="J188" s="2">
        <v>35.22</v>
      </c>
      <c r="K188" s="2">
        <f t="shared" si="54"/>
        <v>314.40999999999997</v>
      </c>
      <c r="L188" s="2">
        <v>3.8</v>
      </c>
      <c r="M188" s="2">
        <v>0.44</v>
      </c>
      <c r="N188" s="6">
        <f t="shared" ref="N188:N219" si="66">0.611*EXP((17.502*J188)/(240.97+J188))</f>
        <v>5.6928593198445663</v>
      </c>
      <c r="O188" s="6">
        <f t="shared" ref="O188:O219" si="67">(0.611*EXP((17.502*I188)/(240.97+I188)))*(H188/100)</f>
        <v>1.8935915791560129</v>
      </c>
      <c r="P188" s="6">
        <f t="shared" ref="P188:P219" si="68">101.325*EXP(-380/(29.27*K188))</f>
        <v>97.226305265410375</v>
      </c>
      <c r="Q188" s="6">
        <f t="shared" si="55"/>
        <v>8.5661807106426195</v>
      </c>
      <c r="R188" s="10">
        <f t="shared" si="56"/>
        <v>8.566180710642619E-3</v>
      </c>
      <c r="S188" s="3">
        <f t="shared" ref="S188:S219" si="69">R188*18</f>
        <v>0.15419125279156715</v>
      </c>
      <c r="T188" s="4">
        <f t="shared" ref="T188:T219" si="70">S188/1000</f>
        <v>1.5419125279156714E-4</v>
      </c>
      <c r="U188" s="3">
        <f t="shared" ref="U188:U219" si="71">T188*3600</f>
        <v>0.55508851004964166</v>
      </c>
      <c r="V188" s="2">
        <v>10.98</v>
      </c>
      <c r="W188" s="2">
        <v>2.5099999999999998</v>
      </c>
      <c r="X188" s="2">
        <f t="shared" ref="X188:X219" si="72">W188*10000</f>
        <v>25099.999999999996</v>
      </c>
      <c r="Y188" s="5">
        <v>-0.44</v>
      </c>
      <c r="Z188" s="5">
        <v>-2.2999999999999998</v>
      </c>
      <c r="AA188" s="2">
        <f t="shared" ref="AA188:AA219" si="73">Y188-Z188</f>
        <v>1.8599999999999999</v>
      </c>
      <c r="AB188" s="3">
        <f t="shared" ref="AB188:AB219" si="74">U188/AA188</f>
        <v>0.298434682822388</v>
      </c>
    </row>
    <row r="189" spans="1:28" x14ac:dyDescent="0.2">
      <c r="A189" t="s">
        <v>6</v>
      </c>
      <c r="B189">
        <v>72</v>
      </c>
      <c r="C189">
        <v>149</v>
      </c>
      <c r="D189">
        <v>48</v>
      </c>
      <c r="E189" t="s">
        <v>12</v>
      </c>
      <c r="F189" s="1">
        <v>45148</v>
      </c>
      <c r="G189" t="s">
        <v>8</v>
      </c>
      <c r="H189" s="2">
        <v>20.12</v>
      </c>
      <c r="I189" s="2">
        <v>43.24</v>
      </c>
      <c r="J189" s="2">
        <v>37</v>
      </c>
      <c r="K189" s="2">
        <f t="shared" si="54"/>
        <v>316.39</v>
      </c>
      <c r="L189" s="2">
        <v>4.5199999999999996</v>
      </c>
      <c r="M189" s="2">
        <v>0.24</v>
      </c>
      <c r="N189" s="6">
        <f t="shared" si="66"/>
        <v>6.2776515869995047</v>
      </c>
      <c r="O189" s="6">
        <f t="shared" si="67"/>
        <v>1.7623673931363253</v>
      </c>
      <c r="P189" s="6">
        <f t="shared" si="68"/>
        <v>97.251432625388532</v>
      </c>
      <c r="Q189" s="6">
        <f t="shared" si="55"/>
        <v>4.3375852621605109</v>
      </c>
      <c r="R189" s="10">
        <f t="shared" si="56"/>
        <v>4.3375852621605109E-3</v>
      </c>
      <c r="S189" s="3">
        <f t="shared" si="69"/>
        <v>7.8076534718889201E-2</v>
      </c>
      <c r="T189" s="4">
        <f t="shared" si="70"/>
        <v>7.8076534718889205E-5</v>
      </c>
      <c r="U189" s="3">
        <f t="shared" si="71"/>
        <v>0.28107552498800115</v>
      </c>
      <c r="V189" s="2">
        <v>17.25</v>
      </c>
      <c r="W189" s="2">
        <v>2.85</v>
      </c>
      <c r="X189" s="2">
        <f t="shared" si="72"/>
        <v>28500</v>
      </c>
      <c r="Y189" s="5">
        <v>-0.61</v>
      </c>
      <c r="Z189" s="5">
        <v>-2.2000000000000002</v>
      </c>
      <c r="AA189" s="2">
        <f t="shared" si="73"/>
        <v>1.5900000000000003</v>
      </c>
      <c r="AB189" s="3">
        <f t="shared" si="74"/>
        <v>0.1767770597408812</v>
      </c>
    </row>
    <row r="190" spans="1:28" x14ac:dyDescent="0.2">
      <c r="A190" t="s">
        <v>6</v>
      </c>
      <c r="B190">
        <v>72</v>
      </c>
      <c r="C190">
        <v>152</v>
      </c>
      <c r="D190">
        <v>49</v>
      </c>
      <c r="E190" t="s">
        <v>12</v>
      </c>
      <c r="F190" s="1">
        <v>45147</v>
      </c>
      <c r="G190" t="s">
        <v>8</v>
      </c>
      <c r="H190" s="2">
        <v>22.09</v>
      </c>
      <c r="I190" s="2">
        <v>42.77</v>
      </c>
      <c r="J190" s="2">
        <v>34.729999999999997</v>
      </c>
      <c r="K190" s="2">
        <f t="shared" si="54"/>
        <v>315.91999999999996</v>
      </c>
      <c r="L190" s="2">
        <v>3.66</v>
      </c>
      <c r="M190" s="2">
        <v>0.43</v>
      </c>
      <c r="N190" s="6">
        <f t="shared" si="66"/>
        <v>5.5404356087965345</v>
      </c>
      <c r="O190" s="6">
        <f t="shared" si="67"/>
        <v>1.8879438124752344</v>
      </c>
      <c r="P190" s="6">
        <f t="shared" si="68"/>
        <v>97.245495973076274</v>
      </c>
      <c r="Q190" s="6">
        <f t="shared" si="55"/>
        <v>8.3149075820064517</v>
      </c>
      <c r="R190" s="10">
        <f t="shared" si="56"/>
        <v>8.3149075820064516E-3</v>
      </c>
      <c r="S190" s="3">
        <f t="shared" si="69"/>
        <v>0.14966833647611613</v>
      </c>
      <c r="T190" s="4">
        <f t="shared" si="70"/>
        <v>1.4966833647611614E-4</v>
      </c>
      <c r="U190" s="3">
        <f t="shared" si="71"/>
        <v>0.53880601131401806</v>
      </c>
      <c r="V190" s="2">
        <v>16.68</v>
      </c>
      <c r="W190" s="2">
        <v>2.78</v>
      </c>
      <c r="X190" s="2">
        <f t="shared" si="72"/>
        <v>27799.999999999996</v>
      </c>
      <c r="Y190" s="5">
        <v>-0.93</v>
      </c>
      <c r="Z190" s="5">
        <v>-1.75</v>
      </c>
      <c r="AA190" s="2">
        <f t="shared" si="73"/>
        <v>0.82</v>
      </c>
      <c r="AB190" s="3">
        <f t="shared" si="74"/>
        <v>0.65708050160246112</v>
      </c>
    </row>
    <row r="191" spans="1:28" x14ac:dyDescent="0.2">
      <c r="A191" t="s">
        <v>6</v>
      </c>
      <c r="B191">
        <v>72</v>
      </c>
      <c r="C191">
        <v>152</v>
      </c>
      <c r="D191">
        <v>50</v>
      </c>
      <c r="E191" t="s">
        <v>12</v>
      </c>
      <c r="F191" s="1">
        <v>45148</v>
      </c>
      <c r="G191" t="s">
        <v>8</v>
      </c>
      <c r="H191" s="2">
        <v>19.829999999999998</v>
      </c>
      <c r="I191" s="2">
        <v>43.17</v>
      </c>
      <c r="J191" s="2">
        <v>35.68</v>
      </c>
      <c r="K191" s="2">
        <f t="shared" si="54"/>
        <v>316.32</v>
      </c>
      <c r="L191" s="2">
        <v>4.1100000000000003</v>
      </c>
      <c r="M191" s="2">
        <v>0.28999999999999998</v>
      </c>
      <c r="N191" s="6">
        <f t="shared" si="66"/>
        <v>5.8392540492024949</v>
      </c>
      <c r="O191" s="6">
        <f t="shared" si="67"/>
        <v>1.7306271516395482</v>
      </c>
      <c r="P191" s="6">
        <f t="shared" si="68"/>
        <v>97.250549538270363</v>
      </c>
      <c r="Q191" s="6">
        <f t="shared" si="55"/>
        <v>5.1566153265938919</v>
      </c>
      <c r="R191" s="10">
        <f t="shared" si="56"/>
        <v>5.1566153265938915E-3</v>
      </c>
      <c r="S191" s="3">
        <f t="shared" si="69"/>
        <v>9.2819075878690052E-2</v>
      </c>
      <c r="T191" s="4">
        <f t="shared" si="70"/>
        <v>9.2819075878690057E-5</v>
      </c>
      <c r="U191" s="3">
        <f t="shared" si="71"/>
        <v>0.33414867316328423</v>
      </c>
      <c r="V191" s="2">
        <v>29.47</v>
      </c>
      <c r="W191" s="2">
        <v>3.96</v>
      </c>
      <c r="X191" s="2">
        <f t="shared" si="72"/>
        <v>39600</v>
      </c>
      <c r="Y191" s="5">
        <v>-0.61</v>
      </c>
      <c r="Z191" s="5">
        <v>-2.42</v>
      </c>
      <c r="AA191" s="2">
        <f t="shared" si="73"/>
        <v>1.81</v>
      </c>
      <c r="AB191" s="3">
        <f t="shared" si="74"/>
        <v>0.1846125266095493</v>
      </c>
    </row>
    <row r="192" spans="1:28" x14ac:dyDescent="0.2">
      <c r="A192" t="s">
        <v>6</v>
      </c>
      <c r="B192">
        <v>72</v>
      </c>
      <c r="C192">
        <v>152</v>
      </c>
      <c r="D192">
        <v>51</v>
      </c>
      <c r="E192" t="s">
        <v>12</v>
      </c>
      <c r="F192" s="1">
        <v>45148</v>
      </c>
      <c r="G192" t="s">
        <v>8</v>
      </c>
      <c r="H192" s="2">
        <v>20.16</v>
      </c>
      <c r="I192" s="2">
        <v>43</v>
      </c>
      <c r="J192" s="2">
        <v>34.39</v>
      </c>
      <c r="K192" s="2">
        <f t="shared" si="54"/>
        <v>316.14999999999998</v>
      </c>
      <c r="L192" s="2">
        <v>3.7</v>
      </c>
      <c r="M192" s="2">
        <v>0.55000000000000004</v>
      </c>
      <c r="N192" s="6">
        <f t="shared" si="66"/>
        <v>5.4367685470857463</v>
      </c>
      <c r="O192" s="6">
        <f t="shared" si="67"/>
        <v>1.7438627004346068</v>
      </c>
      <c r="P192" s="6">
        <f t="shared" si="68"/>
        <v>97.248403303486128</v>
      </c>
      <c r="Q192" s="6">
        <f t="shared" si="55"/>
        <v>9.8225026678964298</v>
      </c>
      <c r="R192" s="10">
        <f t="shared" si="56"/>
        <v>9.8225026678964295E-3</v>
      </c>
      <c r="S192" s="3">
        <f t="shared" si="69"/>
        <v>0.17680504802213573</v>
      </c>
      <c r="T192" s="4">
        <f t="shared" si="70"/>
        <v>1.7680504802213573E-4</v>
      </c>
      <c r="U192" s="3">
        <f t="shared" si="71"/>
        <v>0.63649817287968868</v>
      </c>
      <c r="V192" s="2">
        <v>11.56</v>
      </c>
      <c r="W192" s="2">
        <v>1.91</v>
      </c>
      <c r="X192" s="2">
        <f t="shared" si="72"/>
        <v>19100</v>
      </c>
      <c r="Y192" s="5">
        <v>-0.71199999999999997</v>
      </c>
      <c r="Z192" s="5">
        <v>-1.64</v>
      </c>
      <c r="AA192" s="6">
        <f t="shared" si="73"/>
        <v>0.92799999999999994</v>
      </c>
      <c r="AB192" s="3">
        <f t="shared" si="74"/>
        <v>0.68588165181000937</v>
      </c>
    </row>
    <row r="193" spans="1:28" x14ac:dyDescent="0.2">
      <c r="A193" t="s">
        <v>6</v>
      </c>
      <c r="B193">
        <v>72</v>
      </c>
      <c r="C193">
        <v>155</v>
      </c>
      <c r="D193">
        <v>58</v>
      </c>
      <c r="E193" t="s">
        <v>12</v>
      </c>
      <c r="F193" s="1">
        <v>45147</v>
      </c>
      <c r="G193" t="s">
        <v>8</v>
      </c>
      <c r="H193" s="2">
        <v>25.15</v>
      </c>
      <c r="I193" s="2">
        <v>40.83</v>
      </c>
      <c r="J193" s="2">
        <v>36.520000000000003</v>
      </c>
      <c r="K193" s="2">
        <f t="shared" si="54"/>
        <v>313.97999999999996</v>
      </c>
      <c r="L193" s="2">
        <v>4.18</v>
      </c>
      <c r="M193" s="2">
        <v>0.25</v>
      </c>
      <c r="N193" s="6">
        <f t="shared" si="66"/>
        <v>6.1150378339905851</v>
      </c>
      <c r="O193" s="6">
        <f t="shared" si="67"/>
        <v>1.940399823699988</v>
      </c>
      <c r="P193" s="6">
        <f t="shared" si="68"/>
        <v>97.220807293752074</v>
      </c>
      <c r="Q193" s="6">
        <f t="shared" si="55"/>
        <v>4.9758839898949834</v>
      </c>
      <c r="R193" s="10">
        <f t="shared" si="56"/>
        <v>4.9758839898949832E-3</v>
      </c>
      <c r="S193" s="3">
        <f t="shared" si="69"/>
        <v>8.9565911818109703E-2</v>
      </c>
      <c r="T193" s="4">
        <f t="shared" si="70"/>
        <v>8.9565911818109705E-5</v>
      </c>
      <c r="U193" s="3">
        <f t="shared" si="71"/>
        <v>0.32243728254519494</v>
      </c>
      <c r="V193" s="2">
        <v>25.14</v>
      </c>
      <c r="W193" s="2">
        <v>4.53</v>
      </c>
      <c r="X193" s="2">
        <f t="shared" si="72"/>
        <v>45300</v>
      </c>
      <c r="Y193" s="5">
        <v>-0.73</v>
      </c>
      <c r="Z193" s="5">
        <v>-1.74</v>
      </c>
      <c r="AA193" s="2">
        <f t="shared" si="73"/>
        <v>1.01</v>
      </c>
      <c r="AB193" s="3">
        <f t="shared" si="74"/>
        <v>0.3192448342031633</v>
      </c>
    </row>
    <row r="194" spans="1:28" x14ac:dyDescent="0.2">
      <c r="A194" t="s">
        <v>6</v>
      </c>
      <c r="B194">
        <v>72</v>
      </c>
      <c r="C194">
        <v>155</v>
      </c>
      <c r="D194">
        <v>59</v>
      </c>
      <c r="E194" t="s">
        <v>12</v>
      </c>
      <c r="F194" s="1">
        <v>45147</v>
      </c>
      <c r="G194" t="s">
        <v>8</v>
      </c>
      <c r="H194" s="2">
        <v>20.78</v>
      </c>
      <c r="I194" s="2">
        <v>43.24</v>
      </c>
      <c r="J194" s="2">
        <v>40.17</v>
      </c>
      <c r="K194" s="2">
        <f t="shared" si="54"/>
        <v>316.39</v>
      </c>
      <c r="L194" s="2">
        <v>5.64</v>
      </c>
      <c r="M194" s="2">
        <v>0.12</v>
      </c>
      <c r="N194" s="6">
        <f t="shared" si="66"/>
        <v>7.4489424077888096</v>
      </c>
      <c r="O194" s="6">
        <f t="shared" si="67"/>
        <v>1.8201786495712147</v>
      </c>
      <c r="P194" s="6">
        <f t="shared" si="68"/>
        <v>97.251432625388532</v>
      </c>
      <c r="Q194" s="6">
        <f t="shared" si="55"/>
        <v>2.2320811434297365</v>
      </c>
      <c r="R194" s="10">
        <f t="shared" si="56"/>
        <v>2.2320811434297363E-3</v>
      </c>
      <c r="S194" s="3">
        <f t="shared" si="69"/>
        <v>4.0177460581735255E-2</v>
      </c>
      <c r="T194" s="4">
        <f t="shared" si="70"/>
        <v>4.0177460581735252E-5</v>
      </c>
      <c r="U194" s="3">
        <f t="shared" si="71"/>
        <v>0.1446388580942469</v>
      </c>
      <c r="V194" s="2">
        <v>16.940000000000001</v>
      </c>
      <c r="W194" s="2">
        <v>3.17</v>
      </c>
      <c r="X194" s="2">
        <f t="shared" si="72"/>
        <v>31700</v>
      </c>
      <c r="Y194" s="5">
        <v>-0.52</v>
      </c>
      <c r="Z194" s="5">
        <v>-2.02</v>
      </c>
      <c r="AA194" s="2">
        <f t="shared" si="73"/>
        <v>1.5</v>
      </c>
      <c r="AB194" s="3">
        <f t="shared" si="74"/>
        <v>9.6425905396164593E-2</v>
      </c>
    </row>
    <row r="195" spans="1:28" x14ac:dyDescent="0.2">
      <c r="A195" t="s">
        <v>6</v>
      </c>
      <c r="B195">
        <v>72</v>
      </c>
      <c r="C195">
        <v>155</v>
      </c>
      <c r="D195">
        <v>60</v>
      </c>
      <c r="E195" t="s">
        <v>12</v>
      </c>
      <c r="F195" s="1">
        <v>45148</v>
      </c>
      <c r="G195" t="s">
        <v>8</v>
      </c>
      <c r="H195" s="2">
        <v>21.87</v>
      </c>
      <c r="I195" s="2">
        <v>42.37</v>
      </c>
      <c r="J195" s="2">
        <v>37.31</v>
      </c>
      <c r="K195" s="2">
        <f t="shared" si="54"/>
        <v>315.52</v>
      </c>
      <c r="L195" s="2">
        <v>4.5599999999999996</v>
      </c>
      <c r="M195" s="2">
        <v>0.19</v>
      </c>
      <c r="N195" s="6">
        <f t="shared" si="66"/>
        <v>6.3846568113290409</v>
      </c>
      <c r="O195" s="6">
        <f t="shared" si="67"/>
        <v>1.8303284252696856</v>
      </c>
      <c r="P195" s="6">
        <f t="shared" si="68"/>
        <v>97.240429858188008</v>
      </c>
      <c r="Q195" s="6">
        <f t="shared" si="55"/>
        <v>3.5652330482095835</v>
      </c>
      <c r="R195" s="10">
        <f t="shared" si="56"/>
        <v>3.5652330482095836E-3</v>
      </c>
      <c r="S195" s="3">
        <f t="shared" si="69"/>
        <v>6.417419486777251E-2</v>
      </c>
      <c r="T195" s="4">
        <f t="shared" si="70"/>
        <v>6.4174194867772512E-5</v>
      </c>
      <c r="U195" s="3">
        <f t="shared" si="71"/>
        <v>0.23102710152398104</v>
      </c>
      <c r="V195" s="2">
        <v>22.24</v>
      </c>
      <c r="W195" s="2">
        <v>4.22</v>
      </c>
      <c r="X195" s="2">
        <f t="shared" si="72"/>
        <v>42200</v>
      </c>
      <c r="Y195" s="5">
        <v>-0.49</v>
      </c>
      <c r="Z195" s="5">
        <v>-2.4500000000000002</v>
      </c>
      <c r="AA195" s="2">
        <f t="shared" si="73"/>
        <v>1.9600000000000002</v>
      </c>
      <c r="AB195" s="3">
        <f t="shared" si="74"/>
        <v>0.11787097016529643</v>
      </c>
    </row>
    <row r="196" spans="1:28" x14ac:dyDescent="0.2">
      <c r="A196" t="s">
        <v>6</v>
      </c>
      <c r="B196">
        <v>72</v>
      </c>
      <c r="C196">
        <v>5</v>
      </c>
      <c r="D196">
        <v>61</v>
      </c>
      <c r="E196" t="s">
        <v>12</v>
      </c>
      <c r="F196" s="1">
        <v>45148</v>
      </c>
      <c r="G196" t="s">
        <v>8</v>
      </c>
      <c r="H196" s="2">
        <v>19.489999999999998</v>
      </c>
      <c r="I196" s="2">
        <v>43.2</v>
      </c>
      <c r="J196" s="2">
        <v>37.18</v>
      </c>
      <c r="K196" s="2">
        <f t="shared" ref="K196:K259" si="75">273.15+I196</f>
        <v>316.34999999999997</v>
      </c>
      <c r="L196" s="2">
        <v>4.6399999999999997</v>
      </c>
      <c r="M196" s="2">
        <v>0.16</v>
      </c>
      <c r="N196" s="6">
        <f t="shared" si="66"/>
        <v>6.3395924410334734</v>
      </c>
      <c r="O196" s="6">
        <f t="shared" si="67"/>
        <v>1.7036217080860001</v>
      </c>
      <c r="P196" s="6">
        <f t="shared" si="68"/>
        <v>97.25092805105028</v>
      </c>
      <c r="Q196" s="6">
        <f t="shared" ref="Q196:Q259" si="76">(M196*(N196-L196)/P196)*1000</f>
        <v>2.7962179489187813</v>
      </c>
      <c r="R196" s="10">
        <f t="shared" ref="R196:R243" si="77">Q196/1000</f>
        <v>2.7962179489187814E-3</v>
      </c>
      <c r="S196" s="3">
        <f t="shared" si="69"/>
        <v>5.0331923080538063E-2</v>
      </c>
      <c r="T196" s="4">
        <f t="shared" si="70"/>
        <v>5.0331923080538062E-5</v>
      </c>
      <c r="U196" s="3">
        <f t="shared" si="71"/>
        <v>0.18119492308993704</v>
      </c>
      <c r="V196" s="2">
        <v>5.59</v>
      </c>
      <c r="W196" s="2">
        <v>1.83</v>
      </c>
      <c r="X196" s="2">
        <f t="shared" si="72"/>
        <v>18300</v>
      </c>
      <c r="Y196" s="5">
        <v>-0.52</v>
      </c>
      <c r="Z196" s="5">
        <v>-2.48</v>
      </c>
      <c r="AA196" s="2">
        <f t="shared" si="73"/>
        <v>1.96</v>
      </c>
      <c r="AB196" s="3">
        <f t="shared" si="74"/>
        <v>9.2446389331600529E-2</v>
      </c>
    </row>
    <row r="197" spans="1:28" x14ac:dyDescent="0.2">
      <c r="A197" t="s">
        <v>6</v>
      </c>
      <c r="B197">
        <v>72</v>
      </c>
      <c r="C197">
        <v>5</v>
      </c>
      <c r="D197">
        <v>63</v>
      </c>
      <c r="E197" t="s">
        <v>12</v>
      </c>
      <c r="F197" s="1">
        <v>45147</v>
      </c>
      <c r="G197" t="s">
        <v>8</v>
      </c>
      <c r="H197" s="2">
        <v>21.55</v>
      </c>
      <c r="I197" s="2">
        <v>42.85</v>
      </c>
      <c r="J197" s="2">
        <v>37.049999999999997</v>
      </c>
      <c r="K197" s="2">
        <f t="shared" si="75"/>
        <v>316</v>
      </c>
      <c r="L197" s="2">
        <v>4.45</v>
      </c>
      <c r="M197" s="2">
        <v>0.23</v>
      </c>
      <c r="N197" s="6">
        <f t="shared" si="66"/>
        <v>6.2948044475095566</v>
      </c>
      <c r="O197" s="6">
        <f t="shared" si="67"/>
        <v>1.8495248156494917</v>
      </c>
      <c r="P197" s="6">
        <f t="shared" si="68"/>
        <v>97.246507688597134</v>
      </c>
      <c r="Q197" s="6">
        <f t="shared" si="76"/>
        <v>4.3631903398105356</v>
      </c>
      <c r="R197" s="10">
        <f t="shared" si="77"/>
        <v>4.3631903398105359E-3</v>
      </c>
      <c r="S197" s="3">
        <f t="shared" si="69"/>
        <v>7.8537426116589648E-2</v>
      </c>
      <c r="T197" s="4">
        <f t="shared" si="70"/>
        <v>7.8537426116589642E-5</v>
      </c>
      <c r="U197" s="3">
        <f t="shared" si="71"/>
        <v>0.28273473401972271</v>
      </c>
      <c r="V197" s="2">
        <v>13.53</v>
      </c>
      <c r="W197" s="2">
        <v>2.78</v>
      </c>
      <c r="X197" s="2">
        <f t="shared" si="72"/>
        <v>27799.999999999996</v>
      </c>
      <c r="Y197" s="5">
        <v>-0.76</v>
      </c>
      <c r="Z197" s="5">
        <v>-1.58</v>
      </c>
      <c r="AA197" s="2">
        <f t="shared" si="73"/>
        <v>0.82000000000000006</v>
      </c>
      <c r="AB197" s="3">
        <f t="shared" si="74"/>
        <v>0.34479845612161303</v>
      </c>
    </row>
    <row r="198" spans="1:28" x14ac:dyDescent="0.2">
      <c r="A198" t="s">
        <v>6</v>
      </c>
      <c r="B198">
        <v>72</v>
      </c>
      <c r="C198">
        <v>5</v>
      </c>
      <c r="D198">
        <v>85</v>
      </c>
      <c r="E198" t="s">
        <v>12</v>
      </c>
      <c r="F198" s="1">
        <v>45148</v>
      </c>
      <c r="G198" t="s">
        <v>8</v>
      </c>
      <c r="H198" s="2">
        <v>21.93</v>
      </c>
      <c r="I198" s="2">
        <v>42.6</v>
      </c>
      <c r="J198" s="2">
        <v>38.369999999999997</v>
      </c>
      <c r="K198" s="2">
        <f t="shared" si="75"/>
        <v>315.75</v>
      </c>
      <c r="L198" s="2">
        <v>4.91</v>
      </c>
      <c r="M198" s="2">
        <v>0.11</v>
      </c>
      <c r="N198" s="6">
        <f t="shared" si="66"/>
        <v>6.7626003154605776</v>
      </c>
      <c r="O198" s="6">
        <f t="shared" si="67"/>
        <v>1.8576421275505177</v>
      </c>
      <c r="P198" s="6">
        <f t="shared" si="68"/>
        <v>97.243344410375371</v>
      </c>
      <c r="Q198" s="6">
        <f t="shared" si="76"/>
        <v>2.0956296385762787</v>
      </c>
      <c r="R198" s="10">
        <f t="shared" si="77"/>
        <v>2.0956296385762786E-3</v>
      </c>
      <c r="S198" s="3">
        <f t="shared" si="69"/>
        <v>3.7721333494373011E-2</v>
      </c>
      <c r="T198" s="4">
        <f t="shared" si="70"/>
        <v>3.7721333494373014E-5</v>
      </c>
      <c r="U198" s="3">
        <f t="shared" si="71"/>
        <v>0.13579680057974286</v>
      </c>
      <c r="V198" s="2">
        <v>8.26</v>
      </c>
      <c r="W198" s="2">
        <v>2.33</v>
      </c>
      <c r="X198" s="2">
        <f t="shared" si="72"/>
        <v>23300</v>
      </c>
      <c r="Y198" s="5">
        <v>-0.53</v>
      </c>
      <c r="Z198" s="5">
        <v>-2.08</v>
      </c>
      <c r="AA198" s="2">
        <f t="shared" si="73"/>
        <v>1.55</v>
      </c>
      <c r="AB198" s="3">
        <f t="shared" si="74"/>
        <v>8.7610839083705067E-2</v>
      </c>
    </row>
    <row r="199" spans="1:28" x14ac:dyDescent="0.2">
      <c r="A199" t="s">
        <v>9</v>
      </c>
      <c r="B199">
        <v>1521</v>
      </c>
      <c r="C199">
        <v>153</v>
      </c>
      <c r="D199">
        <v>69</v>
      </c>
      <c r="E199" t="s">
        <v>12</v>
      </c>
      <c r="F199" s="1">
        <v>45148</v>
      </c>
      <c r="G199" t="s">
        <v>8</v>
      </c>
      <c r="H199" s="2">
        <v>19.8</v>
      </c>
      <c r="I199" s="2">
        <v>43.23</v>
      </c>
      <c r="J199" s="2">
        <v>37.28</v>
      </c>
      <c r="K199" s="2">
        <f t="shared" si="75"/>
        <v>316.38</v>
      </c>
      <c r="L199" s="2">
        <v>4.6399999999999997</v>
      </c>
      <c r="M199" s="2">
        <v>0.18</v>
      </c>
      <c r="N199" s="6">
        <f t="shared" si="66"/>
        <v>6.3742327362741182</v>
      </c>
      <c r="O199" s="6">
        <f t="shared" si="67"/>
        <v>1.7334323617884553</v>
      </c>
      <c r="P199" s="6">
        <f t="shared" si="68"/>
        <v>97.251306493519834</v>
      </c>
      <c r="Q199" s="6">
        <f t="shared" si="76"/>
        <v>3.2098478034343088</v>
      </c>
      <c r="R199" s="10">
        <f t="shared" si="77"/>
        <v>3.2098478034343087E-3</v>
      </c>
      <c r="S199" s="3">
        <f t="shared" si="69"/>
        <v>5.7777260461817553E-2</v>
      </c>
      <c r="T199" s="4">
        <f t="shared" si="70"/>
        <v>5.7777260461817552E-5</v>
      </c>
      <c r="U199" s="3">
        <f t="shared" si="71"/>
        <v>0.20799813766254319</v>
      </c>
      <c r="V199" s="2">
        <v>1.89</v>
      </c>
      <c r="W199" s="2">
        <v>0.42</v>
      </c>
      <c r="X199" s="2">
        <f t="shared" si="72"/>
        <v>4200</v>
      </c>
      <c r="Y199" s="5">
        <v>-0.67</v>
      </c>
      <c r="Z199" s="5">
        <v>-2.2999999999999998</v>
      </c>
      <c r="AA199" s="2">
        <f t="shared" si="73"/>
        <v>1.63</v>
      </c>
      <c r="AB199" s="3">
        <f t="shared" si="74"/>
        <v>0.12760621942487313</v>
      </c>
    </row>
    <row r="200" spans="1:28" x14ac:dyDescent="0.2">
      <c r="A200" t="s">
        <v>9</v>
      </c>
      <c r="B200">
        <v>1521</v>
      </c>
      <c r="C200">
        <v>153</v>
      </c>
      <c r="D200">
        <v>76</v>
      </c>
      <c r="E200" t="s">
        <v>12</v>
      </c>
      <c r="F200" s="1">
        <v>45148</v>
      </c>
      <c r="G200" t="s">
        <v>8</v>
      </c>
      <c r="H200" s="2">
        <v>19.649999999999999</v>
      </c>
      <c r="I200" s="2">
        <v>43.37</v>
      </c>
      <c r="J200" s="2">
        <v>40.369999999999997</v>
      </c>
      <c r="K200" s="2">
        <f t="shared" si="75"/>
        <v>316.52</v>
      </c>
      <c r="L200" s="2">
        <v>5.81</v>
      </c>
      <c r="M200" s="2">
        <v>7.0000000000000007E-2</v>
      </c>
      <c r="N200" s="6">
        <f t="shared" si="66"/>
        <v>7.5288041712631655</v>
      </c>
      <c r="O200" s="6">
        <f t="shared" si="67"/>
        <v>1.7329159156769727</v>
      </c>
      <c r="P200" s="6">
        <f t="shared" si="68"/>
        <v>97.253071629293402</v>
      </c>
      <c r="Q200" s="6">
        <f t="shared" si="76"/>
        <v>1.2371464466134292</v>
      </c>
      <c r="R200" s="10">
        <f t="shared" si="77"/>
        <v>1.2371464466134291E-3</v>
      </c>
      <c r="S200" s="3">
        <f t="shared" si="69"/>
        <v>2.2268636039041723E-2</v>
      </c>
      <c r="T200" s="4">
        <f t="shared" si="70"/>
        <v>2.2268636039041721E-5</v>
      </c>
      <c r="U200" s="3">
        <f t="shared" si="71"/>
        <v>8.0167089740550201E-2</v>
      </c>
      <c r="V200" s="2">
        <v>1.63</v>
      </c>
      <c r="W200" s="2">
        <v>0.4</v>
      </c>
      <c r="X200" s="2">
        <f t="shared" si="72"/>
        <v>4000</v>
      </c>
      <c r="Y200" s="5">
        <v>-0.77</v>
      </c>
      <c r="Z200" s="5">
        <v>-1.82</v>
      </c>
      <c r="AA200" s="2">
        <f t="shared" si="73"/>
        <v>1.05</v>
      </c>
      <c r="AB200" s="3">
        <f t="shared" si="74"/>
        <v>7.634960927671447E-2</v>
      </c>
    </row>
    <row r="201" spans="1:28" x14ac:dyDescent="0.2">
      <c r="A201" t="s">
        <v>9</v>
      </c>
      <c r="B201">
        <v>1521</v>
      </c>
      <c r="C201">
        <v>153</v>
      </c>
      <c r="D201">
        <v>90</v>
      </c>
      <c r="E201" t="s">
        <v>12</v>
      </c>
      <c r="F201" s="1">
        <v>45147</v>
      </c>
      <c r="G201" t="s">
        <v>8</v>
      </c>
      <c r="H201" s="2">
        <v>20.34</v>
      </c>
      <c r="I201" s="2">
        <v>43.14</v>
      </c>
      <c r="J201" s="2">
        <v>39.090000000000003</v>
      </c>
      <c r="K201" s="2">
        <f t="shared" si="75"/>
        <v>316.28999999999996</v>
      </c>
      <c r="L201" s="2">
        <v>5.26</v>
      </c>
      <c r="M201" s="2">
        <v>0.09</v>
      </c>
      <c r="N201" s="6">
        <f t="shared" si="66"/>
        <v>7.0302510753681338</v>
      </c>
      <c r="O201" s="6">
        <f t="shared" si="67"/>
        <v>1.7723564753138568</v>
      </c>
      <c r="P201" s="6">
        <f t="shared" si="68"/>
        <v>97.250170955160456</v>
      </c>
      <c r="Q201" s="6">
        <f t="shared" si="76"/>
        <v>1.638275750246152</v>
      </c>
      <c r="R201" s="10">
        <f t="shared" si="77"/>
        <v>1.6382757502461521E-3</v>
      </c>
      <c r="S201" s="3">
        <f t="shared" si="69"/>
        <v>2.9488963504430737E-2</v>
      </c>
      <c r="T201" s="4">
        <f t="shared" si="70"/>
        <v>2.9488963504430736E-5</v>
      </c>
      <c r="U201" s="3">
        <f t="shared" si="71"/>
        <v>0.10616026861595065</v>
      </c>
      <c r="V201" s="2">
        <v>3.81</v>
      </c>
      <c r="W201" s="2">
        <v>0.53</v>
      </c>
      <c r="X201" s="2">
        <f t="shared" si="72"/>
        <v>5300</v>
      </c>
      <c r="Y201" s="5">
        <v>-0.55000000000000004</v>
      </c>
      <c r="Z201" s="5">
        <v>-2.0499999999999998</v>
      </c>
      <c r="AA201" s="2">
        <f t="shared" si="73"/>
        <v>1.4999999999999998</v>
      </c>
      <c r="AB201" s="3">
        <f t="shared" si="74"/>
        <v>7.0773512410633774E-2</v>
      </c>
    </row>
    <row r="202" spans="1:28" x14ac:dyDescent="0.2">
      <c r="A202" t="s">
        <v>9</v>
      </c>
      <c r="B202">
        <v>1521</v>
      </c>
      <c r="C202">
        <v>155</v>
      </c>
      <c r="D202">
        <v>62</v>
      </c>
      <c r="E202" t="s">
        <v>12</v>
      </c>
      <c r="F202" s="1">
        <v>45147</v>
      </c>
      <c r="G202" t="s">
        <v>8</v>
      </c>
      <c r="H202" s="2">
        <v>20.77</v>
      </c>
      <c r="I202" s="2">
        <v>43.56</v>
      </c>
      <c r="J202" s="2">
        <v>37.72</v>
      </c>
      <c r="K202" s="2">
        <f t="shared" si="75"/>
        <v>316.70999999999998</v>
      </c>
      <c r="L202" s="2">
        <v>4.68</v>
      </c>
      <c r="M202" s="2">
        <v>0.23</v>
      </c>
      <c r="N202" s="6">
        <f t="shared" si="66"/>
        <v>6.5286093236413238</v>
      </c>
      <c r="O202" s="6">
        <f t="shared" si="67"/>
        <v>1.8499200447905835</v>
      </c>
      <c r="P202" s="6">
        <f t="shared" si="68"/>
        <v>97.255464725795562</v>
      </c>
      <c r="Q202" s="6">
        <f t="shared" si="76"/>
        <v>4.3717866716926181</v>
      </c>
      <c r="R202" s="10">
        <f t="shared" si="77"/>
        <v>4.3717866716926181E-3</v>
      </c>
      <c r="S202" s="3">
        <f t="shared" si="69"/>
        <v>7.8692160090467131E-2</v>
      </c>
      <c r="T202" s="4">
        <f t="shared" si="70"/>
        <v>7.8692160090467126E-5</v>
      </c>
      <c r="U202" s="3">
        <f t="shared" si="71"/>
        <v>0.28329177632568164</v>
      </c>
      <c r="V202" s="2">
        <v>1.17</v>
      </c>
      <c r="W202" s="2">
        <v>0.44</v>
      </c>
      <c r="X202" s="2">
        <f t="shared" si="72"/>
        <v>4400</v>
      </c>
      <c r="Y202" s="5">
        <v>-1.3</v>
      </c>
      <c r="Z202" s="5">
        <v>-2.12</v>
      </c>
      <c r="AA202" s="2">
        <f t="shared" si="73"/>
        <v>0.82000000000000006</v>
      </c>
      <c r="AB202" s="3">
        <f t="shared" si="74"/>
        <v>0.34547777600692881</v>
      </c>
    </row>
    <row r="203" spans="1:28" x14ac:dyDescent="0.2">
      <c r="A203" t="s">
        <v>9</v>
      </c>
      <c r="B203">
        <v>1521</v>
      </c>
      <c r="C203">
        <v>155</v>
      </c>
      <c r="D203">
        <v>64</v>
      </c>
      <c r="E203" t="s">
        <v>12</v>
      </c>
      <c r="F203" s="1">
        <v>45147</v>
      </c>
      <c r="G203" t="s">
        <v>8</v>
      </c>
      <c r="H203" s="2">
        <v>22.22</v>
      </c>
      <c r="I203" s="2">
        <v>42.28</v>
      </c>
      <c r="J203" s="2">
        <v>38.28</v>
      </c>
      <c r="K203" s="2">
        <f t="shared" si="75"/>
        <v>315.42999999999995</v>
      </c>
      <c r="L203" s="2">
        <v>4.88</v>
      </c>
      <c r="M203" s="2">
        <v>0.21</v>
      </c>
      <c r="N203" s="6">
        <f t="shared" si="66"/>
        <v>6.7297738306555734</v>
      </c>
      <c r="O203" s="6">
        <f t="shared" si="67"/>
        <v>1.8508460636206296</v>
      </c>
      <c r="P203" s="6">
        <f t="shared" si="68"/>
        <v>97.239288248054677</v>
      </c>
      <c r="Q203" s="6">
        <f t="shared" si="76"/>
        <v>3.9948102401442824</v>
      </c>
      <c r="R203" s="10">
        <f t="shared" si="77"/>
        <v>3.9948102401442826E-3</v>
      </c>
      <c r="S203" s="3">
        <f t="shared" si="69"/>
        <v>7.1906584322597084E-2</v>
      </c>
      <c r="T203" s="4">
        <f t="shared" si="70"/>
        <v>7.1906584322597089E-5</v>
      </c>
      <c r="U203" s="3">
        <f t="shared" si="71"/>
        <v>0.25886370356134952</v>
      </c>
      <c r="V203" s="2">
        <v>1.37</v>
      </c>
      <c r="W203" s="2">
        <v>0.45</v>
      </c>
      <c r="X203" s="2">
        <f t="shared" si="72"/>
        <v>4500</v>
      </c>
      <c r="Y203" s="5">
        <v>-0.61</v>
      </c>
      <c r="Z203" s="5">
        <v>-2.15</v>
      </c>
      <c r="AA203" s="2">
        <f t="shared" si="73"/>
        <v>1.54</v>
      </c>
      <c r="AB203" s="3">
        <f t="shared" si="74"/>
        <v>0.16809331400087632</v>
      </c>
    </row>
    <row r="204" spans="1:28" x14ac:dyDescent="0.2">
      <c r="A204" t="s">
        <v>9</v>
      </c>
      <c r="B204">
        <v>1521</v>
      </c>
      <c r="C204">
        <v>155</v>
      </c>
      <c r="D204">
        <v>66</v>
      </c>
      <c r="E204" t="s">
        <v>12</v>
      </c>
      <c r="F204" s="1">
        <v>45148</v>
      </c>
      <c r="G204" t="s">
        <v>8</v>
      </c>
      <c r="H204" s="2">
        <v>19.16</v>
      </c>
      <c r="I204" s="2">
        <v>43.22</v>
      </c>
      <c r="J204" s="2">
        <v>39.049999999999997</v>
      </c>
      <c r="K204" s="2">
        <f t="shared" si="75"/>
        <v>316.37</v>
      </c>
      <c r="L204" s="2">
        <v>5.35</v>
      </c>
      <c r="M204" s="2">
        <v>0.11</v>
      </c>
      <c r="N204" s="6">
        <f t="shared" si="66"/>
        <v>7.015144211492844</v>
      </c>
      <c r="O204" s="6">
        <f t="shared" si="67"/>
        <v>1.6765265525217434</v>
      </c>
      <c r="P204" s="6">
        <f t="shared" si="68"/>
        <v>97.251180353841036</v>
      </c>
      <c r="Q204" s="6">
        <f t="shared" si="76"/>
        <v>1.8834307470385223</v>
      </c>
      <c r="R204" s="10">
        <f t="shared" si="77"/>
        <v>1.8834307470385224E-3</v>
      </c>
      <c r="S204" s="3">
        <f t="shared" si="69"/>
        <v>3.3901753446693404E-2</v>
      </c>
      <c r="T204" s="4">
        <f t="shared" si="70"/>
        <v>3.3901753446693402E-5</v>
      </c>
      <c r="U204" s="3">
        <f t="shared" si="71"/>
        <v>0.12204631240809624</v>
      </c>
      <c r="V204" s="2">
        <v>3.21</v>
      </c>
      <c r="W204" s="2">
        <v>0.68</v>
      </c>
      <c r="X204" s="2">
        <f t="shared" si="72"/>
        <v>6800.0000000000009</v>
      </c>
      <c r="Y204" s="5">
        <v>-0.89</v>
      </c>
      <c r="Z204" s="5">
        <v>-1.85</v>
      </c>
      <c r="AA204" s="2">
        <f t="shared" si="73"/>
        <v>0.96000000000000008</v>
      </c>
      <c r="AB204" s="3">
        <f t="shared" si="74"/>
        <v>0.12713157542510023</v>
      </c>
    </row>
    <row r="205" spans="1:28" x14ac:dyDescent="0.2">
      <c r="A205" t="s">
        <v>9</v>
      </c>
      <c r="B205">
        <v>1521</v>
      </c>
      <c r="C205">
        <v>156</v>
      </c>
      <c r="D205">
        <v>71</v>
      </c>
      <c r="E205" t="s">
        <v>12</v>
      </c>
      <c r="F205" s="1">
        <v>45147</v>
      </c>
      <c r="G205" t="s">
        <v>8</v>
      </c>
      <c r="H205" s="2">
        <v>20.45</v>
      </c>
      <c r="I205" s="2">
        <v>43.66</v>
      </c>
      <c r="J205" s="2">
        <v>40.729999999999997</v>
      </c>
      <c r="K205" s="2">
        <f t="shared" si="75"/>
        <v>316.80999999999995</v>
      </c>
      <c r="L205" s="2">
        <v>5.85</v>
      </c>
      <c r="M205" s="2">
        <v>0.08</v>
      </c>
      <c r="N205" s="6">
        <f t="shared" si="66"/>
        <v>7.6744263182689378</v>
      </c>
      <c r="O205" s="6">
        <f t="shared" si="67"/>
        <v>1.8309286832429068</v>
      </c>
      <c r="P205" s="6">
        <f t="shared" si="68"/>
        <v>97.256723120956323</v>
      </c>
      <c r="Q205" s="6">
        <f t="shared" si="76"/>
        <v>1.5007096761834626</v>
      </c>
      <c r="R205" s="10">
        <f t="shared" si="77"/>
        <v>1.5007096761834625E-3</v>
      </c>
      <c r="S205" s="3">
        <f t="shared" si="69"/>
        <v>2.7012774171302326E-2</v>
      </c>
      <c r="T205" s="4">
        <f t="shared" si="70"/>
        <v>2.7012774171302326E-5</v>
      </c>
      <c r="U205" s="3">
        <f t="shared" si="71"/>
        <v>9.7245987016688379E-2</v>
      </c>
      <c r="V205" s="2">
        <v>3.35</v>
      </c>
      <c r="W205" s="2">
        <v>0.65</v>
      </c>
      <c r="X205" s="2">
        <f t="shared" si="72"/>
        <v>6500</v>
      </c>
      <c r="Y205" s="5">
        <v>-0.36</v>
      </c>
      <c r="Z205" s="5">
        <v>-1.87</v>
      </c>
      <c r="AA205" s="2">
        <f t="shared" si="73"/>
        <v>1.5100000000000002</v>
      </c>
      <c r="AB205" s="3">
        <f t="shared" si="74"/>
        <v>6.4401315905091627E-2</v>
      </c>
    </row>
    <row r="206" spans="1:28" x14ac:dyDescent="0.2">
      <c r="A206" t="s">
        <v>9</v>
      </c>
      <c r="B206">
        <v>1521</v>
      </c>
      <c r="C206">
        <v>156</v>
      </c>
      <c r="D206">
        <v>74</v>
      </c>
      <c r="E206" t="s">
        <v>12</v>
      </c>
      <c r="F206" s="1">
        <v>45148</v>
      </c>
      <c r="G206" t="s">
        <v>8</v>
      </c>
      <c r="H206" s="2">
        <v>18.82</v>
      </c>
      <c r="I206" s="2">
        <v>43.31</v>
      </c>
      <c r="J206" s="2">
        <v>39.81</v>
      </c>
      <c r="K206" s="2">
        <f t="shared" si="75"/>
        <v>316.45999999999998</v>
      </c>
      <c r="L206" s="2">
        <v>5.69</v>
      </c>
      <c r="M206" s="2">
        <v>0.1</v>
      </c>
      <c r="N206" s="6">
        <f t="shared" si="66"/>
        <v>7.3070402174624363</v>
      </c>
      <c r="O206" s="6">
        <f t="shared" si="67"/>
        <v>1.6545312854803229</v>
      </c>
      <c r="P206" s="6">
        <f t="shared" si="68"/>
        <v>97.252315329847846</v>
      </c>
      <c r="Q206" s="6">
        <f t="shared" si="76"/>
        <v>1.662726704220838</v>
      </c>
      <c r="R206" s="10">
        <f t="shared" si="77"/>
        <v>1.6627267042208381E-3</v>
      </c>
      <c r="S206" s="3">
        <f t="shared" si="69"/>
        <v>2.9929080675975085E-2</v>
      </c>
      <c r="T206" s="4">
        <f t="shared" si="70"/>
        <v>2.9929080675975084E-5</v>
      </c>
      <c r="U206" s="3">
        <f t="shared" si="71"/>
        <v>0.1077446904335103</v>
      </c>
      <c r="V206" s="2">
        <v>2.92</v>
      </c>
      <c r="W206" s="2">
        <v>0.64</v>
      </c>
      <c r="X206" s="2">
        <f t="shared" si="72"/>
        <v>6400</v>
      </c>
      <c r="Y206" s="5">
        <v>-0.35</v>
      </c>
      <c r="Z206" s="5">
        <v>-1.77</v>
      </c>
      <c r="AA206" s="2">
        <f t="shared" si="73"/>
        <v>1.42</v>
      </c>
      <c r="AB206" s="3">
        <f t="shared" si="74"/>
        <v>7.5876542558810073E-2</v>
      </c>
    </row>
    <row r="207" spans="1:28" x14ac:dyDescent="0.2">
      <c r="A207" t="s">
        <v>9</v>
      </c>
      <c r="B207">
        <v>1521</v>
      </c>
      <c r="C207">
        <v>156</v>
      </c>
      <c r="D207">
        <v>75</v>
      </c>
      <c r="E207" t="s">
        <v>12</v>
      </c>
      <c r="F207" s="1">
        <v>45148</v>
      </c>
      <c r="G207" t="s">
        <v>8</v>
      </c>
      <c r="H207" s="2">
        <v>19.05</v>
      </c>
      <c r="I207" s="2">
        <v>43.25</v>
      </c>
      <c r="J207" s="2">
        <v>38.19</v>
      </c>
      <c r="K207" s="2">
        <f t="shared" si="75"/>
        <v>316.39999999999998</v>
      </c>
      <c r="L207" s="2">
        <v>5.03</v>
      </c>
      <c r="M207" s="2">
        <v>0.14000000000000001</v>
      </c>
      <c r="N207" s="6">
        <f t="shared" si="66"/>
        <v>6.6970856773449574</v>
      </c>
      <c r="O207" s="6">
        <f t="shared" si="67"/>
        <v>1.6695145154508675</v>
      </c>
      <c r="P207" s="6">
        <f t="shared" si="68"/>
        <v>97.251558749447867</v>
      </c>
      <c r="Q207" s="6">
        <f t="shared" si="76"/>
        <v>2.399879218692925</v>
      </c>
      <c r="R207" s="10">
        <f t="shared" si="77"/>
        <v>2.399879218692925E-3</v>
      </c>
      <c r="S207" s="3">
        <f t="shared" si="69"/>
        <v>4.3197825936472652E-2</v>
      </c>
      <c r="T207" s="4">
        <f t="shared" si="70"/>
        <v>4.319782593647265E-5</v>
      </c>
      <c r="U207" s="3">
        <f t="shared" si="71"/>
        <v>0.15551217337130155</v>
      </c>
      <c r="V207" s="2">
        <v>2.78</v>
      </c>
      <c r="W207" s="2">
        <v>0.57999999999999996</v>
      </c>
      <c r="X207" s="2">
        <f t="shared" si="72"/>
        <v>5800</v>
      </c>
      <c r="Y207" s="5">
        <v>-0.39</v>
      </c>
      <c r="Z207" s="5">
        <v>-2.06</v>
      </c>
      <c r="AA207" s="2">
        <f t="shared" si="73"/>
        <v>1.67</v>
      </c>
      <c r="AB207" s="3">
        <f t="shared" si="74"/>
        <v>9.3121061898982962E-2</v>
      </c>
    </row>
    <row r="208" spans="1:28" x14ac:dyDescent="0.2">
      <c r="A208" t="s">
        <v>9</v>
      </c>
      <c r="B208">
        <v>1521</v>
      </c>
      <c r="C208">
        <v>157</v>
      </c>
      <c r="D208">
        <v>67</v>
      </c>
      <c r="E208" t="s">
        <v>12</v>
      </c>
      <c r="F208" s="1">
        <v>45148</v>
      </c>
      <c r="G208" t="s">
        <v>8</v>
      </c>
      <c r="H208" s="2">
        <v>21.13</v>
      </c>
      <c r="I208" s="2">
        <v>42.75</v>
      </c>
      <c r="J208" s="2">
        <v>39.549999999999997</v>
      </c>
      <c r="K208" s="2">
        <f t="shared" si="75"/>
        <v>315.89999999999998</v>
      </c>
      <c r="L208" s="2">
        <v>5.4</v>
      </c>
      <c r="M208" s="2">
        <v>0.09</v>
      </c>
      <c r="N208" s="6">
        <f t="shared" si="66"/>
        <v>7.2060182228155183</v>
      </c>
      <c r="O208" s="6">
        <f t="shared" si="67"/>
        <v>1.8040052666326711</v>
      </c>
      <c r="P208" s="6">
        <f t="shared" si="68"/>
        <v>97.245242965775162</v>
      </c>
      <c r="Q208" s="6">
        <f t="shared" si="76"/>
        <v>1.6714610925554692</v>
      </c>
      <c r="R208" s="10">
        <f t="shared" si="77"/>
        <v>1.6714610925554691E-3</v>
      </c>
      <c r="S208" s="3">
        <f t="shared" si="69"/>
        <v>3.0086299665998444E-2</v>
      </c>
      <c r="T208" s="4">
        <f t="shared" si="70"/>
        <v>3.0086299665998443E-5</v>
      </c>
      <c r="U208" s="3">
        <f t="shared" si="71"/>
        <v>0.1083106787975944</v>
      </c>
      <c r="V208" s="2">
        <v>2.46</v>
      </c>
      <c r="W208" s="2">
        <v>0.65</v>
      </c>
      <c r="X208" s="2">
        <f t="shared" si="72"/>
        <v>6500</v>
      </c>
      <c r="Y208" s="5">
        <v>-0.7</v>
      </c>
      <c r="Z208" s="5">
        <v>-2.02</v>
      </c>
      <c r="AA208" s="2">
        <f t="shared" si="73"/>
        <v>1.32</v>
      </c>
      <c r="AB208" s="3">
        <f t="shared" si="74"/>
        <v>8.2053544543632118E-2</v>
      </c>
    </row>
    <row r="209" spans="1:28" x14ac:dyDescent="0.2">
      <c r="A209" t="s">
        <v>9</v>
      </c>
      <c r="B209">
        <v>1521</v>
      </c>
      <c r="C209">
        <v>157</v>
      </c>
      <c r="D209">
        <v>68</v>
      </c>
      <c r="E209" t="s">
        <v>12</v>
      </c>
      <c r="F209" s="1">
        <v>45148</v>
      </c>
      <c r="G209" t="s">
        <v>8</v>
      </c>
      <c r="H209" s="2">
        <v>23.09</v>
      </c>
      <c r="I209" s="2">
        <v>41.94</v>
      </c>
      <c r="J209" s="2">
        <v>38.68</v>
      </c>
      <c r="K209" s="2">
        <f t="shared" si="75"/>
        <v>315.08999999999997</v>
      </c>
      <c r="L209" s="2">
        <v>4.99</v>
      </c>
      <c r="M209" s="2">
        <v>0.1</v>
      </c>
      <c r="N209" s="6">
        <f t="shared" si="66"/>
        <v>6.8767349547085175</v>
      </c>
      <c r="O209" s="6">
        <f t="shared" si="67"/>
        <v>1.8892039383636807</v>
      </c>
      <c r="P209" s="6">
        <f t="shared" si="68"/>
        <v>97.234969734347118</v>
      </c>
      <c r="Q209" s="6">
        <f t="shared" si="76"/>
        <v>1.9403872494260164</v>
      </c>
      <c r="R209" s="10">
        <f t="shared" si="77"/>
        <v>1.9403872494260163E-3</v>
      </c>
      <c r="S209" s="3">
        <f t="shared" si="69"/>
        <v>3.4926970489668294E-2</v>
      </c>
      <c r="T209" s="4">
        <f t="shared" si="70"/>
        <v>3.4926970489668294E-5</v>
      </c>
      <c r="U209" s="3">
        <f t="shared" si="71"/>
        <v>0.12573709376280587</v>
      </c>
      <c r="V209" s="2">
        <v>2.9</v>
      </c>
      <c r="W209" s="2">
        <v>0.85</v>
      </c>
      <c r="X209" s="2">
        <f t="shared" si="72"/>
        <v>8500</v>
      </c>
      <c r="Y209" s="5">
        <v>-0.66</v>
      </c>
      <c r="Z209" s="5">
        <v>-2.2000000000000002</v>
      </c>
      <c r="AA209" s="2">
        <f t="shared" si="73"/>
        <v>1.54</v>
      </c>
      <c r="AB209" s="3">
        <f t="shared" si="74"/>
        <v>8.1647463482341476E-2</v>
      </c>
    </row>
    <row r="210" spans="1:28" x14ac:dyDescent="0.2">
      <c r="A210" t="s">
        <v>9</v>
      </c>
      <c r="B210">
        <v>1521</v>
      </c>
      <c r="C210">
        <v>157</v>
      </c>
      <c r="D210">
        <v>72</v>
      </c>
      <c r="E210" t="s">
        <v>12</v>
      </c>
      <c r="F210" s="1">
        <v>45147</v>
      </c>
      <c r="G210" t="s">
        <v>8</v>
      </c>
      <c r="H210" s="2">
        <v>20.079999999999998</v>
      </c>
      <c r="I210" s="2">
        <v>43.44</v>
      </c>
      <c r="J210" s="2">
        <v>39.17</v>
      </c>
      <c r="K210" s="2">
        <f t="shared" si="75"/>
        <v>316.58999999999997</v>
      </c>
      <c r="L210" s="2">
        <v>5.28</v>
      </c>
      <c r="M210" s="2">
        <v>0.11</v>
      </c>
      <c r="N210" s="6">
        <f t="shared" si="66"/>
        <v>7.0605494574154601</v>
      </c>
      <c r="O210" s="6">
        <f t="shared" si="67"/>
        <v>1.7773136878115015</v>
      </c>
      <c r="P210" s="6">
        <f t="shared" si="68"/>
        <v>97.25395362376004</v>
      </c>
      <c r="Q210" s="6">
        <f t="shared" si="76"/>
        <v>2.01390722965786</v>
      </c>
      <c r="R210" s="10">
        <f t="shared" si="77"/>
        <v>2.0139072296578601E-3</v>
      </c>
      <c r="S210" s="3">
        <f t="shared" si="69"/>
        <v>3.6250330133841484E-2</v>
      </c>
      <c r="T210" s="4">
        <f t="shared" si="70"/>
        <v>3.6250330133841481E-5</v>
      </c>
      <c r="U210" s="3">
        <f t="shared" si="71"/>
        <v>0.13050118848182934</v>
      </c>
      <c r="V210" s="2">
        <v>1.89</v>
      </c>
      <c r="W210" s="2">
        <v>1.52</v>
      </c>
      <c r="X210" s="2">
        <f t="shared" si="72"/>
        <v>15200</v>
      </c>
      <c r="Y210" s="5">
        <v>-0.72</v>
      </c>
      <c r="Z210" s="5">
        <v>-2.09</v>
      </c>
      <c r="AA210" s="2">
        <f t="shared" si="73"/>
        <v>1.3699999999999999</v>
      </c>
      <c r="AB210" s="3">
        <f t="shared" si="74"/>
        <v>9.5256341957539681E-2</v>
      </c>
    </row>
    <row r="211" spans="1:28" x14ac:dyDescent="0.2">
      <c r="A211" t="s">
        <v>9</v>
      </c>
      <c r="B211">
        <v>1521</v>
      </c>
      <c r="C211">
        <v>158</v>
      </c>
      <c r="D211">
        <v>70</v>
      </c>
      <c r="E211" t="s">
        <v>12</v>
      </c>
      <c r="F211" s="1">
        <v>45148</v>
      </c>
      <c r="G211" t="s">
        <v>8</v>
      </c>
      <c r="H211" s="2">
        <v>19.489999999999998</v>
      </c>
      <c r="I211" s="2">
        <v>43.09</v>
      </c>
      <c r="J211" s="2">
        <v>38.4</v>
      </c>
      <c r="K211" s="2">
        <f t="shared" si="75"/>
        <v>316.24</v>
      </c>
      <c r="L211" s="2">
        <v>5.08</v>
      </c>
      <c r="M211" s="2">
        <v>0.1</v>
      </c>
      <c r="N211" s="6">
        <f t="shared" si="66"/>
        <v>6.773573301850786</v>
      </c>
      <c r="O211" s="6">
        <f t="shared" si="67"/>
        <v>1.693858763811342</v>
      </c>
      <c r="P211" s="6">
        <f t="shared" si="68"/>
        <v>97.249539826968515</v>
      </c>
      <c r="Q211" s="6">
        <f t="shared" si="76"/>
        <v>1.7414717898553356</v>
      </c>
      <c r="R211" s="10">
        <f t="shared" si="77"/>
        <v>1.7414717898553355E-3</v>
      </c>
      <c r="S211" s="3">
        <f t="shared" si="69"/>
        <v>3.1346492217396042E-2</v>
      </c>
      <c r="T211" s="4">
        <f t="shared" si="70"/>
        <v>3.1346492217396041E-5</v>
      </c>
      <c r="U211" s="3">
        <f t="shared" si="71"/>
        <v>0.11284737198262575</v>
      </c>
      <c r="V211" s="2">
        <v>1.25</v>
      </c>
      <c r="W211" s="2">
        <v>0.24</v>
      </c>
      <c r="X211" s="2">
        <f t="shared" si="72"/>
        <v>2400</v>
      </c>
      <c r="Y211" s="5">
        <v>-0.44</v>
      </c>
      <c r="Z211" s="5">
        <v>-1.95</v>
      </c>
      <c r="AA211" s="2">
        <f t="shared" si="73"/>
        <v>1.51</v>
      </c>
      <c r="AB211" s="3">
        <f t="shared" si="74"/>
        <v>7.4733358928891228E-2</v>
      </c>
    </row>
    <row r="212" spans="1:28" x14ac:dyDescent="0.2">
      <c r="A212" t="s">
        <v>9</v>
      </c>
      <c r="B212">
        <v>1521</v>
      </c>
      <c r="C212">
        <v>158</v>
      </c>
      <c r="D212">
        <v>73</v>
      </c>
      <c r="E212" t="s">
        <v>12</v>
      </c>
      <c r="F212" s="1">
        <v>45148</v>
      </c>
      <c r="G212" t="s">
        <v>8</v>
      </c>
      <c r="H212" s="2">
        <v>19.41</v>
      </c>
      <c r="I212" s="2">
        <v>43.42</v>
      </c>
      <c r="J212" s="2">
        <v>38.619999999999997</v>
      </c>
      <c r="K212" s="2">
        <f t="shared" si="75"/>
        <v>316.57</v>
      </c>
      <c r="L212" s="2">
        <v>5.14</v>
      </c>
      <c r="M212" s="2">
        <v>0.11</v>
      </c>
      <c r="N212" s="6">
        <f t="shared" si="66"/>
        <v>6.8545148989364071</v>
      </c>
      <c r="O212" s="6">
        <f t="shared" si="67"/>
        <v>1.7162201982273722</v>
      </c>
      <c r="P212" s="6">
        <f t="shared" si="68"/>
        <v>97.253701664326243</v>
      </c>
      <c r="Q212" s="6">
        <f t="shared" si="76"/>
        <v>1.9392232445192796</v>
      </c>
      <c r="R212" s="10">
        <f t="shared" si="77"/>
        <v>1.9392232445192797E-3</v>
      </c>
      <c r="S212" s="3">
        <f t="shared" si="69"/>
        <v>3.4906018401347036E-2</v>
      </c>
      <c r="T212" s="4">
        <f t="shared" si="70"/>
        <v>3.4906018401347036E-5</v>
      </c>
      <c r="U212" s="3">
        <f t="shared" si="71"/>
        <v>0.12566166624484934</v>
      </c>
      <c r="V212" s="2">
        <v>1.75</v>
      </c>
      <c r="W212" s="2">
        <v>0.39</v>
      </c>
      <c r="X212" s="2">
        <f t="shared" si="72"/>
        <v>3900</v>
      </c>
      <c r="Y212" s="5">
        <v>-0.49</v>
      </c>
      <c r="Z212" s="5">
        <v>-2.7</v>
      </c>
      <c r="AA212" s="2">
        <f t="shared" si="73"/>
        <v>2.21</v>
      </c>
      <c r="AB212" s="3">
        <f t="shared" si="74"/>
        <v>5.6860482463732737E-2</v>
      </c>
    </row>
    <row r="213" spans="1:28" x14ac:dyDescent="0.2">
      <c r="A213" t="s">
        <v>9</v>
      </c>
      <c r="B213">
        <v>1521</v>
      </c>
      <c r="C213">
        <v>158</v>
      </c>
      <c r="D213">
        <v>81</v>
      </c>
      <c r="E213" t="s">
        <v>12</v>
      </c>
      <c r="F213" s="1">
        <v>45148</v>
      </c>
      <c r="G213" t="s">
        <v>8</v>
      </c>
      <c r="H213" s="2">
        <v>19.510000000000002</v>
      </c>
      <c r="I213" s="2">
        <v>43.21</v>
      </c>
      <c r="J213" s="2">
        <v>38.82</v>
      </c>
      <c r="K213" s="2">
        <f t="shared" si="75"/>
        <v>316.35999999999996</v>
      </c>
      <c r="L213" s="2">
        <v>5.22</v>
      </c>
      <c r="M213" s="2">
        <v>0.11</v>
      </c>
      <c r="N213" s="6">
        <f t="shared" si="66"/>
        <v>6.9288248694436625</v>
      </c>
      <c r="O213" s="6">
        <f t="shared" si="67"/>
        <v>1.7062607719233092</v>
      </c>
      <c r="P213" s="6">
        <f t="shared" si="68"/>
        <v>97.251054206351427</v>
      </c>
      <c r="Q213" s="6">
        <f t="shared" si="76"/>
        <v>1.9328400825348238</v>
      </c>
      <c r="R213" s="10">
        <f t="shared" si="77"/>
        <v>1.9328400825348237E-3</v>
      </c>
      <c r="S213" s="3">
        <f t="shared" si="69"/>
        <v>3.4791121485626825E-2</v>
      </c>
      <c r="T213" s="4">
        <f t="shared" si="70"/>
        <v>3.4791121485626822E-5</v>
      </c>
      <c r="U213" s="3">
        <f t="shared" si="71"/>
        <v>0.12524803734825657</v>
      </c>
      <c r="V213" s="2">
        <v>0.53</v>
      </c>
      <c r="W213" s="2">
        <v>0.2</v>
      </c>
      <c r="X213" s="2">
        <f t="shared" si="72"/>
        <v>2000</v>
      </c>
      <c r="Y213" s="5">
        <v>-0.83</v>
      </c>
      <c r="Z213" s="5">
        <v>-1.97</v>
      </c>
      <c r="AA213" s="2">
        <f t="shared" si="73"/>
        <v>1.1400000000000001</v>
      </c>
      <c r="AB213" s="3">
        <f t="shared" si="74"/>
        <v>0.10986669942829523</v>
      </c>
    </row>
    <row r="214" spans="1:28" x14ac:dyDescent="0.2">
      <c r="A214" t="s">
        <v>10</v>
      </c>
      <c r="B214">
        <v>666</v>
      </c>
      <c r="C214">
        <v>101</v>
      </c>
      <c r="D214">
        <v>1</v>
      </c>
      <c r="E214" t="s">
        <v>12</v>
      </c>
      <c r="F214" s="1">
        <v>45147</v>
      </c>
      <c r="G214" t="s">
        <v>8</v>
      </c>
      <c r="H214" s="2">
        <v>18.57</v>
      </c>
      <c r="I214" s="2">
        <v>44.19</v>
      </c>
      <c r="J214" s="2">
        <v>37.979999999999997</v>
      </c>
      <c r="K214" s="2">
        <f t="shared" si="75"/>
        <v>317.33999999999997</v>
      </c>
      <c r="L214" s="2">
        <v>4.92</v>
      </c>
      <c r="M214" s="2">
        <v>0.26</v>
      </c>
      <c r="N214" s="6">
        <f t="shared" si="66"/>
        <v>6.621348539411736</v>
      </c>
      <c r="O214" s="6">
        <f t="shared" si="67"/>
        <v>1.7090324370435597</v>
      </c>
      <c r="P214" s="6">
        <f t="shared" si="68"/>
        <v>97.263379645526584</v>
      </c>
      <c r="Q214" s="6">
        <f t="shared" si="76"/>
        <v>4.5479667872860752</v>
      </c>
      <c r="R214" s="10">
        <f t="shared" si="77"/>
        <v>4.5479667872860754E-3</v>
      </c>
      <c r="S214" s="3">
        <f t="shared" si="69"/>
        <v>8.186340217114936E-2</v>
      </c>
      <c r="T214" s="4">
        <f t="shared" si="70"/>
        <v>8.1863402171149355E-5</v>
      </c>
      <c r="U214" s="3">
        <f t="shared" si="71"/>
        <v>0.29470824781613769</v>
      </c>
      <c r="V214" s="2">
        <v>5.47</v>
      </c>
      <c r="W214" s="2">
        <v>1.21</v>
      </c>
      <c r="X214" s="2">
        <f t="shared" si="72"/>
        <v>12100</v>
      </c>
      <c r="Y214" s="5">
        <v>-0.41</v>
      </c>
      <c r="Z214" s="5">
        <v>-1.98</v>
      </c>
      <c r="AA214" s="2">
        <f t="shared" si="73"/>
        <v>1.57</v>
      </c>
      <c r="AB214" s="3">
        <f t="shared" si="74"/>
        <v>0.18771225975550171</v>
      </c>
    </row>
    <row r="215" spans="1:28" x14ac:dyDescent="0.2">
      <c r="A215" t="s">
        <v>10</v>
      </c>
      <c r="B215">
        <v>666</v>
      </c>
      <c r="C215">
        <v>101</v>
      </c>
      <c r="D215">
        <v>2</v>
      </c>
      <c r="E215" t="s">
        <v>12</v>
      </c>
      <c r="F215" s="1">
        <v>45147</v>
      </c>
      <c r="G215" t="s">
        <v>8</v>
      </c>
      <c r="H215" s="2">
        <v>19.68</v>
      </c>
      <c r="I215" s="2">
        <v>44.1</v>
      </c>
      <c r="J215" s="2">
        <v>37.08</v>
      </c>
      <c r="K215" s="2">
        <f t="shared" si="75"/>
        <v>317.25</v>
      </c>
      <c r="L215" s="2">
        <v>4.51</v>
      </c>
      <c r="M215" s="2">
        <v>0.33</v>
      </c>
      <c r="N215" s="6">
        <f t="shared" si="66"/>
        <v>6.3051156822287746</v>
      </c>
      <c r="O215" s="6">
        <f t="shared" si="67"/>
        <v>1.8027505586881172</v>
      </c>
      <c r="P215" s="6">
        <f t="shared" si="68"/>
        <v>97.262250827928554</v>
      </c>
      <c r="Q215" s="6">
        <f t="shared" si="76"/>
        <v>6.0906278653114745</v>
      </c>
      <c r="R215" s="10">
        <f t="shared" si="77"/>
        <v>6.0906278653114748E-3</v>
      </c>
      <c r="S215" s="3">
        <f t="shared" si="69"/>
        <v>0.10963130157560655</v>
      </c>
      <c r="T215" s="4">
        <f t="shared" si="70"/>
        <v>1.0963130157560655E-4</v>
      </c>
      <c r="U215" s="3">
        <f t="shared" si="71"/>
        <v>0.39467268567218355</v>
      </c>
      <c r="V215" s="2">
        <v>6.42</v>
      </c>
      <c r="W215" s="2">
        <v>1.41</v>
      </c>
      <c r="X215" s="2">
        <f t="shared" si="72"/>
        <v>14100</v>
      </c>
      <c r="Y215" s="5">
        <v>-0.33</v>
      </c>
      <c r="Z215" s="5">
        <v>-2.63</v>
      </c>
      <c r="AA215" s="2">
        <f t="shared" si="73"/>
        <v>2.2999999999999998</v>
      </c>
      <c r="AB215" s="3">
        <f t="shared" si="74"/>
        <v>0.17159681985747113</v>
      </c>
    </row>
    <row r="216" spans="1:28" x14ac:dyDescent="0.2">
      <c r="A216" t="s">
        <v>10</v>
      </c>
      <c r="B216">
        <v>666</v>
      </c>
      <c r="C216">
        <v>101</v>
      </c>
      <c r="D216">
        <v>3</v>
      </c>
      <c r="E216" t="s">
        <v>12</v>
      </c>
      <c r="F216" s="1">
        <v>45147</v>
      </c>
      <c r="G216" t="s">
        <v>8</v>
      </c>
      <c r="H216" s="2">
        <v>20.96</v>
      </c>
      <c r="I216" s="2">
        <v>43.06</v>
      </c>
      <c r="J216" s="2">
        <v>36.950000000000003</v>
      </c>
      <c r="K216" s="2">
        <f t="shared" si="75"/>
        <v>316.20999999999998</v>
      </c>
      <c r="L216" s="2">
        <v>4.4400000000000004</v>
      </c>
      <c r="M216" s="2">
        <v>0.25</v>
      </c>
      <c r="N216" s="6">
        <f t="shared" si="66"/>
        <v>6.2605393200667496</v>
      </c>
      <c r="O216" s="6">
        <f t="shared" si="67"/>
        <v>1.8187607783463753</v>
      </c>
      <c r="P216" s="6">
        <f t="shared" si="68"/>
        <v>97.249161056216153</v>
      </c>
      <c r="Q216" s="6">
        <f t="shared" si="76"/>
        <v>4.6800900395797829</v>
      </c>
      <c r="R216" s="10">
        <f t="shared" si="77"/>
        <v>4.6800900395797826E-3</v>
      </c>
      <c r="S216" s="3">
        <f t="shared" si="69"/>
        <v>8.4241620712436086E-2</v>
      </c>
      <c r="T216" s="4">
        <f t="shared" si="70"/>
        <v>8.424162071243609E-5</v>
      </c>
      <c r="U216" s="3">
        <f t="shared" si="71"/>
        <v>0.30326983456476991</v>
      </c>
      <c r="V216" s="2">
        <v>5.07</v>
      </c>
      <c r="W216" s="2">
        <v>1.03</v>
      </c>
      <c r="X216" s="2">
        <f t="shared" si="72"/>
        <v>10300</v>
      </c>
      <c r="Y216" s="5">
        <v>-0.54</v>
      </c>
      <c r="Z216" s="5">
        <v>-2.2999999999999998</v>
      </c>
      <c r="AA216" s="2">
        <f t="shared" si="73"/>
        <v>1.7599999999999998</v>
      </c>
      <c r="AB216" s="3">
        <f t="shared" si="74"/>
        <v>0.17231240600271019</v>
      </c>
    </row>
    <row r="217" spans="1:28" x14ac:dyDescent="0.2">
      <c r="A217" t="s">
        <v>10</v>
      </c>
      <c r="B217">
        <v>666</v>
      </c>
      <c r="C217">
        <v>105</v>
      </c>
      <c r="D217">
        <v>7</v>
      </c>
      <c r="E217" t="s">
        <v>12</v>
      </c>
      <c r="F217" s="1">
        <v>45147</v>
      </c>
      <c r="G217" t="s">
        <v>8</v>
      </c>
      <c r="H217" s="2">
        <v>20.09</v>
      </c>
      <c r="I217" s="2">
        <v>43.71</v>
      </c>
      <c r="J217" s="2">
        <v>36.700000000000003</v>
      </c>
      <c r="K217" s="2">
        <f t="shared" si="75"/>
        <v>316.85999999999996</v>
      </c>
      <c r="L217" s="2">
        <v>4.37</v>
      </c>
      <c r="M217" s="2">
        <v>0.34</v>
      </c>
      <c r="N217" s="6">
        <f t="shared" si="66"/>
        <v>6.1755840791793739</v>
      </c>
      <c r="O217" s="6">
        <f t="shared" si="67"/>
        <v>1.8033842985591795</v>
      </c>
      <c r="P217" s="6">
        <f t="shared" si="68"/>
        <v>97.257352026779643</v>
      </c>
      <c r="Q217" s="6">
        <f t="shared" si="76"/>
        <v>6.3121046802914318</v>
      </c>
      <c r="R217" s="10">
        <f t="shared" si="77"/>
        <v>6.3121046802914315E-3</v>
      </c>
      <c r="S217" s="3">
        <f t="shared" si="69"/>
        <v>0.11361788424524577</v>
      </c>
      <c r="T217" s="4">
        <f t="shared" si="70"/>
        <v>1.1361788424524577E-4</v>
      </c>
      <c r="U217" s="3">
        <f t="shared" si="71"/>
        <v>0.40902438328288476</v>
      </c>
      <c r="V217" s="2">
        <v>3.34</v>
      </c>
      <c r="W217" s="2">
        <v>0.91</v>
      </c>
      <c r="X217" s="2">
        <f t="shared" si="72"/>
        <v>9100</v>
      </c>
      <c r="Y217" s="5">
        <v>-1.19</v>
      </c>
      <c r="Z217" s="5">
        <v>-2.2599999999999998</v>
      </c>
      <c r="AA217" s="2">
        <f t="shared" si="73"/>
        <v>1.0699999999999998</v>
      </c>
      <c r="AB217" s="3">
        <f t="shared" si="74"/>
        <v>0.38226577876905121</v>
      </c>
    </row>
    <row r="218" spans="1:28" x14ac:dyDescent="0.2">
      <c r="A218" t="s">
        <v>10</v>
      </c>
      <c r="B218">
        <v>666</v>
      </c>
      <c r="C218">
        <v>105</v>
      </c>
      <c r="D218">
        <v>8</v>
      </c>
      <c r="E218" t="s">
        <v>12</v>
      </c>
      <c r="F218" s="1">
        <v>45147</v>
      </c>
      <c r="G218" t="s">
        <v>8</v>
      </c>
      <c r="H218" s="2">
        <v>20.66</v>
      </c>
      <c r="I218" s="2">
        <v>43.52</v>
      </c>
      <c r="J218" s="2">
        <v>36.630000000000003</v>
      </c>
      <c r="K218" s="2">
        <f t="shared" si="75"/>
        <v>316.66999999999996</v>
      </c>
      <c r="L218" s="2">
        <v>4.32</v>
      </c>
      <c r="M218" s="2">
        <v>0.35</v>
      </c>
      <c r="N218" s="6">
        <f t="shared" si="66"/>
        <v>6.1519767474551017</v>
      </c>
      <c r="O218" s="6">
        <f t="shared" si="67"/>
        <v>1.8362917029863484</v>
      </c>
      <c r="P218" s="6">
        <f t="shared" si="68"/>
        <v>97.254961149757975</v>
      </c>
      <c r="Q218" s="6">
        <f t="shared" si="76"/>
        <v>6.5928961775219541</v>
      </c>
      <c r="R218" s="10">
        <f t="shared" si="77"/>
        <v>6.5928961775219537E-3</v>
      </c>
      <c r="S218" s="3">
        <f t="shared" si="69"/>
        <v>0.11867213119539517</v>
      </c>
      <c r="T218" s="4">
        <f t="shared" si="70"/>
        <v>1.1867213119539517E-4</v>
      </c>
      <c r="U218" s="3">
        <f t="shared" si="71"/>
        <v>0.42721967230342262</v>
      </c>
      <c r="V218" s="2">
        <v>2.64</v>
      </c>
      <c r="W218" s="2">
        <v>0.69</v>
      </c>
      <c r="X218" s="2">
        <f t="shared" si="72"/>
        <v>6899.9999999999991</v>
      </c>
      <c r="Y218" s="5">
        <v>-0.73</v>
      </c>
      <c r="Z218" s="5">
        <v>-2.1800000000000002</v>
      </c>
      <c r="AA218" s="2">
        <f t="shared" si="73"/>
        <v>1.4500000000000002</v>
      </c>
      <c r="AB218" s="3">
        <f t="shared" si="74"/>
        <v>0.29463425676098109</v>
      </c>
    </row>
    <row r="219" spans="1:28" x14ac:dyDescent="0.2">
      <c r="A219" t="s">
        <v>10</v>
      </c>
      <c r="B219">
        <v>666</v>
      </c>
      <c r="C219">
        <v>105</v>
      </c>
      <c r="D219">
        <v>9</v>
      </c>
      <c r="E219" t="s">
        <v>12</v>
      </c>
      <c r="F219" s="1">
        <v>45148</v>
      </c>
      <c r="G219" t="s">
        <v>8</v>
      </c>
      <c r="H219" s="2">
        <v>23.44</v>
      </c>
      <c r="I219" s="2">
        <v>42.88</v>
      </c>
      <c r="J219" s="2">
        <v>37.97</v>
      </c>
      <c r="K219" s="2">
        <f t="shared" si="75"/>
        <v>316.02999999999997</v>
      </c>
      <c r="L219" s="2">
        <v>4.63</v>
      </c>
      <c r="M219" s="2">
        <v>0.18</v>
      </c>
      <c r="N219" s="6">
        <f t="shared" si="66"/>
        <v>6.6177606235366451</v>
      </c>
      <c r="O219" s="6">
        <f t="shared" si="67"/>
        <v>2.0148956457759546</v>
      </c>
      <c r="P219" s="6">
        <f t="shared" si="68"/>
        <v>97.246886952575139</v>
      </c>
      <c r="Q219" s="6">
        <f t="shared" si="76"/>
        <v>3.679263403167699</v>
      </c>
      <c r="R219" s="10">
        <f t="shared" si="77"/>
        <v>3.6792634031676988E-3</v>
      </c>
      <c r="S219" s="3">
        <f t="shared" si="69"/>
        <v>6.6226741257018579E-2</v>
      </c>
      <c r="T219" s="4">
        <f t="shared" si="70"/>
        <v>6.6226741257018574E-5</v>
      </c>
      <c r="U219" s="3">
        <f t="shared" si="71"/>
        <v>0.23841626852526687</v>
      </c>
      <c r="V219" s="2">
        <v>5.01</v>
      </c>
      <c r="W219" s="2">
        <v>1.0900000000000001</v>
      </c>
      <c r="X219" s="2">
        <f t="shared" si="72"/>
        <v>10900</v>
      </c>
      <c r="Y219" s="5">
        <v>-0.92</v>
      </c>
      <c r="Z219" s="5">
        <v>-2.63</v>
      </c>
      <c r="AA219" s="2">
        <f t="shared" si="73"/>
        <v>1.71</v>
      </c>
      <c r="AB219" s="3">
        <f t="shared" si="74"/>
        <v>0.13942471843582857</v>
      </c>
    </row>
    <row r="220" spans="1:28" x14ac:dyDescent="0.2">
      <c r="A220" t="s">
        <v>10</v>
      </c>
      <c r="B220">
        <v>666</v>
      </c>
      <c r="C220">
        <v>118</v>
      </c>
      <c r="D220">
        <v>10</v>
      </c>
      <c r="E220" t="s">
        <v>12</v>
      </c>
      <c r="F220" s="1">
        <v>45148</v>
      </c>
      <c r="G220" t="s">
        <v>8</v>
      </c>
      <c r="H220" s="2">
        <v>19.98</v>
      </c>
      <c r="I220" s="2">
        <v>43.18</v>
      </c>
      <c r="J220" s="2">
        <v>36.549999999999997</v>
      </c>
      <c r="K220" s="2">
        <f t="shared" si="75"/>
        <v>316.33</v>
      </c>
      <c r="L220" s="2">
        <v>4.4000000000000004</v>
      </c>
      <c r="M220" s="2">
        <v>0.26</v>
      </c>
      <c r="N220" s="6">
        <f t="shared" ref="N220:N243" si="78">0.611*EXP((17.502*J220)/(240.97+J220))</f>
        <v>6.1250929307072184</v>
      </c>
      <c r="O220" s="6">
        <f t="shared" ref="O220:O243" si="79">(0.611*EXP((17.502*I220)/(240.97+I220)))*(H220/100)</f>
        <v>1.7446292166038744</v>
      </c>
      <c r="P220" s="6">
        <f t="shared" ref="P220:P243" si="80">101.325*EXP(-380/(29.27*K220))</f>
        <v>97.250675717010481</v>
      </c>
      <c r="Q220" s="6">
        <f t="shared" si="76"/>
        <v>4.6120415994747033</v>
      </c>
      <c r="R220" s="10">
        <f t="shared" si="77"/>
        <v>4.6120415994747033E-3</v>
      </c>
      <c r="S220" s="3">
        <f t="shared" ref="S220:S243" si="81">R220*18</f>
        <v>8.3016748790544659E-2</v>
      </c>
      <c r="T220" s="4">
        <f t="shared" ref="T220:T243" si="82">S220/1000</f>
        <v>8.3016748790544658E-5</v>
      </c>
      <c r="U220" s="3">
        <f t="shared" ref="U220:U243" si="83">T220*3600</f>
        <v>0.29886029564596078</v>
      </c>
      <c r="V220" s="2">
        <v>3.56</v>
      </c>
      <c r="W220" s="6">
        <v>1</v>
      </c>
      <c r="X220" s="2">
        <f t="shared" ref="X220:X243" si="84">W220*10000</f>
        <v>10000</v>
      </c>
      <c r="Y220" s="5">
        <v>-0.72</v>
      </c>
      <c r="Z220" s="5">
        <v>-2.11</v>
      </c>
      <c r="AA220" s="2">
        <f t="shared" ref="AA220:AA243" si="85">Y220-Z220</f>
        <v>1.39</v>
      </c>
      <c r="AB220" s="3">
        <f t="shared" ref="AB220:AB243" si="86">U220/AA220</f>
        <v>0.21500740693954015</v>
      </c>
    </row>
    <row r="221" spans="1:28" x14ac:dyDescent="0.2">
      <c r="A221" t="s">
        <v>10</v>
      </c>
      <c r="B221">
        <v>666</v>
      </c>
      <c r="C221">
        <v>118</v>
      </c>
      <c r="D221">
        <v>11</v>
      </c>
      <c r="E221" t="s">
        <v>12</v>
      </c>
      <c r="F221" s="1">
        <v>45148</v>
      </c>
      <c r="G221" t="s">
        <v>8</v>
      </c>
      <c r="H221" s="2">
        <v>19.190000000000001</v>
      </c>
      <c r="I221" s="2">
        <v>43.15</v>
      </c>
      <c r="J221" s="2">
        <v>39.39</v>
      </c>
      <c r="K221" s="2">
        <f t="shared" si="75"/>
        <v>316.29999999999995</v>
      </c>
      <c r="L221" s="2">
        <v>5.47</v>
      </c>
      <c r="M221" s="2">
        <v>0.06</v>
      </c>
      <c r="N221" s="6">
        <f t="shared" si="78"/>
        <v>7.1444545802168316</v>
      </c>
      <c r="O221" s="6">
        <f t="shared" si="79"/>
        <v>1.6730233747931784</v>
      </c>
      <c r="P221" s="6">
        <f t="shared" si="80"/>
        <v>97.250297157346083</v>
      </c>
      <c r="Q221" s="6">
        <f t="shared" si="76"/>
        <v>1.0330793606775197</v>
      </c>
      <c r="R221" s="10">
        <f t="shared" si="77"/>
        <v>1.0330793606775197E-3</v>
      </c>
      <c r="S221" s="3">
        <f t="shared" si="81"/>
        <v>1.8595428492195355E-2</v>
      </c>
      <c r="T221" s="4">
        <f t="shared" si="82"/>
        <v>1.8595428492195353E-5</v>
      </c>
      <c r="U221" s="3">
        <f t="shared" si="83"/>
        <v>6.694354257190327E-2</v>
      </c>
      <c r="V221" s="2">
        <v>3.32</v>
      </c>
      <c r="W221" s="2">
        <v>0.91</v>
      </c>
      <c r="X221" s="2">
        <f t="shared" si="84"/>
        <v>9100</v>
      </c>
      <c r="Y221" s="5">
        <v>-0.56999999999999995</v>
      </c>
      <c r="Z221" s="5">
        <v>-1.72</v>
      </c>
      <c r="AA221" s="2">
        <f t="shared" si="85"/>
        <v>1.1499999999999999</v>
      </c>
      <c r="AB221" s="3">
        <f t="shared" si="86"/>
        <v>5.8211776149481108E-2</v>
      </c>
    </row>
    <row r="222" spans="1:28" x14ac:dyDescent="0.2">
      <c r="A222" t="s">
        <v>10</v>
      </c>
      <c r="B222">
        <v>666</v>
      </c>
      <c r="C222">
        <v>118</v>
      </c>
      <c r="D222">
        <v>12</v>
      </c>
      <c r="E222" t="s">
        <v>12</v>
      </c>
      <c r="F222" s="1">
        <v>45147</v>
      </c>
      <c r="G222" t="s">
        <v>8</v>
      </c>
      <c r="H222" s="2">
        <v>19.89</v>
      </c>
      <c r="I222" s="2">
        <v>43.76</v>
      </c>
      <c r="J222" s="2">
        <v>38.659999999999997</v>
      </c>
      <c r="K222" s="2">
        <f t="shared" si="75"/>
        <v>316.90999999999997</v>
      </c>
      <c r="L222" s="2">
        <v>5.0999999999999996</v>
      </c>
      <c r="M222" s="2">
        <v>0.12</v>
      </c>
      <c r="N222" s="6">
        <f t="shared" si="78"/>
        <v>6.8693213376932452</v>
      </c>
      <c r="O222" s="6">
        <f t="shared" si="79"/>
        <v>1.7900821619300606</v>
      </c>
      <c r="P222" s="6">
        <f t="shared" si="80"/>
        <v>97.257980738218507</v>
      </c>
      <c r="Q222" s="6">
        <f t="shared" si="76"/>
        <v>2.1830451229978776</v>
      </c>
      <c r="R222" s="10">
        <f t="shared" si="77"/>
        <v>2.1830451229978777E-3</v>
      </c>
      <c r="S222" s="3">
        <f t="shared" si="81"/>
        <v>3.9294812213961798E-2</v>
      </c>
      <c r="T222" s="4">
        <f t="shared" si="82"/>
        <v>3.9294812213961798E-5</v>
      </c>
      <c r="U222" s="3">
        <f t="shared" si="83"/>
        <v>0.14146132397026248</v>
      </c>
      <c r="V222" s="2">
        <v>1.61</v>
      </c>
      <c r="W222" s="2">
        <v>0.5</v>
      </c>
      <c r="X222" s="2">
        <f t="shared" si="84"/>
        <v>5000</v>
      </c>
      <c r="Y222" s="5">
        <v>-0.28999999999999998</v>
      </c>
      <c r="Z222" s="5">
        <v>-1.91</v>
      </c>
      <c r="AA222" s="2">
        <f t="shared" si="85"/>
        <v>1.6199999999999999</v>
      </c>
      <c r="AB222" s="3">
        <f t="shared" si="86"/>
        <v>8.7321804919915119E-2</v>
      </c>
    </row>
    <row r="223" spans="1:28" x14ac:dyDescent="0.2">
      <c r="A223" t="s">
        <v>10</v>
      </c>
      <c r="B223">
        <v>666</v>
      </c>
      <c r="C223">
        <v>122</v>
      </c>
      <c r="D223">
        <v>16</v>
      </c>
      <c r="E223" t="s">
        <v>12</v>
      </c>
      <c r="F223" s="1">
        <v>45148</v>
      </c>
      <c r="G223" t="s">
        <v>8</v>
      </c>
      <c r="H223" s="2">
        <v>19.22</v>
      </c>
      <c r="I223" s="2">
        <v>43.32</v>
      </c>
      <c r="J223" s="2">
        <v>37.06</v>
      </c>
      <c r="K223" s="2">
        <f t="shared" si="75"/>
        <v>316.46999999999997</v>
      </c>
      <c r="L223" s="2">
        <v>4.6100000000000003</v>
      </c>
      <c r="M223" s="2">
        <v>0.2</v>
      </c>
      <c r="N223" s="6">
        <f t="shared" si="78"/>
        <v>6.2982398979254528</v>
      </c>
      <c r="O223" s="6">
        <f t="shared" si="79"/>
        <v>1.6905786611946279</v>
      </c>
      <c r="P223" s="6">
        <f t="shared" si="80"/>
        <v>97.25244139926194</v>
      </c>
      <c r="Q223" s="6">
        <f t="shared" si="76"/>
        <v>3.4718714998516527</v>
      </c>
      <c r="R223" s="10">
        <f t="shared" si="77"/>
        <v>3.4718714998516528E-3</v>
      </c>
      <c r="S223" s="3">
        <f t="shared" si="81"/>
        <v>6.2493686997329753E-2</v>
      </c>
      <c r="T223" s="4">
        <f t="shared" si="82"/>
        <v>6.2493686997329751E-5</v>
      </c>
      <c r="U223" s="3">
        <f t="shared" si="83"/>
        <v>0.2249772731903871</v>
      </c>
      <c r="V223" s="2">
        <v>7.05</v>
      </c>
      <c r="W223" s="2">
        <v>2.21</v>
      </c>
      <c r="X223" s="2">
        <f t="shared" si="84"/>
        <v>22100</v>
      </c>
      <c r="Y223" s="5">
        <v>-0.6</v>
      </c>
      <c r="Z223" s="5">
        <v>-2.31</v>
      </c>
      <c r="AA223" s="2">
        <f t="shared" si="85"/>
        <v>1.71</v>
      </c>
      <c r="AB223" s="3">
        <f t="shared" si="86"/>
        <v>0.13156565683648369</v>
      </c>
    </row>
    <row r="224" spans="1:28" x14ac:dyDescent="0.2">
      <c r="A224" t="s">
        <v>10</v>
      </c>
      <c r="B224">
        <v>666</v>
      </c>
      <c r="C224">
        <v>122</v>
      </c>
      <c r="D224">
        <v>17</v>
      </c>
      <c r="E224" t="s">
        <v>12</v>
      </c>
      <c r="F224" s="1">
        <v>45148</v>
      </c>
      <c r="G224" t="s">
        <v>8</v>
      </c>
      <c r="H224" s="2">
        <v>18.82</v>
      </c>
      <c r="I224" s="2">
        <v>43.28</v>
      </c>
      <c r="J224" s="2">
        <v>38.409999999999997</v>
      </c>
      <c r="K224" s="2">
        <f t="shared" si="75"/>
        <v>316.42999999999995</v>
      </c>
      <c r="L224" s="2">
        <v>5.13</v>
      </c>
      <c r="M224" s="2">
        <v>0.14000000000000001</v>
      </c>
      <c r="N224" s="6">
        <f t="shared" si="78"/>
        <v>6.7772343947763201</v>
      </c>
      <c r="O224" s="6">
        <f t="shared" si="79"/>
        <v>1.6519427140159486</v>
      </c>
      <c r="P224" s="6">
        <f t="shared" si="80"/>
        <v>97.251937074776933</v>
      </c>
      <c r="Q224" s="6">
        <f t="shared" si="76"/>
        <v>2.3712927701518876</v>
      </c>
      <c r="R224" s="10">
        <f t="shared" si="77"/>
        <v>2.3712927701518877E-3</v>
      </c>
      <c r="S224" s="3">
        <f t="shared" si="81"/>
        <v>4.2683269862733977E-2</v>
      </c>
      <c r="T224" s="4">
        <f t="shared" si="82"/>
        <v>4.2683269862733977E-5</v>
      </c>
      <c r="U224" s="3">
        <f t="shared" si="83"/>
        <v>0.15365977150584231</v>
      </c>
      <c r="V224" s="2">
        <v>4.82</v>
      </c>
      <c r="W224" s="2">
        <v>1.19</v>
      </c>
      <c r="X224" s="2">
        <f t="shared" si="84"/>
        <v>11900</v>
      </c>
      <c r="Y224" s="5">
        <v>-0.56000000000000005</v>
      </c>
      <c r="Z224" s="5">
        <v>-2.2000000000000002</v>
      </c>
      <c r="AA224" s="2">
        <f t="shared" si="85"/>
        <v>1.6400000000000001</v>
      </c>
      <c r="AB224" s="3">
        <f t="shared" si="86"/>
        <v>9.3694982625513595E-2</v>
      </c>
    </row>
    <row r="225" spans="1:28" x14ac:dyDescent="0.2">
      <c r="A225" t="s">
        <v>10</v>
      </c>
      <c r="B225">
        <v>666</v>
      </c>
      <c r="C225">
        <v>122</v>
      </c>
      <c r="D225">
        <v>18</v>
      </c>
      <c r="E225" t="s">
        <v>12</v>
      </c>
      <c r="F225" s="1">
        <v>45147</v>
      </c>
      <c r="G225" t="s">
        <v>8</v>
      </c>
      <c r="H225" s="2">
        <v>20.32</v>
      </c>
      <c r="I225" s="2">
        <v>44.06</v>
      </c>
      <c r="J225" s="2">
        <v>39.380000000000003</v>
      </c>
      <c r="K225" s="2">
        <f t="shared" si="75"/>
        <v>317.20999999999998</v>
      </c>
      <c r="L225" s="2">
        <v>5.29</v>
      </c>
      <c r="M225" s="2">
        <v>0.2</v>
      </c>
      <c r="N225" s="6">
        <f t="shared" si="78"/>
        <v>7.1406220409472185</v>
      </c>
      <c r="O225" s="6">
        <f t="shared" si="79"/>
        <v>1.8575160176559991</v>
      </c>
      <c r="P225" s="6">
        <f t="shared" si="80"/>
        <v>97.26174892981885</v>
      </c>
      <c r="Q225" s="6">
        <f t="shared" si="76"/>
        <v>3.8054467687653277</v>
      </c>
      <c r="R225" s="10">
        <f t="shared" si="77"/>
        <v>3.8054467687653275E-3</v>
      </c>
      <c r="S225" s="3">
        <f t="shared" si="81"/>
        <v>6.84980418377759E-2</v>
      </c>
      <c r="T225" s="4">
        <f t="shared" si="82"/>
        <v>6.84980418377759E-5</v>
      </c>
      <c r="U225" s="3">
        <f t="shared" si="83"/>
        <v>0.24659295061599323</v>
      </c>
      <c r="V225" s="2">
        <v>7.37</v>
      </c>
      <c r="W225" s="2">
        <v>1.96</v>
      </c>
      <c r="X225" s="2">
        <f t="shared" si="84"/>
        <v>19600</v>
      </c>
      <c r="Y225" s="5">
        <v>-0.54</v>
      </c>
      <c r="Z225" s="5">
        <v>-2.4700000000000002</v>
      </c>
      <c r="AA225" s="2">
        <f t="shared" si="85"/>
        <v>1.9300000000000002</v>
      </c>
      <c r="AB225" s="3">
        <f t="shared" si="86"/>
        <v>0.12776836819481513</v>
      </c>
    </row>
    <row r="226" spans="1:28" x14ac:dyDescent="0.2">
      <c r="A226" t="s">
        <v>10</v>
      </c>
      <c r="B226">
        <v>666</v>
      </c>
      <c r="C226">
        <v>123</v>
      </c>
      <c r="D226">
        <v>19</v>
      </c>
      <c r="E226" t="s">
        <v>12</v>
      </c>
      <c r="F226" s="1">
        <v>45147</v>
      </c>
      <c r="G226" t="s">
        <v>8</v>
      </c>
      <c r="H226" s="2">
        <v>23.22</v>
      </c>
      <c r="I226" s="2">
        <v>41.97</v>
      </c>
      <c r="J226" s="2">
        <v>36.76</v>
      </c>
      <c r="K226" s="2">
        <f t="shared" si="75"/>
        <v>315.12</v>
      </c>
      <c r="L226" s="2">
        <v>4.3</v>
      </c>
      <c r="M226" s="2">
        <v>0.3</v>
      </c>
      <c r="N226" s="6">
        <f t="shared" si="78"/>
        <v>6.1958815029493159</v>
      </c>
      <c r="O226" s="6">
        <f t="shared" si="79"/>
        <v>1.9028457392121672</v>
      </c>
      <c r="P226" s="6">
        <f t="shared" si="80"/>
        <v>97.235351146806721</v>
      </c>
      <c r="Q226" s="6">
        <f t="shared" si="76"/>
        <v>5.8493587381205581</v>
      </c>
      <c r="R226" s="10">
        <f t="shared" si="77"/>
        <v>5.8493587381205584E-3</v>
      </c>
      <c r="S226" s="3">
        <f t="shared" si="81"/>
        <v>0.10528845728617005</v>
      </c>
      <c r="T226" s="4">
        <f t="shared" si="82"/>
        <v>1.0528845728617004E-4</v>
      </c>
      <c r="U226" s="3">
        <f t="shared" si="83"/>
        <v>0.37903844623021216</v>
      </c>
      <c r="V226" s="2">
        <v>6.06</v>
      </c>
      <c r="W226" s="2">
        <v>1.55</v>
      </c>
      <c r="X226" s="2">
        <f t="shared" si="84"/>
        <v>15500</v>
      </c>
      <c r="Y226" s="5">
        <v>-0.59</v>
      </c>
      <c r="Z226" s="5">
        <v>-2.0299999999999998</v>
      </c>
      <c r="AA226" s="2">
        <f t="shared" si="85"/>
        <v>1.44</v>
      </c>
      <c r="AB226" s="3">
        <f t="shared" si="86"/>
        <v>0.26322114321542511</v>
      </c>
    </row>
    <row r="227" spans="1:28" x14ac:dyDescent="0.2">
      <c r="A227" t="s">
        <v>10</v>
      </c>
      <c r="B227">
        <v>666</v>
      </c>
      <c r="C227">
        <v>123</v>
      </c>
      <c r="D227">
        <v>20</v>
      </c>
      <c r="E227" t="s">
        <v>12</v>
      </c>
      <c r="F227" s="1">
        <v>45147</v>
      </c>
      <c r="G227" t="s">
        <v>8</v>
      </c>
      <c r="H227" s="2">
        <v>21.37</v>
      </c>
      <c r="I227" s="2">
        <v>42.6</v>
      </c>
      <c r="J227" s="2">
        <v>37.53</v>
      </c>
      <c r="K227" s="2">
        <f t="shared" si="75"/>
        <v>315.75</v>
      </c>
      <c r="L227" s="2">
        <v>4.6500000000000004</v>
      </c>
      <c r="M227" s="2">
        <v>0.27</v>
      </c>
      <c r="N227" s="6">
        <f t="shared" si="78"/>
        <v>6.4615532061118079</v>
      </c>
      <c r="O227" s="6">
        <f t="shared" si="79"/>
        <v>1.8102057576723467</v>
      </c>
      <c r="P227" s="6">
        <f t="shared" si="80"/>
        <v>97.243344410375371</v>
      </c>
      <c r="Q227" s="6">
        <f t="shared" si="76"/>
        <v>5.0298492777671431</v>
      </c>
      <c r="R227" s="10">
        <f t="shared" si="77"/>
        <v>5.0298492777671429E-3</v>
      </c>
      <c r="S227" s="3">
        <f t="shared" si="81"/>
        <v>9.0537286999808578E-2</v>
      </c>
      <c r="T227" s="4">
        <f t="shared" si="82"/>
        <v>9.053728699980858E-5</v>
      </c>
      <c r="U227" s="3">
        <f t="shared" si="83"/>
        <v>0.32593423319931086</v>
      </c>
      <c r="V227" s="2">
        <v>5.82</v>
      </c>
      <c r="W227" s="2">
        <v>2.02</v>
      </c>
      <c r="X227" s="2">
        <f t="shared" si="84"/>
        <v>20200</v>
      </c>
      <c r="Y227" s="5">
        <v>-0.68</v>
      </c>
      <c r="Z227" s="5">
        <v>-2.0499999999999998</v>
      </c>
      <c r="AA227" s="2">
        <f t="shared" si="85"/>
        <v>1.3699999999999997</v>
      </c>
      <c r="AB227" s="3">
        <f t="shared" si="86"/>
        <v>0.23790819941555544</v>
      </c>
    </row>
    <row r="228" spans="1:28" x14ac:dyDescent="0.2">
      <c r="A228" t="s">
        <v>10</v>
      </c>
      <c r="B228">
        <v>666</v>
      </c>
      <c r="C228">
        <v>123</v>
      </c>
      <c r="D228">
        <v>22</v>
      </c>
      <c r="E228" t="s">
        <v>12</v>
      </c>
      <c r="F228" s="1">
        <v>45147</v>
      </c>
      <c r="G228" t="s">
        <v>8</v>
      </c>
      <c r="H228" s="2">
        <v>18.920000000000002</v>
      </c>
      <c r="I228" s="2">
        <v>44.05</v>
      </c>
      <c r="J228" s="2">
        <v>38.18</v>
      </c>
      <c r="K228" s="2">
        <f t="shared" si="75"/>
        <v>317.2</v>
      </c>
      <c r="L228" s="2">
        <v>4.96</v>
      </c>
      <c r="M228" s="2">
        <v>0.27</v>
      </c>
      <c r="N228" s="6">
        <f t="shared" si="78"/>
        <v>6.6934621781014867</v>
      </c>
      <c r="O228" s="6">
        <f t="shared" si="79"/>
        <v>1.7286399122396461</v>
      </c>
      <c r="P228" s="6">
        <f t="shared" si="80"/>
        <v>97.261623435917727</v>
      </c>
      <c r="Q228" s="6">
        <f t="shared" si="76"/>
        <v>4.8121218991966872</v>
      </c>
      <c r="R228" s="10">
        <f t="shared" si="77"/>
        <v>4.8121218991966875E-3</v>
      </c>
      <c r="S228" s="3">
        <f t="shared" si="81"/>
        <v>8.661819418554037E-2</v>
      </c>
      <c r="T228" s="4">
        <f t="shared" si="82"/>
        <v>8.6618194185540372E-5</v>
      </c>
      <c r="U228" s="3">
        <f t="shared" si="83"/>
        <v>0.31182549906794532</v>
      </c>
      <c r="V228" s="2">
        <v>4.78</v>
      </c>
      <c r="W228" s="2">
        <v>1.58</v>
      </c>
      <c r="X228" s="2">
        <f t="shared" si="84"/>
        <v>15800</v>
      </c>
      <c r="Y228" s="5">
        <v>-0.36</v>
      </c>
      <c r="Z228" s="5">
        <v>-2.12</v>
      </c>
      <c r="AA228" s="2">
        <f t="shared" si="85"/>
        <v>1.7600000000000002</v>
      </c>
      <c r="AB228" s="3">
        <f t="shared" si="86"/>
        <v>0.17717357901587799</v>
      </c>
    </row>
    <row r="229" spans="1:28" x14ac:dyDescent="0.2">
      <c r="A229" t="s">
        <v>11</v>
      </c>
      <c r="B229">
        <v>1212</v>
      </c>
      <c r="C229">
        <v>3</v>
      </c>
      <c r="D229">
        <v>29</v>
      </c>
      <c r="E229" t="s">
        <v>12</v>
      </c>
      <c r="F229" s="1">
        <v>45147</v>
      </c>
      <c r="G229" t="s">
        <v>8</v>
      </c>
      <c r="H229" s="2">
        <v>20.23</v>
      </c>
      <c r="I229" s="2">
        <v>43.27</v>
      </c>
      <c r="J229" s="2">
        <v>37.340000000000003</v>
      </c>
      <c r="K229" s="2">
        <f t="shared" si="75"/>
        <v>316.41999999999996</v>
      </c>
      <c r="L229" s="2">
        <v>4.62</v>
      </c>
      <c r="M229" s="2">
        <v>0.2</v>
      </c>
      <c r="N229" s="6">
        <f t="shared" si="78"/>
        <v>6.3950956805431849</v>
      </c>
      <c r="O229" s="6">
        <f t="shared" si="79"/>
        <v>1.7747800884151557</v>
      </c>
      <c r="P229" s="6">
        <f t="shared" si="80"/>
        <v>97.251810974141335</v>
      </c>
      <c r="Q229" s="6">
        <f t="shared" si="76"/>
        <v>3.650514397135848</v>
      </c>
      <c r="R229" s="10">
        <f t="shared" si="77"/>
        <v>3.6505143971358482E-3</v>
      </c>
      <c r="S229" s="3">
        <f t="shared" si="81"/>
        <v>6.5709259148445262E-2</v>
      </c>
      <c r="T229" s="4">
        <f t="shared" si="82"/>
        <v>6.5709259148445261E-5</v>
      </c>
      <c r="U229" s="3">
        <f t="shared" si="83"/>
        <v>0.23655333293440295</v>
      </c>
      <c r="V229" s="2">
        <v>8.68</v>
      </c>
      <c r="W229" s="2">
        <v>2.3199999999999998</v>
      </c>
      <c r="X229" s="2">
        <f t="shared" si="84"/>
        <v>23200</v>
      </c>
      <c r="Y229" s="5">
        <v>-0.68</v>
      </c>
      <c r="Z229" s="5">
        <v>-2.4700000000000002</v>
      </c>
      <c r="AA229" s="2">
        <f t="shared" si="85"/>
        <v>1.79</v>
      </c>
      <c r="AB229" s="3">
        <f t="shared" si="86"/>
        <v>0.1321526999633536</v>
      </c>
    </row>
    <row r="230" spans="1:28" x14ac:dyDescent="0.2">
      <c r="A230" t="s">
        <v>11</v>
      </c>
      <c r="B230">
        <v>1212</v>
      </c>
      <c r="C230">
        <v>3</v>
      </c>
      <c r="D230">
        <v>30</v>
      </c>
      <c r="E230" t="s">
        <v>12</v>
      </c>
      <c r="F230" s="1">
        <v>45147</v>
      </c>
      <c r="G230" t="s">
        <v>8</v>
      </c>
      <c r="H230" s="2">
        <v>18.63</v>
      </c>
      <c r="I230" s="2">
        <v>44.03</v>
      </c>
      <c r="J230" s="2">
        <v>38.4</v>
      </c>
      <c r="K230" s="2">
        <f t="shared" si="75"/>
        <v>317.17999999999995</v>
      </c>
      <c r="L230" s="2">
        <v>5.07</v>
      </c>
      <c r="M230" s="2">
        <v>0.18</v>
      </c>
      <c r="N230" s="6">
        <f t="shared" si="78"/>
        <v>6.773573301850786</v>
      </c>
      <c r="O230" s="6">
        <f t="shared" si="79"/>
        <v>1.7003772743000438</v>
      </c>
      <c r="P230" s="6">
        <f t="shared" si="80"/>
        <v>97.261372424862017</v>
      </c>
      <c r="Q230" s="6">
        <f t="shared" si="76"/>
        <v>3.1527747006658222</v>
      </c>
      <c r="R230" s="10">
        <f t="shared" si="77"/>
        <v>3.1527747006658224E-3</v>
      </c>
      <c r="S230" s="3">
        <f t="shared" si="81"/>
        <v>5.67499446119848E-2</v>
      </c>
      <c r="T230" s="4">
        <f t="shared" si="82"/>
        <v>5.6749944611984798E-5</v>
      </c>
      <c r="U230" s="3">
        <f t="shared" si="83"/>
        <v>0.20429980060314526</v>
      </c>
      <c r="V230" s="6">
        <v>7</v>
      </c>
      <c r="W230" s="2">
        <v>2.4300000000000002</v>
      </c>
      <c r="X230" s="2">
        <f t="shared" si="84"/>
        <v>24300</v>
      </c>
      <c r="Y230" s="5">
        <v>-0.77</v>
      </c>
      <c r="Z230" s="5">
        <v>-2.74</v>
      </c>
      <c r="AA230" s="2">
        <f t="shared" si="85"/>
        <v>1.9700000000000002</v>
      </c>
      <c r="AB230" s="3">
        <f t="shared" si="86"/>
        <v>0.10370548253966763</v>
      </c>
    </row>
    <row r="231" spans="1:28" x14ac:dyDescent="0.2">
      <c r="A231" t="s">
        <v>11</v>
      </c>
      <c r="B231">
        <v>1212</v>
      </c>
      <c r="C231">
        <v>3</v>
      </c>
      <c r="D231">
        <v>31</v>
      </c>
      <c r="E231" t="s">
        <v>12</v>
      </c>
      <c r="F231" s="1">
        <v>45148</v>
      </c>
      <c r="G231" t="s">
        <v>8</v>
      </c>
      <c r="H231" s="2">
        <v>21.34</v>
      </c>
      <c r="I231" s="2">
        <v>43.14</v>
      </c>
      <c r="J231" s="2">
        <v>38.71</v>
      </c>
      <c r="K231" s="2">
        <f t="shared" si="75"/>
        <v>316.28999999999996</v>
      </c>
      <c r="L231" s="2">
        <v>5.03</v>
      </c>
      <c r="M231" s="2">
        <v>0.18</v>
      </c>
      <c r="N231" s="6">
        <f t="shared" si="78"/>
        <v>6.8878683925247204</v>
      </c>
      <c r="O231" s="6">
        <f t="shared" si="79"/>
        <v>1.859492978524961</v>
      </c>
      <c r="P231" s="6">
        <f t="shared" si="80"/>
        <v>97.250170955160456</v>
      </c>
      <c r="Q231" s="6">
        <f t="shared" si="76"/>
        <v>3.4387220852150517</v>
      </c>
      <c r="R231" s="10">
        <f t="shared" si="77"/>
        <v>3.4387220852150516E-3</v>
      </c>
      <c r="S231" s="3">
        <f t="shared" si="81"/>
        <v>6.1896997533870929E-2</v>
      </c>
      <c r="T231" s="4">
        <f t="shared" si="82"/>
        <v>6.1896997533870927E-5</v>
      </c>
      <c r="U231" s="3">
        <f t="shared" si="83"/>
        <v>0.22282919112193533</v>
      </c>
      <c r="V231" s="2">
        <v>6.14</v>
      </c>
      <c r="W231" s="2">
        <v>1.8</v>
      </c>
      <c r="X231" s="2">
        <f t="shared" si="84"/>
        <v>18000</v>
      </c>
      <c r="Y231" s="5">
        <v>-0.44</v>
      </c>
      <c r="Z231" s="5">
        <v>-2.16</v>
      </c>
      <c r="AA231" s="2">
        <f t="shared" si="85"/>
        <v>1.7200000000000002</v>
      </c>
      <c r="AB231" s="3">
        <f t="shared" si="86"/>
        <v>0.12955185530345076</v>
      </c>
    </row>
    <row r="232" spans="1:28" x14ac:dyDescent="0.2">
      <c r="A232" t="s">
        <v>11</v>
      </c>
      <c r="B232">
        <v>1212</v>
      </c>
      <c r="C232">
        <v>4</v>
      </c>
      <c r="D232">
        <v>32</v>
      </c>
      <c r="E232" t="s">
        <v>12</v>
      </c>
      <c r="F232" s="1">
        <v>45147</v>
      </c>
      <c r="G232" t="s">
        <v>8</v>
      </c>
      <c r="H232" s="2">
        <v>20.29</v>
      </c>
      <c r="I232" s="2">
        <v>43.24</v>
      </c>
      <c r="J232" s="2">
        <v>37.630000000000003</v>
      </c>
      <c r="K232" s="2">
        <f t="shared" si="75"/>
        <v>316.39</v>
      </c>
      <c r="L232" s="2">
        <v>4.72</v>
      </c>
      <c r="M232" s="2">
        <v>0.17</v>
      </c>
      <c r="N232" s="6">
        <f t="shared" si="78"/>
        <v>6.4967709979359762</v>
      </c>
      <c r="O232" s="6">
        <f t="shared" si="79"/>
        <v>1.7772581713089481</v>
      </c>
      <c r="P232" s="6">
        <f t="shared" si="80"/>
        <v>97.251432625388532</v>
      </c>
      <c r="Q232" s="6">
        <f t="shared" si="76"/>
        <v>3.1058778415389878</v>
      </c>
      <c r="R232" s="10">
        <f t="shared" si="77"/>
        <v>3.1058778415389877E-3</v>
      </c>
      <c r="S232" s="3">
        <f t="shared" si="81"/>
        <v>5.5905801147701779E-2</v>
      </c>
      <c r="T232" s="4">
        <f t="shared" si="82"/>
        <v>5.5905801147701782E-5</v>
      </c>
      <c r="U232" s="3">
        <f t="shared" si="83"/>
        <v>0.20126088413172641</v>
      </c>
      <c r="V232" s="2">
        <v>6.68</v>
      </c>
      <c r="W232" s="2">
        <v>1.44</v>
      </c>
      <c r="X232" s="2">
        <f t="shared" si="84"/>
        <v>14400</v>
      </c>
      <c r="Y232" s="5">
        <v>-0.4</v>
      </c>
      <c r="Z232" s="5">
        <v>-1.92</v>
      </c>
      <c r="AA232" s="2">
        <f t="shared" si="85"/>
        <v>1.52</v>
      </c>
      <c r="AB232" s="3">
        <f t="shared" si="86"/>
        <v>0.13240847640245157</v>
      </c>
    </row>
    <row r="233" spans="1:28" x14ac:dyDescent="0.2">
      <c r="A233" t="s">
        <v>11</v>
      </c>
      <c r="B233">
        <v>1212</v>
      </c>
      <c r="C233">
        <v>4</v>
      </c>
      <c r="D233">
        <v>33</v>
      </c>
      <c r="E233" t="s">
        <v>12</v>
      </c>
      <c r="F233" s="1">
        <v>45148</v>
      </c>
      <c r="G233" t="s">
        <v>8</v>
      </c>
      <c r="H233" s="2">
        <v>19.399999999999999</v>
      </c>
      <c r="I233" s="2">
        <v>43.23</v>
      </c>
      <c r="J233" s="2">
        <v>37.42</v>
      </c>
      <c r="K233" s="2">
        <f t="shared" si="75"/>
        <v>316.38</v>
      </c>
      <c r="L233" s="2">
        <v>4.7300000000000004</v>
      </c>
      <c r="M233" s="2">
        <v>0.21</v>
      </c>
      <c r="N233" s="6">
        <f t="shared" si="78"/>
        <v>6.4230051256890217</v>
      </c>
      <c r="O233" s="6">
        <f t="shared" si="79"/>
        <v>1.698413526196769</v>
      </c>
      <c r="P233" s="6">
        <f t="shared" si="80"/>
        <v>97.251306493519834</v>
      </c>
      <c r="Q233" s="6">
        <f t="shared" si="76"/>
        <v>3.655797430529991</v>
      </c>
      <c r="R233" s="10">
        <f t="shared" si="77"/>
        <v>3.6557974305299911E-3</v>
      </c>
      <c r="S233" s="3">
        <f t="shared" si="81"/>
        <v>6.5804353749539843E-2</v>
      </c>
      <c r="T233" s="4">
        <f t="shared" si="82"/>
        <v>6.5804353749539842E-5</v>
      </c>
      <c r="U233" s="3">
        <f t="shared" si="83"/>
        <v>0.23689567349834342</v>
      </c>
      <c r="V233" s="2">
        <v>14.08</v>
      </c>
      <c r="W233" s="2">
        <v>4.13</v>
      </c>
      <c r="X233" s="2">
        <f t="shared" si="84"/>
        <v>41300</v>
      </c>
      <c r="Y233" s="5">
        <v>-0.37</v>
      </c>
      <c r="Z233" s="5">
        <v>-1.79</v>
      </c>
      <c r="AA233" s="2">
        <f t="shared" si="85"/>
        <v>1.42</v>
      </c>
      <c r="AB233" s="3">
        <f t="shared" si="86"/>
        <v>0.16682793908334045</v>
      </c>
    </row>
    <row r="234" spans="1:28" x14ac:dyDescent="0.2">
      <c r="A234" t="s">
        <v>11</v>
      </c>
      <c r="B234">
        <v>1212</v>
      </c>
      <c r="C234">
        <v>4</v>
      </c>
      <c r="D234">
        <v>34</v>
      </c>
      <c r="E234" t="s">
        <v>12</v>
      </c>
      <c r="F234" s="1">
        <v>45147</v>
      </c>
      <c r="G234" t="s">
        <v>8</v>
      </c>
      <c r="H234" s="2">
        <v>18.670000000000002</v>
      </c>
      <c r="I234" s="2">
        <v>44.13</v>
      </c>
      <c r="J234" s="2">
        <v>37.450000000000003</v>
      </c>
      <c r="K234" s="2">
        <f t="shared" si="75"/>
        <v>317.27999999999997</v>
      </c>
      <c r="L234" s="2">
        <v>4.72</v>
      </c>
      <c r="M234" s="2">
        <v>0.23</v>
      </c>
      <c r="N234" s="6">
        <f t="shared" si="78"/>
        <v>6.4334983904904188</v>
      </c>
      <c r="O234" s="6">
        <f t="shared" si="79"/>
        <v>1.7128958506089202</v>
      </c>
      <c r="P234" s="6">
        <f t="shared" si="80"/>
        <v>97.262627170161366</v>
      </c>
      <c r="Q234" s="6">
        <f t="shared" si="76"/>
        <v>4.051963650162449</v>
      </c>
      <c r="R234" s="10">
        <f t="shared" si="77"/>
        <v>4.0519636501624486E-3</v>
      </c>
      <c r="S234" s="3">
        <f t="shared" si="81"/>
        <v>7.2935345702924079E-2</v>
      </c>
      <c r="T234" s="4">
        <f t="shared" si="82"/>
        <v>7.2935345702924084E-5</v>
      </c>
      <c r="U234" s="3">
        <f t="shared" si="83"/>
        <v>0.26256724453052671</v>
      </c>
      <c r="V234" s="2">
        <v>4.71</v>
      </c>
      <c r="W234" s="2">
        <v>1.38</v>
      </c>
      <c r="X234" s="2">
        <f t="shared" si="84"/>
        <v>13799.999999999998</v>
      </c>
      <c r="Y234" s="5">
        <v>-0.74</v>
      </c>
      <c r="Z234" s="5">
        <v>-2.59</v>
      </c>
      <c r="AA234" s="2">
        <f t="shared" si="85"/>
        <v>1.8499999999999999</v>
      </c>
      <c r="AB234" s="3">
        <f t="shared" si="86"/>
        <v>0.1419282402867712</v>
      </c>
    </row>
    <row r="235" spans="1:28" x14ac:dyDescent="0.2">
      <c r="A235" t="s">
        <v>11</v>
      </c>
      <c r="B235">
        <v>1212</v>
      </c>
      <c r="C235">
        <v>7</v>
      </c>
      <c r="D235">
        <v>36</v>
      </c>
      <c r="E235" t="s">
        <v>12</v>
      </c>
      <c r="F235" s="1">
        <v>45147</v>
      </c>
      <c r="G235" t="s">
        <v>8</v>
      </c>
      <c r="H235" s="2">
        <v>18.88</v>
      </c>
      <c r="I235" s="2">
        <v>43.96</v>
      </c>
      <c r="J235" s="2">
        <v>40.15</v>
      </c>
      <c r="K235" s="2">
        <f t="shared" si="75"/>
        <v>317.10999999999996</v>
      </c>
      <c r="L235" s="2">
        <v>5.73</v>
      </c>
      <c r="M235" s="2">
        <v>0.11</v>
      </c>
      <c r="N235" s="6">
        <f t="shared" si="78"/>
        <v>7.4409967628375089</v>
      </c>
      <c r="O235" s="6">
        <f t="shared" si="79"/>
        <v>1.7169416814481766</v>
      </c>
      <c r="P235" s="6">
        <f t="shared" si="80"/>
        <v>97.260493641930125</v>
      </c>
      <c r="Q235" s="6">
        <f t="shared" si="76"/>
        <v>1.9351088696406389</v>
      </c>
      <c r="R235" s="10">
        <f t="shared" si="77"/>
        <v>1.9351088696406389E-3</v>
      </c>
      <c r="S235" s="3">
        <f t="shared" si="81"/>
        <v>3.4831959653531502E-2</v>
      </c>
      <c r="T235" s="4">
        <f t="shared" si="82"/>
        <v>3.4831959653531505E-5</v>
      </c>
      <c r="U235" s="3">
        <f t="shared" si="83"/>
        <v>0.12539505475271343</v>
      </c>
      <c r="V235" s="2">
        <v>6.11</v>
      </c>
      <c r="W235" s="2">
        <v>0.97</v>
      </c>
      <c r="X235" s="2">
        <f t="shared" si="84"/>
        <v>9700</v>
      </c>
      <c r="Y235" s="5">
        <v>-0.39</v>
      </c>
      <c r="Z235" s="5">
        <v>-2.15</v>
      </c>
      <c r="AA235" s="2">
        <f t="shared" si="85"/>
        <v>1.7599999999999998</v>
      </c>
      <c r="AB235" s="3">
        <f t="shared" si="86"/>
        <v>7.1247190200405361E-2</v>
      </c>
    </row>
    <row r="236" spans="1:28" x14ac:dyDescent="0.2">
      <c r="A236" t="s">
        <v>11</v>
      </c>
      <c r="B236">
        <v>1212</v>
      </c>
      <c r="C236">
        <v>7</v>
      </c>
      <c r="D236">
        <v>37</v>
      </c>
      <c r="E236" t="s">
        <v>12</v>
      </c>
      <c r="F236" s="1">
        <v>45147</v>
      </c>
      <c r="G236" t="s">
        <v>8</v>
      </c>
      <c r="H236" s="2">
        <v>18.86</v>
      </c>
      <c r="I236" s="2">
        <v>44.08</v>
      </c>
      <c r="J236" s="2">
        <v>39.49</v>
      </c>
      <c r="K236" s="2">
        <f t="shared" si="75"/>
        <v>317.22999999999996</v>
      </c>
      <c r="L236" s="2">
        <v>5.47</v>
      </c>
      <c r="M236" s="2">
        <v>0.13</v>
      </c>
      <c r="N236" s="6">
        <f t="shared" si="78"/>
        <v>7.1828781744069383</v>
      </c>
      <c r="O236" s="6">
        <f t="shared" si="79"/>
        <v>1.7258435520565798</v>
      </c>
      <c r="P236" s="6">
        <f t="shared" si="80"/>
        <v>97.261999894371229</v>
      </c>
      <c r="Q236" s="6">
        <f t="shared" si="76"/>
        <v>2.2894261162091185</v>
      </c>
      <c r="R236" s="10">
        <f t="shared" si="77"/>
        <v>2.2894261162091185E-3</v>
      </c>
      <c r="S236" s="3">
        <f t="shared" si="81"/>
        <v>4.1209670091764135E-2</v>
      </c>
      <c r="T236" s="4">
        <f t="shared" si="82"/>
        <v>4.1209670091764132E-5</v>
      </c>
      <c r="U236" s="3">
        <f t="shared" si="83"/>
        <v>0.14835481233035086</v>
      </c>
      <c r="V236" s="2">
        <v>3.68</v>
      </c>
      <c r="W236" s="2">
        <v>0.9</v>
      </c>
      <c r="X236" s="2">
        <f t="shared" si="84"/>
        <v>9000</v>
      </c>
      <c r="Y236" s="5">
        <v>-0.51</v>
      </c>
      <c r="Z236" s="5">
        <v>-2.31</v>
      </c>
      <c r="AA236" s="2">
        <f t="shared" si="85"/>
        <v>1.8</v>
      </c>
      <c r="AB236" s="3">
        <f t="shared" si="86"/>
        <v>8.2419340183528256E-2</v>
      </c>
    </row>
    <row r="237" spans="1:28" x14ac:dyDescent="0.2">
      <c r="A237" t="s">
        <v>11</v>
      </c>
      <c r="B237">
        <v>1212</v>
      </c>
      <c r="C237">
        <v>7</v>
      </c>
      <c r="D237">
        <v>83</v>
      </c>
      <c r="E237" t="s">
        <v>12</v>
      </c>
      <c r="F237" s="1">
        <v>45147</v>
      </c>
      <c r="G237" t="s">
        <v>8</v>
      </c>
      <c r="H237" s="2">
        <v>20.61</v>
      </c>
      <c r="I237" s="2">
        <v>43.73</v>
      </c>
      <c r="J237" s="2">
        <v>39.770000000000003</v>
      </c>
      <c r="K237" s="2">
        <f t="shared" si="75"/>
        <v>316.88</v>
      </c>
      <c r="L237" s="2">
        <v>5.45</v>
      </c>
      <c r="M237" s="2">
        <v>0.17</v>
      </c>
      <c r="N237" s="6">
        <f t="shared" si="78"/>
        <v>7.2914189222278853</v>
      </c>
      <c r="O237" s="6">
        <f t="shared" si="79"/>
        <v>1.8519886489392046</v>
      </c>
      <c r="P237" s="6">
        <f t="shared" si="80"/>
        <v>97.257603534676278</v>
      </c>
      <c r="Q237" s="6">
        <f t="shared" si="76"/>
        <v>3.2186811663226789</v>
      </c>
      <c r="R237" s="10">
        <f t="shared" si="77"/>
        <v>3.2186811663226789E-3</v>
      </c>
      <c r="S237" s="3">
        <f t="shared" si="81"/>
        <v>5.793626099380822E-2</v>
      </c>
      <c r="T237" s="4">
        <f t="shared" si="82"/>
        <v>5.7936260993808219E-5</v>
      </c>
      <c r="U237" s="3">
        <f t="shared" si="83"/>
        <v>0.2085705395777096</v>
      </c>
      <c r="V237" s="2">
        <v>7.91</v>
      </c>
      <c r="W237" s="2">
        <v>2.14</v>
      </c>
      <c r="X237" s="2">
        <f t="shared" si="84"/>
        <v>21400</v>
      </c>
      <c r="Y237" s="5">
        <v>-0.43</v>
      </c>
      <c r="Z237" s="5">
        <v>-2.98</v>
      </c>
      <c r="AA237" s="2">
        <f t="shared" si="85"/>
        <v>2.5499999999999998</v>
      </c>
      <c r="AB237" s="3">
        <f t="shared" si="86"/>
        <v>8.1792368461846912E-2</v>
      </c>
    </row>
    <row r="238" spans="1:28" x14ac:dyDescent="0.2">
      <c r="A238" t="s">
        <v>11</v>
      </c>
      <c r="B238">
        <v>1212</v>
      </c>
      <c r="C238">
        <v>8</v>
      </c>
      <c r="D238">
        <v>38</v>
      </c>
      <c r="E238" t="s">
        <v>12</v>
      </c>
      <c r="F238" s="1">
        <v>45147</v>
      </c>
      <c r="G238" t="s">
        <v>8</v>
      </c>
      <c r="H238" s="2">
        <v>20.11</v>
      </c>
      <c r="I238" s="2">
        <v>43.55</v>
      </c>
      <c r="J238" s="2">
        <v>36.869999999999997</v>
      </c>
      <c r="K238" s="2">
        <f t="shared" si="75"/>
        <v>316.7</v>
      </c>
      <c r="L238" s="2">
        <v>4.4400000000000004</v>
      </c>
      <c r="M238" s="2">
        <v>0.33</v>
      </c>
      <c r="N238" s="6">
        <f t="shared" si="78"/>
        <v>6.2332439269658364</v>
      </c>
      <c r="O238" s="6">
        <f t="shared" si="79"/>
        <v>1.790202995134357</v>
      </c>
      <c r="P238" s="6">
        <f t="shared" si="80"/>
        <v>97.255338843467271</v>
      </c>
      <c r="Q238" s="6">
        <f t="shared" si="76"/>
        <v>6.0847096204269269</v>
      </c>
      <c r="R238" s="10">
        <f t="shared" si="77"/>
        <v>6.0847096204269266E-3</v>
      </c>
      <c r="S238" s="3">
        <f t="shared" si="81"/>
        <v>0.10952477316768468</v>
      </c>
      <c r="T238" s="4">
        <f t="shared" si="82"/>
        <v>1.0952477316768468E-4</v>
      </c>
      <c r="U238" s="3">
        <f t="shared" si="83"/>
        <v>0.39428918340366487</v>
      </c>
      <c r="V238" s="2">
        <v>13.38</v>
      </c>
      <c r="W238" s="2">
        <v>3.28</v>
      </c>
      <c r="X238" s="2">
        <f t="shared" si="84"/>
        <v>32800</v>
      </c>
      <c r="Y238" s="5">
        <v>-0.57999999999999996</v>
      </c>
      <c r="Z238" s="5">
        <v>-2.4700000000000002</v>
      </c>
      <c r="AA238" s="2">
        <f t="shared" si="85"/>
        <v>1.8900000000000001</v>
      </c>
      <c r="AB238" s="3">
        <f t="shared" si="86"/>
        <v>0.20861861555749461</v>
      </c>
    </row>
    <row r="239" spans="1:28" x14ac:dyDescent="0.2">
      <c r="A239" t="s">
        <v>11</v>
      </c>
      <c r="B239">
        <v>1212</v>
      </c>
      <c r="C239">
        <v>8</v>
      </c>
      <c r="D239">
        <v>39</v>
      </c>
      <c r="E239" t="s">
        <v>12</v>
      </c>
      <c r="F239" s="1">
        <v>45148</v>
      </c>
      <c r="G239" t="s">
        <v>8</v>
      </c>
      <c r="H239" s="2">
        <v>19.850000000000001</v>
      </c>
      <c r="I239" s="2">
        <v>43.19</v>
      </c>
      <c r="J239" s="2">
        <v>35.75</v>
      </c>
      <c r="K239" s="2">
        <f t="shared" si="75"/>
        <v>316.33999999999997</v>
      </c>
      <c r="L239" s="2">
        <v>4.13</v>
      </c>
      <c r="M239" s="2">
        <v>0.24</v>
      </c>
      <c r="N239" s="6">
        <f t="shared" si="78"/>
        <v>5.8618157850937784</v>
      </c>
      <c r="O239" s="6">
        <f t="shared" si="79"/>
        <v>1.7341833444634434</v>
      </c>
      <c r="P239" s="6">
        <f t="shared" si="80"/>
        <v>97.250801887936873</v>
      </c>
      <c r="Q239" s="6">
        <f t="shared" si="76"/>
        <v>4.2738546146020298</v>
      </c>
      <c r="R239" s="10">
        <f t="shared" si="77"/>
        <v>4.2738546146020295E-3</v>
      </c>
      <c r="S239" s="3">
        <f t="shared" si="81"/>
        <v>7.6929383062836532E-2</v>
      </c>
      <c r="T239" s="4">
        <f t="shared" si="82"/>
        <v>7.6929383062836532E-5</v>
      </c>
      <c r="U239" s="3">
        <f t="shared" si="83"/>
        <v>0.27694577902621154</v>
      </c>
      <c r="V239" s="2">
        <v>3.71</v>
      </c>
      <c r="W239" s="2">
        <v>1.36</v>
      </c>
      <c r="X239" s="2">
        <f t="shared" si="84"/>
        <v>13600.000000000002</v>
      </c>
      <c r="Y239" s="5">
        <v>-0.48</v>
      </c>
      <c r="Z239" s="5">
        <v>-2.2799999999999998</v>
      </c>
      <c r="AA239" s="2">
        <f t="shared" si="85"/>
        <v>1.7999999999999998</v>
      </c>
      <c r="AB239" s="3">
        <f t="shared" si="86"/>
        <v>0.15385876612567309</v>
      </c>
    </row>
    <row r="240" spans="1:28" x14ac:dyDescent="0.2">
      <c r="A240" t="s">
        <v>11</v>
      </c>
      <c r="B240">
        <v>1212</v>
      </c>
      <c r="C240">
        <v>8</v>
      </c>
      <c r="D240">
        <v>40</v>
      </c>
      <c r="E240" t="s">
        <v>12</v>
      </c>
      <c r="F240" s="1">
        <v>45148</v>
      </c>
      <c r="G240" t="s">
        <v>8</v>
      </c>
      <c r="H240" s="2">
        <v>22</v>
      </c>
      <c r="I240" s="2">
        <v>43.02</v>
      </c>
      <c r="J240" s="2">
        <v>37.22</v>
      </c>
      <c r="K240" s="2">
        <f t="shared" si="75"/>
        <v>316.16999999999996</v>
      </c>
      <c r="L240" s="2">
        <v>4.45</v>
      </c>
      <c r="M240" s="2">
        <v>0.21</v>
      </c>
      <c r="N240" s="6">
        <f t="shared" si="78"/>
        <v>6.3534288984940606</v>
      </c>
      <c r="O240" s="6">
        <f t="shared" si="79"/>
        <v>1.9050162558673542</v>
      </c>
      <c r="P240" s="6">
        <f t="shared" si="80"/>
        <v>97.248655919028892</v>
      </c>
      <c r="Q240" s="6">
        <f t="shared" si="76"/>
        <v>4.1102888765533923</v>
      </c>
      <c r="R240" s="10">
        <f t="shared" si="77"/>
        <v>4.1102888765533925E-3</v>
      </c>
      <c r="S240" s="3">
        <f t="shared" si="81"/>
        <v>7.3985199777961058E-2</v>
      </c>
      <c r="T240" s="4">
        <f t="shared" si="82"/>
        <v>7.3985199777961064E-5</v>
      </c>
      <c r="U240" s="3">
        <f t="shared" si="83"/>
        <v>0.26634671920065983</v>
      </c>
      <c r="V240" s="2">
        <v>4.62</v>
      </c>
      <c r="W240" s="2">
        <v>1.66</v>
      </c>
      <c r="X240" s="2">
        <f t="shared" si="84"/>
        <v>16600</v>
      </c>
      <c r="Y240" s="5">
        <v>-0.6</v>
      </c>
      <c r="Z240" s="5">
        <v>-3.11</v>
      </c>
      <c r="AA240" s="2">
        <f t="shared" si="85"/>
        <v>2.5099999999999998</v>
      </c>
      <c r="AB240" s="3">
        <f t="shared" si="86"/>
        <v>0.106114230757235</v>
      </c>
    </row>
    <row r="241" spans="1:28" x14ac:dyDescent="0.2">
      <c r="A241" t="s">
        <v>11</v>
      </c>
      <c r="B241">
        <v>1212</v>
      </c>
      <c r="C241">
        <v>10</v>
      </c>
      <c r="D241">
        <v>21</v>
      </c>
      <c r="E241" t="s">
        <v>12</v>
      </c>
      <c r="F241" s="1">
        <v>45147</v>
      </c>
      <c r="G241" t="s">
        <v>8</v>
      </c>
      <c r="H241" s="2">
        <v>18.850000000000001</v>
      </c>
      <c r="I241" s="2">
        <v>44.05</v>
      </c>
      <c r="J241" s="2">
        <v>39.14</v>
      </c>
      <c r="K241" s="2">
        <f t="shared" si="75"/>
        <v>317.2</v>
      </c>
      <c r="L241" s="2">
        <v>5.33</v>
      </c>
      <c r="M241" s="2">
        <v>0.16</v>
      </c>
      <c r="N241" s="6">
        <f t="shared" si="78"/>
        <v>7.04917432145864</v>
      </c>
      <c r="O241" s="6">
        <f t="shared" si="79"/>
        <v>1.7222443100273428</v>
      </c>
      <c r="P241" s="6">
        <f t="shared" si="80"/>
        <v>97.261623435917727</v>
      </c>
      <c r="Q241" s="6">
        <f t="shared" si="76"/>
        <v>2.8281235878672635</v>
      </c>
      <c r="R241" s="10">
        <f t="shared" si="77"/>
        <v>2.8281235878672636E-3</v>
      </c>
      <c r="S241" s="3">
        <f t="shared" si="81"/>
        <v>5.0906224581610746E-2</v>
      </c>
      <c r="T241" s="4">
        <f t="shared" si="82"/>
        <v>5.0906224581610745E-5</v>
      </c>
      <c r="U241" s="3">
        <f t="shared" si="83"/>
        <v>0.18326240849379868</v>
      </c>
      <c r="V241" s="2">
        <v>4.78</v>
      </c>
      <c r="W241" s="2">
        <v>1.38</v>
      </c>
      <c r="X241" s="2">
        <f t="shared" si="84"/>
        <v>13799.999999999998</v>
      </c>
      <c r="Y241" s="5">
        <v>-0.44</v>
      </c>
      <c r="Z241" s="5">
        <v>-2.76</v>
      </c>
      <c r="AA241" s="2">
        <f t="shared" si="85"/>
        <v>2.3199999999999998</v>
      </c>
      <c r="AB241" s="3">
        <f t="shared" si="86"/>
        <v>7.8992417454223571E-2</v>
      </c>
    </row>
    <row r="242" spans="1:28" x14ac:dyDescent="0.2">
      <c r="A242" t="s">
        <v>11</v>
      </c>
      <c r="B242">
        <v>1212</v>
      </c>
      <c r="C242">
        <v>10</v>
      </c>
      <c r="D242">
        <v>41</v>
      </c>
      <c r="E242" t="s">
        <v>12</v>
      </c>
      <c r="F242" s="1">
        <v>45148</v>
      </c>
      <c r="G242" t="s">
        <v>8</v>
      </c>
      <c r="H242" s="2">
        <v>20</v>
      </c>
      <c r="I242" s="2">
        <v>43.14</v>
      </c>
      <c r="J242" s="2">
        <v>36.630000000000003</v>
      </c>
      <c r="K242" s="2">
        <f t="shared" si="75"/>
        <v>316.28999999999996</v>
      </c>
      <c r="L242" s="2">
        <v>4.41</v>
      </c>
      <c r="M242" s="2">
        <v>0.18</v>
      </c>
      <c r="N242" s="6">
        <f t="shared" si="78"/>
        <v>6.1519767474551017</v>
      </c>
      <c r="O242" s="6">
        <f t="shared" si="79"/>
        <v>1.7427300642220815</v>
      </c>
      <c r="P242" s="6">
        <f t="shared" si="80"/>
        <v>97.250170955160456</v>
      </c>
      <c r="Q242" s="6">
        <f t="shared" si="76"/>
        <v>3.2242186462221314</v>
      </c>
      <c r="R242" s="10">
        <f t="shared" si="77"/>
        <v>3.2242186462221314E-3</v>
      </c>
      <c r="S242" s="3">
        <f t="shared" si="81"/>
        <v>5.8035935631998367E-2</v>
      </c>
      <c r="T242" s="4">
        <f t="shared" si="82"/>
        <v>5.8035935631998367E-5</v>
      </c>
      <c r="U242" s="3">
        <f t="shared" si="83"/>
        <v>0.20892936827519412</v>
      </c>
      <c r="V242" s="2">
        <v>15.53</v>
      </c>
      <c r="W242" s="2">
        <v>3.35</v>
      </c>
      <c r="X242" s="2">
        <f t="shared" si="84"/>
        <v>33500</v>
      </c>
      <c r="Y242" s="5">
        <v>-0.65</v>
      </c>
      <c r="Z242" s="5">
        <v>-2.09</v>
      </c>
      <c r="AA242" s="2">
        <f t="shared" si="85"/>
        <v>1.44</v>
      </c>
      <c r="AB242" s="3">
        <f t="shared" si="86"/>
        <v>0.14508983907999592</v>
      </c>
    </row>
    <row r="243" spans="1:28" x14ac:dyDescent="0.2">
      <c r="A243" t="s">
        <v>11</v>
      </c>
      <c r="B243">
        <v>1212</v>
      </c>
      <c r="C243">
        <v>10</v>
      </c>
      <c r="D243">
        <v>42</v>
      </c>
      <c r="E243" t="s">
        <v>12</v>
      </c>
      <c r="F243" s="1">
        <v>45148</v>
      </c>
      <c r="G243" t="s">
        <v>8</v>
      </c>
      <c r="H243" s="2">
        <v>19.53</v>
      </c>
      <c r="I243" s="2">
        <v>43.13</v>
      </c>
      <c r="J243" s="2">
        <v>36.380000000000003</v>
      </c>
      <c r="K243" s="2">
        <f t="shared" si="75"/>
        <v>316.27999999999997</v>
      </c>
      <c r="L243" s="2">
        <v>4.37</v>
      </c>
      <c r="M243" s="2">
        <v>0.24</v>
      </c>
      <c r="N243" s="6">
        <f t="shared" si="78"/>
        <v>6.0683033484517113</v>
      </c>
      <c r="O243" s="6">
        <f t="shared" si="79"/>
        <v>1.7008869485349787</v>
      </c>
      <c r="P243" s="6">
        <f t="shared" si="80"/>
        <v>97.25004474515822</v>
      </c>
      <c r="Q243" s="6">
        <f t="shared" si="76"/>
        <v>4.1911837130409486</v>
      </c>
      <c r="R243" s="10">
        <f t="shared" si="77"/>
        <v>4.1911837130409486E-3</v>
      </c>
      <c r="S243" s="3">
        <f t="shared" si="81"/>
        <v>7.5441306834737071E-2</v>
      </c>
      <c r="T243" s="4">
        <f t="shared" si="82"/>
        <v>7.5441306834737073E-5</v>
      </c>
      <c r="U243" s="3">
        <f t="shared" si="83"/>
        <v>0.27158870460505347</v>
      </c>
      <c r="V243" s="2">
        <v>14.52</v>
      </c>
      <c r="W243" s="2">
        <v>3.06</v>
      </c>
      <c r="X243" s="2">
        <f t="shared" si="84"/>
        <v>30600</v>
      </c>
      <c r="Y243" s="5">
        <v>-0.51</v>
      </c>
      <c r="Z243" s="5">
        <v>-2.25</v>
      </c>
      <c r="AA243" s="2">
        <f t="shared" si="85"/>
        <v>1.74</v>
      </c>
      <c r="AB243" s="3">
        <f t="shared" si="86"/>
        <v>0.15608546241669741</v>
      </c>
    </row>
    <row r="244" spans="1:28" x14ac:dyDescent="0.2">
      <c r="F244" s="1"/>
      <c r="N244" s="6"/>
      <c r="O244" s="6"/>
      <c r="P244" s="6"/>
      <c r="Q244" s="6"/>
      <c r="R244" s="10"/>
      <c r="S244" s="3"/>
      <c r="T244" s="4"/>
      <c r="U244" s="3"/>
      <c r="Z244" s="5"/>
      <c r="AB244" s="3"/>
    </row>
    <row r="245" spans="1:28" x14ac:dyDescent="0.2">
      <c r="A245" t="s">
        <v>6</v>
      </c>
      <c r="B245">
        <v>72</v>
      </c>
      <c r="C245">
        <v>156</v>
      </c>
      <c r="D245">
        <v>43</v>
      </c>
      <c r="E245" t="s">
        <v>7</v>
      </c>
      <c r="F245" s="1">
        <v>45155</v>
      </c>
      <c r="G245" t="s">
        <v>8</v>
      </c>
      <c r="H245" s="2">
        <v>33.15</v>
      </c>
      <c r="I245" s="2">
        <v>35.950000000000003</v>
      </c>
      <c r="J245" s="2">
        <v>32.65</v>
      </c>
      <c r="K245" s="2">
        <f t="shared" si="75"/>
        <v>309.09999999999997</v>
      </c>
      <c r="L245" s="2">
        <v>2.98</v>
      </c>
      <c r="M245" s="2">
        <v>0.26</v>
      </c>
      <c r="N245" s="6">
        <f t="shared" ref="N245:N276" si="87">0.611*EXP((17.502*J245)/(240.97+J245))</f>
        <v>4.9322072396159182</v>
      </c>
      <c r="O245" s="6">
        <f t="shared" ref="O245:O276" si="88">(0.611*EXP((17.502*I245)/(240.97+I245)))*(H245/100)</f>
        <v>1.9646996295068571</v>
      </c>
      <c r="P245" s="6">
        <f t="shared" ref="P245:P276" si="89">101.325*EXP(-380/(29.27*K245))</f>
        <v>97.157362325682854</v>
      </c>
      <c r="Q245" s="6">
        <f t="shared" si="76"/>
        <v>5.2242451848238911</v>
      </c>
      <c r="R245" s="10">
        <f t="shared" ref="R245:R259" si="90">Q245/1000</f>
        <v>5.2242451848238912E-3</v>
      </c>
      <c r="S245" s="3">
        <f t="shared" ref="S245:S276" si="91">R245*18</f>
        <v>9.4036413326830048E-2</v>
      </c>
      <c r="T245" s="4">
        <f t="shared" ref="T245:T276" si="92">S245/1000</f>
        <v>9.4036413326830043E-5</v>
      </c>
      <c r="U245" s="3">
        <f t="shared" ref="U245:U276" si="93">T245*3600</f>
        <v>0.33853108797658815</v>
      </c>
      <c r="V245" s="2">
        <v>18.53</v>
      </c>
      <c r="W245" s="2">
        <v>3.87</v>
      </c>
      <c r="X245" s="2">
        <f t="shared" ref="X245:X276" si="94">W245*10000</f>
        <v>38700</v>
      </c>
      <c r="Y245" s="5">
        <v>-0.36</v>
      </c>
      <c r="Z245" s="5">
        <v>-1.89</v>
      </c>
      <c r="AA245" s="2">
        <f t="shared" ref="AA245:AA276" si="95">Y245-Z245</f>
        <v>1.5299999999999998</v>
      </c>
      <c r="AB245" s="3">
        <f t="shared" ref="AB245:AB276" si="96">U245/AA245</f>
        <v>0.22126214900430602</v>
      </c>
    </row>
    <row r="246" spans="1:28" x14ac:dyDescent="0.2">
      <c r="A246" t="s">
        <v>6</v>
      </c>
      <c r="B246">
        <v>72</v>
      </c>
      <c r="C246">
        <v>156</v>
      </c>
      <c r="D246">
        <v>44</v>
      </c>
      <c r="E246" t="s">
        <v>7</v>
      </c>
      <c r="F246" s="1">
        <v>45154</v>
      </c>
      <c r="G246" t="s">
        <v>8</v>
      </c>
      <c r="H246" s="2">
        <v>32.33</v>
      </c>
      <c r="I246" s="2">
        <v>37.69</v>
      </c>
      <c r="J246" s="2">
        <v>32.869999999999997</v>
      </c>
      <c r="K246" s="2">
        <f t="shared" si="75"/>
        <v>310.83999999999997</v>
      </c>
      <c r="L246" s="2">
        <v>2.89</v>
      </c>
      <c r="M246" s="2">
        <v>0.39</v>
      </c>
      <c r="N246" s="6">
        <f t="shared" si="87"/>
        <v>4.9936628668631604</v>
      </c>
      <c r="O246" s="6">
        <f t="shared" si="88"/>
        <v>2.1072634307708471</v>
      </c>
      <c r="P246" s="6">
        <f t="shared" si="89"/>
        <v>97.180207842531786</v>
      </c>
      <c r="Q246" s="6">
        <f t="shared" si="76"/>
        <v>8.4423416690570683</v>
      </c>
      <c r="R246" s="10">
        <f t="shared" si="90"/>
        <v>8.4423416690570675E-3</v>
      </c>
      <c r="S246" s="3">
        <f t="shared" si="91"/>
        <v>0.15196215004302721</v>
      </c>
      <c r="T246" s="4">
        <f t="shared" si="92"/>
        <v>1.5196215004302722E-4</v>
      </c>
      <c r="U246" s="3">
        <f t="shared" si="93"/>
        <v>0.547063740154898</v>
      </c>
      <c r="V246" s="2">
        <v>5.08</v>
      </c>
      <c r="W246" s="2">
        <v>1.59</v>
      </c>
      <c r="X246" s="2">
        <f t="shared" si="94"/>
        <v>15900</v>
      </c>
      <c r="Y246" s="5">
        <v>-0.88</v>
      </c>
      <c r="Z246" s="5">
        <v>-1.81</v>
      </c>
      <c r="AA246" s="2">
        <f t="shared" si="95"/>
        <v>0.93</v>
      </c>
      <c r="AB246" s="3">
        <f t="shared" si="96"/>
        <v>0.58824058081171826</v>
      </c>
    </row>
    <row r="247" spans="1:28" x14ac:dyDescent="0.2">
      <c r="A247" t="s">
        <v>6</v>
      </c>
      <c r="B247">
        <v>72</v>
      </c>
      <c r="C247">
        <v>156</v>
      </c>
      <c r="D247">
        <v>45</v>
      </c>
      <c r="E247" t="s">
        <v>7</v>
      </c>
      <c r="F247" s="1">
        <v>45155</v>
      </c>
      <c r="G247" t="s">
        <v>8</v>
      </c>
      <c r="H247" s="2">
        <v>30.24</v>
      </c>
      <c r="I247" s="2">
        <v>37.18</v>
      </c>
      <c r="J247" s="2">
        <v>32.67</v>
      </c>
      <c r="K247" s="2">
        <f t="shared" si="75"/>
        <v>310.33</v>
      </c>
      <c r="L247" s="2">
        <v>3.02</v>
      </c>
      <c r="M247" s="2">
        <v>0.28000000000000003</v>
      </c>
      <c r="N247" s="6">
        <f t="shared" si="87"/>
        <v>4.9377667839853716</v>
      </c>
      <c r="O247" s="6">
        <f t="shared" si="88"/>
        <v>1.9170927541685223</v>
      </c>
      <c r="P247" s="6">
        <f t="shared" si="89"/>
        <v>97.173537727750045</v>
      </c>
      <c r="Q247" s="6">
        <f t="shared" si="76"/>
        <v>5.5259354765938422</v>
      </c>
      <c r="R247" s="10">
        <f t="shared" si="90"/>
        <v>5.5259354765938426E-3</v>
      </c>
      <c r="S247" s="3">
        <f t="shared" si="91"/>
        <v>9.9466838578689168E-2</v>
      </c>
      <c r="T247" s="4">
        <f t="shared" si="92"/>
        <v>9.9466838578689167E-5</v>
      </c>
      <c r="U247" s="3">
        <f t="shared" si="93"/>
        <v>0.35808061888328102</v>
      </c>
      <c r="V247" s="2">
        <v>13.38</v>
      </c>
      <c r="W247" s="2">
        <v>3.64</v>
      </c>
      <c r="X247" s="2">
        <f t="shared" si="94"/>
        <v>36400</v>
      </c>
      <c r="Y247" s="5">
        <v>-0.83</v>
      </c>
      <c r="Z247" s="5">
        <v>-2.33</v>
      </c>
      <c r="AA247" s="2">
        <f t="shared" si="95"/>
        <v>1.5</v>
      </c>
      <c r="AB247" s="3">
        <f t="shared" si="96"/>
        <v>0.23872041258885401</v>
      </c>
    </row>
    <row r="248" spans="1:28" x14ac:dyDescent="0.2">
      <c r="A248" t="s">
        <v>6</v>
      </c>
      <c r="B248">
        <v>72</v>
      </c>
      <c r="C248">
        <v>149</v>
      </c>
      <c r="D248">
        <v>46</v>
      </c>
      <c r="E248" t="s">
        <v>7</v>
      </c>
      <c r="F248" s="1">
        <v>45155</v>
      </c>
      <c r="G248" t="s">
        <v>8</v>
      </c>
      <c r="H248" s="2">
        <v>33.26</v>
      </c>
      <c r="I248" s="2">
        <v>36.270000000000003</v>
      </c>
      <c r="J248" s="2">
        <v>32.39</v>
      </c>
      <c r="K248" s="2">
        <f t="shared" si="75"/>
        <v>309.41999999999996</v>
      </c>
      <c r="L248" s="2">
        <v>2.86</v>
      </c>
      <c r="M248" s="2">
        <v>0.38</v>
      </c>
      <c r="N248" s="6">
        <f t="shared" si="87"/>
        <v>4.8604273188327527</v>
      </c>
      <c r="O248" s="6">
        <f t="shared" si="88"/>
        <v>2.0061771163382485</v>
      </c>
      <c r="P248" s="6">
        <f t="shared" si="89"/>
        <v>97.161582677088958</v>
      </c>
      <c r="Q248" s="6">
        <f t="shared" si="76"/>
        <v>7.8236928651399475</v>
      </c>
      <c r="R248" s="10">
        <f t="shared" si="90"/>
        <v>7.8236928651399477E-3</v>
      </c>
      <c r="S248" s="3">
        <f t="shared" si="91"/>
        <v>0.14082647157251907</v>
      </c>
      <c r="T248" s="4">
        <f t="shared" si="92"/>
        <v>1.4082647157251908E-4</v>
      </c>
      <c r="U248" s="3">
        <f t="shared" si="93"/>
        <v>0.50697529766106875</v>
      </c>
      <c r="V248" s="2">
        <v>10.99</v>
      </c>
      <c r="W248" s="2">
        <v>2.0499999999999998</v>
      </c>
      <c r="X248" s="2">
        <f t="shared" si="94"/>
        <v>20500</v>
      </c>
      <c r="Y248" s="5">
        <v>-0.61</v>
      </c>
      <c r="Z248" s="5">
        <v>-1.66</v>
      </c>
      <c r="AA248" s="2">
        <f t="shared" si="95"/>
        <v>1.0499999999999998</v>
      </c>
      <c r="AB248" s="3">
        <f t="shared" si="96"/>
        <v>0.48283361682006554</v>
      </c>
    </row>
    <row r="249" spans="1:28" x14ac:dyDescent="0.2">
      <c r="A249" t="s">
        <v>6</v>
      </c>
      <c r="B249">
        <v>72</v>
      </c>
      <c r="C249">
        <v>149</v>
      </c>
      <c r="D249">
        <v>47</v>
      </c>
      <c r="E249" t="s">
        <v>7</v>
      </c>
      <c r="F249" s="1">
        <v>45154</v>
      </c>
      <c r="G249" t="s">
        <v>8</v>
      </c>
      <c r="H249" s="2">
        <v>47.13</v>
      </c>
      <c r="I249" s="2">
        <v>32.57</v>
      </c>
      <c r="J249" s="2">
        <v>29.99</v>
      </c>
      <c r="K249" s="2">
        <f t="shared" si="75"/>
        <v>305.71999999999997</v>
      </c>
      <c r="L249" s="2">
        <v>1.93</v>
      </c>
      <c r="M249" s="2">
        <v>0.38</v>
      </c>
      <c r="N249" s="6">
        <f t="shared" si="87"/>
        <v>4.2396153602821833</v>
      </c>
      <c r="O249" s="6">
        <f t="shared" si="88"/>
        <v>2.3140940751842045</v>
      </c>
      <c r="P249" s="6">
        <f t="shared" si="89"/>
        <v>97.112256815049491</v>
      </c>
      <c r="Q249" s="6">
        <f t="shared" si="76"/>
        <v>9.0375186994029342</v>
      </c>
      <c r="R249" s="10">
        <f t="shared" si="90"/>
        <v>9.0375186994029345E-3</v>
      </c>
      <c r="S249" s="3">
        <f t="shared" si="91"/>
        <v>0.16267533658925282</v>
      </c>
      <c r="T249" s="4">
        <f t="shared" si="92"/>
        <v>1.6267533658925282E-4</v>
      </c>
      <c r="U249" s="3">
        <f t="shared" si="93"/>
        <v>0.58563121172131016</v>
      </c>
      <c r="V249" s="2">
        <v>10.98</v>
      </c>
      <c r="W249" s="2">
        <v>2.5099999999999998</v>
      </c>
      <c r="X249" s="2">
        <f t="shared" si="94"/>
        <v>25099.999999999996</v>
      </c>
      <c r="Y249" s="5">
        <v>-0.75</v>
      </c>
      <c r="Z249" s="5">
        <v>-2.13</v>
      </c>
      <c r="AA249" s="2">
        <f t="shared" si="95"/>
        <v>1.38</v>
      </c>
      <c r="AB249" s="3">
        <f t="shared" si="96"/>
        <v>0.42437044327631174</v>
      </c>
    </row>
    <row r="250" spans="1:28" x14ac:dyDescent="0.2">
      <c r="A250" t="s">
        <v>6</v>
      </c>
      <c r="B250">
        <v>72</v>
      </c>
      <c r="C250">
        <v>149</v>
      </c>
      <c r="D250">
        <v>48</v>
      </c>
      <c r="E250" t="s">
        <v>7</v>
      </c>
      <c r="F250" s="1">
        <v>45154</v>
      </c>
      <c r="G250" t="s">
        <v>8</v>
      </c>
      <c r="H250" s="2">
        <v>40.590000000000003</v>
      </c>
      <c r="I250" s="2">
        <v>35.51</v>
      </c>
      <c r="J250" s="2">
        <v>32.54</v>
      </c>
      <c r="K250" s="2">
        <f t="shared" si="75"/>
        <v>308.65999999999997</v>
      </c>
      <c r="L250" s="2">
        <v>2.56</v>
      </c>
      <c r="M250" s="2">
        <v>0.37</v>
      </c>
      <c r="N250" s="6">
        <f t="shared" si="87"/>
        <v>4.9017270118377088</v>
      </c>
      <c r="O250" s="6">
        <f t="shared" si="88"/>
        <v>2.3480402143191137</v>
      </c>
      <c r="P250" s="6">
        <f t="shared" si="89"/>
        <v>97.151545354553448</v>
      </c>
      <c r="Q250" s="6">
        <f t="shared" si="76"/>
        <v>8.9184273005426</v>
      </c>
      <c r="R250" s="10">
        <f t="shared" si="90"/>
        <v>8.9184273005426008E-3</v>
      </c>
      <c r="S250" s="3">
        <f t="shared" si="91"/>
        <v>0.16053169140976681</v>
      </c>
      <c r="T250" s="4">
        <f t="shared" si="92"/>
        <v>1.6053169140976681E-4</v>
      </c>
      <c r="U250" s="3">
        <f t="shared" si="93"/>
        <v>0.57791408907516051</v>
      </c>
      <c r="V250" s="2">
        <v>17.25</v>
      </c>
      <c r="W250" s="2">
        <v>2.85</v>
      </c>
      <c r="X250" s="2">
        <f t="shared" si="94"/>
        <v>28500</v>
      </c>
      <c r="Y250" s="5">
        <v>-0.81</v>
      </c>
      <c r="Z250" s="5">
        <v>-2.1800000000000002</v>
      </c>
      <c r="AA250" s="2">
        <f t="shared" si="95"/>
        <v>1.37</v>
      </c>
      <c r="AB250" s="3">
        <f t="shared" si="96"/>
        <v>0.42183510151471565</v>
      </c>
    </row>
    <row r="251" spans="1:28" x14ac:dyDescent="0.2">
      <c r="A251" t="s">
        <v>6</v>
      </c>
      <c r="B251">
        <v>72</v>
      </c>
      <c r="C251">
        <v>152</v>
      </c>
      <c r="D251">
        <v>49</v>
      </c>
      <c r="E251" t="s">
        <v>7</v>
      </c>
      <c r="F251" s="1">
        <v>45155</v>
      </c>
      <c r="G251" t="s">
        <v>8</v>
      </c>
      <c r="H251" s="2">
        <v>36.22</v>
      </c>
      <c r="I251" s="2">
        <v>33.96</v>
      </c>
      <c r="J251" s="2">
        <v>29.92</v>
      </c>
      <c r="K251" s="2">
        <f t="shared" si="75"/>
        <v>307.10999999999996</v>
      </c>
      <c r="L251" s="2">
        <v>2.31</v>
      </c>
      <c r="M251" s="2">
        <v>0.34</v>
      </c>
      <c r="N251" s="6">
        <f t="shared" si="87"/>
        <v>4.222597541025281</v>
      </c>
      <c r="O251" s="6">
        <f t="shared" si="88"/>
        <v>1.9225859645484291</v>
      </c>
      <c r="P251" s="6">
        <f t="shared" si="89"/>
        <v>97.130923777300438</v>
      </c>
      <c r="Q251" s="6">
        <f t="shared" si="76"/>
        <v>6.6949138200265645</v>
      </c>
      <c r="R251" s="10">
        <f t="shared" si="90"/>
        <v>6.6949138200265643E-3</v>
      </c>
      <c r="S251" s="3">
        <f t="shared" si="91"/>
        <v>0.12050844876047816</v>
      </c>
      <c r="T251" s="4">
        <f t="shared" si="92"/>
        <v>1.2050844876047815E-4</v>
      </c>
      <c r="U251" s="3">
        <f t="shared" si="93"/>
        <v>0.43383041553772134</v>
      </c>
      <c r="V251" s="2">
        <v>16.68</v>
      </c>
      <c r="W251" s="2">
        <v>2.78</v>
      </c>
      <c r="X251" s="2">
        <f t="shared" si="94"/>
        <v>27799.999999999996</v>
      </c>
      <c r="Y251" s="5">
        <v>-0.78</v>
      </c>
      <c r="Z251" s="5">
        <v>-1.66</v>
      </c>
      <c r="AA251" s="2">
        <f t="shared" si="95"/>
        <v>0.87999999999999989</v>
      </c>
      <c r="AB251" s="3">
        <f t="shared" si="96"/>
        <v>0.49298910856559247</v>
      </c>
    </row>
    <row r="252" spans="1:28" x14ac:dyDescent="0.2">
      <c r="A252" t="s">
        <v>6</v>
      </c>
      <c r="B252">
        <v>72</v>
      </c>
      <c r="C252">
        <v>152</v>
      </c>
      <c r="D252">
        <v>50</v>
      </c>
      <c r="E252" t="s">
        <v>7</v>
      </c>
      <c r="F252" s="1">
        <v>45154</v>
      </c>
      <c r="G252" t="s">
        <v>8</v>
      </c>
      <c r="H252" s="2">
        <v>44.3</v>
      </c>
      <c r="I252" s="2">
        <v>34.53</v>
      </c>
      <c r="J252" s="2">
        <v>30.79</v>
      </c>
      <c r="K252" s="2">
        <f t="shared" si="75"/>
        <v>307.67999999999995</v>
      </c>
      <c r="L252" s="2">
        <v>2.0099999999999998</v>
      </c>
      <c r="M252" s="2">
        <v>0.24</v>
      </c>
      <c r="N252" s="6">
        <f t="shared" si="87"/>
        <v>4.4383913578498166</v>
      </c>
      <c r="O252" s="6">
        <f t="shared" si="88"/>
        <v>2.4273072693855426</v>
      </c>
      <c r="P252" s="6">
        <f t="shared" si="89"/>
        <v>97.138530840598747</v>
      </c>
      <c r="Q252" s="6">
        <f t="shared" si="76"/>
        <v>5.9998223242673419</v>
      </c>
      <c r="R252" s="10">
        <f t="shared" si="90"/>
        <v>5.9998223242673423E-3</v>
      </c>
      <c r="S252" s="3">
        <f t="shared" si="91"/>
        <v>0.10799680183681216</v>
      </c>
      <c r="T252" s="4">
        <f t="shared" si="92"/>
        <v>1.0799680183681216E-4</v>
      </c>
      <c r="U252" s="3">
        <f t="shared" si="93"/>
        <v>0.38878848661252374</v>
      </c>
      <c r="V252" s="2">
        <v>29.47</v>
      </c>
      <c r="W252" s="2">
        <v>3.96</v>
      </c>
      <c r="X252" s="2">
        <f t="shared" si="94"/>
        <v>39600</v>
      </c>
      <c r="Y252" s="5">
        <v>-0.32</v>
      </c>
      <c r="Z252" s="5">
        <v>-1.74</v>
      </c>
      <c r="AA252" s="2">
        <f t="shared" si="95"/>
        <v>1.42</v>
      </c>
      <c r="AB252" s="3">
        <f t="shared" si="96"/>
        <v>0.27379470888205898</v>
      </c>
    </row>
    <row r="253" spans="1:28" x14ac:dyDescent="0.2">
      <c r="A253" t="s">
        <v>6</v>
      </c>
      <c r="B253">
        <v>72</v>
      </c>
      <c r="C253">
        <v>152</v>
      </c>
      <c r="D253">
        <v>51</v>
      </c>
      <c r="E253" t="s">
        <v>7</v>
      </c>
      <c r="F253" s="1">
        <v>45154</v>
      </c>
      <c r="G253" t="s">
        <v>8</v>
      </c>
      <c r="H253" s="2">
        <v>31.86</v>
      </c>
      <c r="I253" s="2">
        <v>37.85</v>
      </c>
      <c r="J253" s="2">
        <v>32.25</v>
      </c>
      <c r="K253" s="2">
        <f t="shared" si="75"/>
        <v>311</v>
      </c>
      <c r="L253" s="2">
        <v>2.73</v>
      </c>
      <c r="M253" s="2">
        <v>0.49</v>
      </c>
      <c r="N253" s="6">
        <f t="shared" si="87"/>
        <v>4.8221545255963862</v>
      </c>
      <c r="O253" s="6">
        <f t="shared" si="88"/>
        <v>2.0947430809116856</v>
      </c>
      <c r="P253" s="6">
        <f t="shared" si="89"/>
        <v>97.182296013517032</v>
      </c>
      <c r="Q253" s="6">
        <f t="shared" si="76"/>
        <v>10.548790876474465</v>
      </c>
      <c r="R253" s="10">
        <f t="shared" si="90"/>
        <v>1.0548790876474465E-2</v>
      </c>
      <c r="S253" s="3">
        <f t="shared" si="91"/>
        <v>0.18987823577654037</v>
      </c>
      <c r="T253" s="4">
        <f t="shared" si="92"/>
        <v>1.8987823577654037E-4</v>
      </c>
      <c r="U253" s="3">
        <f t="shared" si="93"/>
        <v>0.68356164879554537</v>
      </c>
      <c r="V253" s="2">
        <v>11.56</v>
      </c>
      <c r="W253" s="2">
        <v>1.91</v>
      </c>
      <c r="X253" s="2">
        <f t="shared" si="94"/>
        <v>19100</v>
      </c>
      <c r="Y253" s="5">
        <v>-0.37</v>
      </c>
      <c r="Z253" s="5">
        <v>-1.51</v>
      </c>
      <c r="AA253" s="2">
        <f t="shared" si="95"/>
        <v>1.1400000000000001</v>
      </c>
      <c r="AB253" s="3">
        <f t="shared" si="96"/>
        <v>0.59961548139960119</v>
      </c>
    </row>
    <row r="254" spans="1:28" x14ac:dyDescent="0.2">
      <c r="A254" t="s">
        <v>6</v>
      </c>
      <c r="B254">
        <v>72</v>
      </c>
      <c r="C254">
        <v>155</v>
      </c>
      <c r="D254">
        <v>58</v>
      </c>
      <c r="E254" t="s">
        <v>7</v>
      </c>
      <c r="F254" s="1">
        <v>45154</v>
      </c>
      <c r="G254" t="s">
        <v>8</v>
      </c>
      <c r="H254" s="2">
        <v>48.61</v>
      </c>
      <c r="I254" s="2">
        <v>32.26</v>
      </c>
      <c r="J254" s="2">
        <v>29.94</v>
      </c>
      <c r="K254" s="2">
        <f t="shared" si="75"/>
        <v>305.40999999999997</v>
      </c>
      <c r="L254" s="2">
        <v>1.88</v>
      </c>
      <c r="M254" s="2">
        <v>0.22</v>
      </c>
      <c r="N254" s="6">
        <f t="shared" si="87"/>
        <v>4.2274536893345003</v>
      </c>
      <c r="O254" s="6">
        <f t="shared" si="88"/>
        <v>2.3453739590103786</v>
      </c>
      <c r="P254" s="6">
        <f t="shared" si="89"/>
        <v>97.108070998881161</v>
      </c>
      <c r="Q254" s="6">
        <f t="shared" si="76"/>
        <v>5.3181965859412479</v>
      </c>
      <c r="R254" s="10">
        <f t="shared" si="90"/>
        <v>5.3181965859412476E-3</v>
      </c>
      <c r="S254" s="3">
        <f t="shared" si="91"/>
        <v>9.5727538546942464E-2</v>
      </c>
      <c r="T254" s="4">
        <f t="shared" si="92"/>
        <v>9.5727538546942461E-5</v>
      </c>
      <c r="U254" s="3">
        <f t="shared" si="93"/>
        <v>0.34461913876899286</v>
      </c>
      <c r="V254" s="2">
        <v>25.14</v>
      </c>
      <c r="W254" s="2">
        <v>4.53</v>
      </c>
      <c r="X254" s="2">
        <f t="shared" si="94"/>
        <v>45300</v>
      </c>
      <c r="Y254" s="5">
        <v>-0.47</v>
      </c>
      <c r="Z254" s="5">
        <v>-1.91</v>
      </c>
      <c r="AA254" s="2">
        <f t="shared" si="95"/>
        <v>1.44</v>
      </c>
      <c r="AB254" s="3">
        <f t="shared" si="96"/>
        <v>0.23931884636735617</v>
      </c>
    </row>
    <row r="255" spans="1:28" x14ac:dyDescent="0.2">
      <c r="A255" t="s">
        <v>6</v>
      </c>
      <c r="B255">
        <v>72</v>
      </c>
      <c r="C255">
        <v>155</v>
      </c>
      <c r="D255">
        <v>59</v>
      </c>
      <c r="E255" t="s">
        <v>7</v>
      </c>
      <c r="F255" s="1">
        <v>45155</v>
      </c>
      <c r="G255" t="s">
        <v>8</v>
      </c>
      <c r="H255" s="2">
        <v>35.880000000000003</v>
      </c>
      <c r="I255" s="2">
        <v>34.46</v>
      </c>
      <c r="J255" s="2">
        <v>31.45</v>
      </c>
      <c r="K255" s="2">
        <f t="shared" si="75"/>
        <v>307.60999999999996</v>
      </c>
      <c r="L255" s="2">
        <v>2.65</v>
      </c>
      <c r="M255" s="2">
        <v>0.21</v>
      </c>
      <c r="N255" s="6">
        <f t="shared" si="87"/>
        <v>4.6084448859059712</v>
      </c>
      <c r="O255" s="6">
        <f t="shared" si="88"/>
        <v>1.9583206407538376</v>
      </c>
      <c r="P255" s="6">
        <f t="shared" si="89"/>
        <v>97.137598126281404</v>
      </c>
      <c r="Q255" s="6">
        <f t="shared" si="76"/>
        <v>4.2339262445586501</v>
      </c>
      <c r="R255" s="10">
        <f t="shared" si="90"/>
        <v>4.2339262445586501E-3</v>
      </c>
      <c r="S255" s="3">
        <f t="shared" si="91"/>
        <v>7.6210672402055701E-2</v>
      </c>
      <c r="T255" s="4">
        <f t="shared" si="92"/>
        <v>7.6210672402055697E-5</v>
      </c>
      <c r="U255" s="3">
        <f t="shared" si="93"/>
        <v>0.27435842064740051</v>
      </c>
      <c r="V255" s="2">
        <v>16.940000000000001</v>
      </c>
      <c r="W255" s="2">
        <v>3.17</v>
      </c>
      <c r="X255" s="2">
        <f t="shared" si="94"/>
        <v>31700</v>
      </c>
      <c r="Y255" s="5">
        <v>-0.54</v>
      </c>
      <c r="Z255" s="5">
        <v>-1.73</v>
      </c>
      <c r="AA255" s="2">
        <f t="shared" si="95"/>
        <v>1.19</v>
      </c>
      <c r="AB255" s="3">
        <f t="shared" si="96"/>
        <v>0.23055329466168112</v>
      </c>
    </row>
    <row r="256" spans="1:28" x14ac:dyDescent="0.2">
      <c r="A256" t="s">
        <v>6</v>
      </c>
      <c r="B256">
        <v>72</v>
      </c>
      <c r="C256">
        <v>155</v>
      </c>
      <c r="D256">
        <v>60</v>
      </c>
      <c r="E256" t="s">
        <v>7</v>
      </c>
      <c r="F256" s="1">
        <v>45154</v>
      </c>
      <c r="G256" t="s">
        <v>8</v>
      </c>
      <c r="H256" s="2">
        <v>48.17</v>
      </c>
      <c r="I256" s="2">
        <v>33.15</v>
      </c>
      <c r="J256" s="2">
        <v>30.83</v>
      </c>
      <c r="K256" s="2">
        <f t="shared" si="75"/>
        <v>306.29999999999995</v>
      </c>
      <c r="L256" s="2">
        <v>2.0099999999999998</v>
      </c>
      <c r="M256" s="2">
        <v>0.19</v>
      </c>
      <c r="N256" s="6">
        <f t="shared" si="87"/>
        <v>4.4485397511831675</v>
      </c>
      <c r="O256" s="6">
        <f t="shared" si="88"/>
        <v>2.4435879995579319</v>
      </c>
      <c r="P256" s="6">
        <f t="shared" si="89"/>
        <v>97.120066068680444</v>
      </c>
      <c r="Q256" s="6">
        <f t="shared" si="76"/>
        <v>4.7706161196096577</v>
      </c>
      <c r="R256" s="10">
        <f t="shared" si="90"/>
        <v>4.7706161196096573E-3</v>
      </c>
      <c r="S256" s="3">
        <f t="shared" si="91"/>
        <v>8.5871090152973839E-2</v>
      </c>
      <c r="T256" s="4">
        <f t="shared" si="92"/>
        <v>8.5871090152973836E-5</v>
      </c>
      <c r="U256" s="3">
        <f t="shared" si="93"/>
        <v>0.30913592455070582</v>
      </c>
      <c r="V256" s="2">
        <v>22.24</v>
      </c>
      <c r="W256" s="2">
        <v>4.22</v>
      </c>
      <c r="X256" s="2">
        <f t="shared" si="94"/>
        <v>42200</v>
      </c>
      <c r="Y256" s="5">
        <v>-0.34</v>
      </c>
      <c r="Z256" s="5">
        <v>-1.87</v>
      </c>
      <c r="AA256" s="2">
        <f t="shared" si="95"/>
        <v>1.53</v>
      </c>
      <c r="AB256" s="3">
        <f t="shared" si="96"/>
        <v>0.20204962388935022</v>
      </c>
    </row>
    <row r="257" spans="1:28" x14ac:dyDescent="0.2">
      <c r="A257" t="s">
        <v>6</v>
      </c>
      <c r="B257">
        <v>72</v>
      </c>
      <c r="C257">
        <v>5</v>
      </c>
      <c r="D257">
        <v>61</v>
      </c>
      <c r="E257" t="s">
        <v>7</v>
      </c>
      <c r="F257" s="1">
        <v>45154</v>
      </c>
      <c r="G257" t="s">
        <v>8</v>
      </c>
      <c r="H257" s="2">
        <v>38.51</v>
      </c>
      <c r="I257" s="2">
        <v>36.090000000000003</v>
      </c>
      <c r="J257" s="2">
        <v>32.340000000000003</v>
      </c>
      <c r="K257" s="2">
        <f t="shared" si="75"/>
        <v>309.24</v>
      </c>
      <c r="L257" s="2">
        <v>2.5499999999999998</v>
      </c>
      <c r="M257" s="2">
        <v>0.26</v>
      </c>
      <c r="N257" s="6">
        <f t="shared" si="87"/>
        <v>4.8467282238089577</v>
      </c>
      <c r="O257" s="6">
        <f t="shared" si="88"/>
        <v>2.300002815919707</v>
      </c>
      <c r="P257" s="6">
        <f t="shared" si="89"/>
        <v>97.159209781603309</v>
      </c>
      <c r="Q257" s="6">
        <f t="shared" si="76"/>
        <v>6.1460909319107788</v>
      </c>
      <c r="R257" s="10">
        <f t="shared" si="90"/>
        <v>6.1460909319107785E-3</v>
      </c>
      <c r="S257" s="3">
        <f t="shared" si="91"/>
        <v>0.11062963677439401</v>
      </c>
      <c r="T257" s="4">
        <f t="shared" si="92"/>
        <v>1.1062963677439401E-4</v>
      </c>
      <c r="U257" s="3">
        <f t="shared" si="93"/>
        <v>0.39826669238781842</v>
      </c>
      <c r="V257" s="2">
        <v>5.59</v>
      </c>
      <c r="W257" s="2">
        <v>1.83</v>
      </c>
      <c r="X257" s="2">
        <f t="shared" si="94"/>
        <v>18300</v>
      </c>
      <c r="Y257" s="5">
        <v>-0.69</v>
      </c>
      <c r="Z257" s="5">
        <v>-2.0099999999999998</v>
      </c>
      <c r="AA257" s="2">
        <f t="shared" si="95"/>
        <v>1.3199999999999998</v>
      </c>
      <c r="AB257" s="3">
        <f t="shared" si="96"/>
        <v>0.30171719120289275</v>
      </c>
    </row>
    <row r="258" spans="1:28" x14ac:dyDescent="0.2">
      <c r="A258" t="s">
        <v>6</v>
      </c>
      <c r="B258">
        <v>72</v>
      </c>
      <c r="C258">
        <v>5</v>
      </c>
      <c r="D258">
        <v>63</v>
      </c>
      <c r="E258" t="s">
        <v>7</v>
      </c>
      <c r="F258" s="1">
        <v>45155</v>
      </c>
      <c r="G258" t="s">
        <v>8</v>
      </c>
      <c r="H258" s="2">
        <v>35.299999999999997</v>
      </c>
      <c r="I258" s="2">
        <v>34.15</v>
      </c>
      <c r="J258" s="2">
        <v>30.09</v>
      </c>
      <c r="K258" s="2">
        <f t="shared" si="75"/>
        <v>307.29999999999995</v>
      </c>
      <c r="L258" s="2">
        <v>2.38</v>
      </c>
      <c r="M258" s="2">
        <v>0.26</v>
      </c>
      <c r="N258" s="6">
        <f t="shared" si="87"/>
        <v>4.2640302069418405</v>
      </c>
      <c r="O258" s="6">
        <f t="shared" si="88"/>
        <v>1.8937076892782096</v>
      </c>
      <c r="P258" s="6">
        <f t="shared" si="89"/>
        <v>97.133462534404444</v>
      </c>
      <c r="Q258" s="6">
        <f t="shared" si="76"/>
        <v>5.0430391445314298</v>
      </c>
      <c r="R258" s="10">
        <f t="shared" si="90"/>
        <v>5.0430391445314294E-3</v>
      </c>
      <c r="S258" s="3">
        <f t="shared" si="91"/>
        <v>9.0774704601565726E-2</v>
      </c>
      <c r="T258" s="4">
        <f t="shared" si="92"/>
        <v>9.0774704601565728E-5</v>
      </c>
      <c r="U258" s="3">
        <f t="shared" si="93"/>
        <v>0.32678893656563662</v>
      </c>
      <c r="V258" s="2">
        <v>13.53</v>
      </c>
      <c r="W258" s="2">
        <v>2.78</v>
      </c>
      <c r="X258" s="2">
        <f t="shared" si="94"/>
        <v>27799.999999999996</v>
      </c>
      <c r="Y258" s="5">
        <v>-0.56999999999999995</v>
      </c>
      <c r="Z258" s="5">
        <v>-1.91</v>
      </c>
      <c r="AA258" s="2">
        <f t="shared" si="95"/>
        <v>1.3399999999999999</v>
      </c>
      <c r="AB258" s="3">
        <f t="shared" si="96"/>
        <v>0.24387234072062436</v>
      </c>
    </row>
    <row r="259" spans="1:28" x14ac:dyDescent="0.2">
      <c r="A259" t="s">
        <v>6</v>
      </c>
      <c r="B259">
        <v>72</v>
      </c>
      <c r="C259">
        <v>5</v>
      </c>
      <c r="D259">
        <v>85</v>
      </c>
      <c r="E259" t="s">
        <v>7</v>
      </c>
      <c r="F259" s="1">
        <v>45154</v>
      </c>
      <c r="G259" t="s">
        <v>8</v>
      </c>
      <c r="H259" s="2">
        <v>46.05</v>
      </c>
      <c r="I259" s="2">
        <v>33.42</v>
      </c>
      <c r="J259" s="2">
        <v>30.28</v>
      </c>
      <c r="K259" s="2">
        <f t="shared" si="75"/>
        <v>306.57</v>
      </c>
      <c r="L259" s="2">
        <v>1.94</v>
      </c>
      <c r="M259" s="2">
        <v>0.27</v>
      </c>
      <c r="N259" s="6">
        <f t="shared" si="87"/>
        <v>4.3107561517073343</v>
      </c>
      <c r="O259" s="6">
        <f t="shared" si="88"/>
        <v>2.3716788496469401</v>
      </c>
      <c r="P259" s="6">
        <f t="shared" si="89"/>
        <v>97.123691544916355</v>
      </c>
      <c r="Q259" s="6">
        <f t="shared" si="76"/>
        <v>6.5906078195653661</v>
      </c>
      <c r="R259" s="10">
        <f t="shared" si="90"/>
        <v>6.5906078195653662E-3</v>
      </c>
      <c r="S259" s="3">
        <f t="shared" si="91"/>
        <v>0.11863094075217659</v>
      </c>
      <c r="T259" s="4">
        <f t="shared" si="92"/>
        <v>1.1863094075217659E-4</v>
      </c>
      <c r="U259" s="3">
        <f t="shared" si="93"/>
        <v>0.42707138670783573</v>
      </c>
      <c r="V259" s="2">
        <v>8.26</v>
      </c>
      <c r="W259" s="2">
        <v>2.33</v>
      </c>
      <c r="X259" s="2">
        <f t="shared" si="94"/>
        <v>23300</v>
      </c>
      <c r="Y259" s="5">
        <v>-0.49</v>
      </c>
      <c r="Z259" s="5">
        <v>-2.06</v>
      </c>
      <c r="AA259" s="2">
        <f t="shared" si="95"/>
        <v>1.57</v>
      </c>
      <c r="AB259" s="3">
        <f t="shared" si="96"/>
        <v>0.2720199915336533</v>
      </c>
    </row>
    <row r="260" spans="1:28" x14ac:dyDescent="0.2">
      <c r="A260" t="s">
        <v>9</v>
      </c>
      <c r="B260">
        <v>1521</v>
      </c>
      <c r="C260">
        <v>153</v>
      </c>
      <c r="D260">
        <v>69</v>
      </c>
      <c r="E260" t="s">
        <v>7</v>
      </c>
      <c r="F260" s="1">
        <v>45154</v>
      </c>
      <c r="G260" t="s">
        <v>8</v>
      </c>
      <c r="H260" s="2">
        <v>40.409999999999997</v>
      </c>
      <c r="I260" s="2">
        <v>35.78</v>
      </c>
      <c r="J260" s="2">
        <v>32.78</v>
      </c>
      <c r="K260" s="2">
        <f t="shared" ref="K260:K323" si="97">273.15+I260</f>
        <v>308.92999999999995</v>
      </c>
      <c r="L260" s="2">
        <v>2.6</v>
      </c>
      <c r="M260" s="2">
        <v>0.33</v>
      </c>
      <c r="N260" s="6">
        <f t="shared" si="87"/>
        <v>4.9684418651135722</v>
      </c>
      <c r="O260" s="6">
        <f t="shared" si="88"/>
        <v>2.3726764880334064</v>
      </c>
      <c r="P260" s="6">
        <f t="shared" si="89"/>
        <v>97.155116782541754</v>
      </c>
      <c r="Q260" s="6">
        <f t="shared" ref="Q260:Q323" si="98">(M260*(N260-L260)/P260)*1000</f>
        <v>8.0447210746179199</v>
      </c>
      <c r="R260" s="10">
        <f t="shared" ref="R260:R323" si="99">Q260/1000</f>
        <v>8.0447210746179207E-3</v>
      </c>
      <c r="S260" s="3">
        <f t="shared" si="91"/>
        <v>0.14480497934312259</v>
      </c>
      <c r="T260" s="4">
        <f t="shared" si="92"/>
        <v>1.4480497934312258E-4</v>
      </c>
      <c r="U260" s="3">
        <f t="shared" si="93"/>
        <v>0.52129792563524124</v>
      </c>
      <c r="V260" s="2">
        <v>1.89</v>
      </c>
      <c r="W260" s="2">
        <v>0.42</v>
      </c>
      <c r="X260" s="2">
        <f t="shared" si="94"/>
        <v>4200</v>
      </c>
      <c r="Y260" s="5">
        <v>-0.62</v>
      </c>
      <c r="Z260" s="5">
        <v>-2.1</v>
      </c>
      <c r="AA260" s="2">
        <f t="shared" si="95"/>
        <v>1.48</v>
      </c>
      <c r="AB260" s="3">
        <f t="shared" si="96"/>
        <v>0.35222832813191979</v>
      </c>
    </row>
    <row r="261" spans="1:28" x14ac:dyDescent="0.2">
      <c r="A261" t="s">
        <v>9</v>
      </c>
      <c r="B261">
        <v>1521</v>
      </c>
      <c r="C261">
        <v>153</v>
      </c>
      <c r="D261">
        <v>76</v>
      </c>
      <c r="E261" t="s">
        <v>7</v>
      </c>
      <c r="F261" s="1">
        <v>45154</v>
      </c>
      <c r="G261" t="s">
        <v>8</v>
      </c>
      <c r="H261" s="2">
        <v>42.44</v>
      </c>
      <c r="I261" s="2">
        <v>34.909999999999997</v>
      </c>
      <c r="J261" s="2">
        <v>33.630000000000003</v>
      </c>
      <c r="K261" s="2">
        <f t="shared" si="97"/>
        <v>308.05999999999995</v>
      </c>
      <c r="L261" s="2">
        <v>2.86</v>
      </c>
      <c r="M261" s="2">
        <v>0.2</v>
      </c>
      <c r="N261" s="6">
        <f t="shared" si="87"/>
        <v>5.2111206117641613</v>
      </c>
      <c r="O261" s="6">
        <f t="shared" si="88"/>
        <v>2.3749468876690845</v>
      </c>
      <c r="P261" s="6">
        <f t="shared" si="89"/>
        <v>97.143586906498967</v>
      </c>
      <c r="Q261" s="6">
        <f t="shared" si="98"/>
        <v>4.8405060727830094</v>
      </c>
      <c r="R261" s="10">
        <f t="shared" si="99"/>
        <v>4.8405060727830093E-3</v>
      </c>
      <c r="S261" s="3">
        <f t="shared" si="91"/>
        <v>8.7129109310094169E-2</v>
      </c>
      <c r="T261" s="4">
        <f t="shared" si="92"/>
        <v>8.7129109310094165E-5</v>
      </c>
      <c r="U261" s="3">
        <f t="shared" si="93"/>
        <v>0.31366479351633897</v>
      </c>
      <c r="V261" s="2">
        <v>1.63</v>
      </c>
      <c r="W261" s="2">
        <v>0.4</v>
      </c>
      <c r="X261" s="2">
        <f t="shared" si="94"/>
        <v>4000</v>
      </c>
      <c r="Y261" s="5">
        <v>-0.51</v>
      </c>
      <c r="Z261" s="5">
        <v>-1.72</v>
      </c>
      <c r="AA261" s="2">
        <f t="shared" si="95"/>
        <v>1.21</v>
      </c>
      <c r="AB261" s="3">
        <f t="shared" si="96"/>
        <v>0.25922710207961897</v>
      </c>
    </row>
    <row r="262" spans="1:28" x14ac:dyDescent="0.2">
      <c r="A262" t="s">
        <v>9</v>
      </c>
      <c r="B262">
        <v>1521</v>
      </c>
      <c r="C262">
        <v>153</v>
      </c>
      <c r="D262">
        <v>90</v>
      </c>
      <c r="E262" t="s">
        <v>7</v>
      </c>
      <c r="F262" s="1">
        <v>45155</v>
      </c>
      <c r="G262" t="s">
        <v>8</v>
      </c>
      <c r="H262" s="2">
        <v>31.24</v>
      </c>
      <c r="I262" s="2">
        <v>36.700000000000003</v>
      </c>
      <c r="J262" s="2">
        <v>33.83</v>
      </c>
      <c r="K262" s="2">
        <f t="shared" si="97"/>
        <v>309.84999999999997</v>
      </c>
      <c r="L262" s="2">
        <v>3.37</v>
      </c>
      <c r="M262" s="2">
        <v>0.23</v>
      </c>
      <c r="N262" s="6">
        <f t="shared" si="87"/>
        <v>5.2696971963104096</v>
      </c>
      <c r="O262" s="6">
        <f t="shared" si="88"/>
        <v>1.9292524663356365</v>
      </c>
      <c r="P262" s="6">
        <f t="shared" si="89"/>
        <v>97.167240334838368</v>
      </c>
      <c r="Q262" s="6">
        <f t="shared" si="98"/>
        <v>4.496683796367293</v>
      </c>
      <c r="R262" s="10">
        <f t="shared" si="99"/>
        <v>4.4966837963672929E-3</v>
      </c>
      <c r="S262" s="3">
        <f t="shared" si="91"/>
        <v>8.0940308334611272E-2</v>
      </c>
      <c r="T262" s="4">
        <f t="shared" si="92"/>
        <v>8.0940308334611269E-5</v>
      </c>
      <c r="U262" s="3">
        <f t="shared" si="93"/>
        <v>0.29138511000460054</v>
      </c>
      <c r="V262" s="2">
        <v>3.81</v>
      </c>
      <c r="W262" s="2">
        <v>0.53</v>
      </c>
      <c r="X262" s="2">
        <f t="shared" si="94"/>
        <v>5300</v>
      </c>
      <c r="Y262" s="5">
        <v>-0.67</v>
      </c>
      <c r="Z262" s="5">
        <v>-2</v>
      </c>
      <c r="AA262" s="2">
        <f t="shared" si="95"/>
        <v>1.33</v>
      </c>
      <c r="AB262" s="3">
        <f t="shared" si="96"/>
        <v>0.2190865488756395</v>
      </c>
    </row>
    <row r="263" spans="1:28" x14ac:dyDescent="0.2">
      <c r="A263" t="s">
        <v>9</v>
      </c>
      <c r="B263">
        <v>1521</v>
      </c>
      <c r="C263">
        <v>155</v>
      </c>
      <c r="D263">
        <v>62</v>
      </c>
      <c r="E263" t="s">
        <v>7</v>
      </c>
      <c r="F263" s="1">
        <v>45155</v>
      </c>
      <c r="G263" t="s">
        <v>8</v>
      </c>
      <c r="H263" s="2">
        <v>33.07</v>
      </c>
      <c r="I263" s="2">
        <v>35.520000000000003</v>
      </c>
      <c r="J263" s="2">
        <v>31.24</v>
      </c>
      <c r="K263" s="2">
        <f t="shared" si="97"/>
        <v>308.66999999999996</v>
      </c>
      <c r="L263" s="2">
        <v>2.64</v>
      </c>
      <c r="M263" s="2">
        <v>0.33</v>
      </c>
      <c r="N263" s="6">
        <f t="shared" si="87"/>
        <v>4.5537319024581357</v>
      </c>
      <c r="O263" s="6">
        <f t="shared" si="88"/>
        <v>1.9140808447238116</v>
      </c>
      <c r="P263" s="6">
        <f t="shared" si="89"/>
        <v>97.151677738739451</v>
      </c>
      <c r="Q263" s="6">
        <f t="shared" si="98"/>
        <v>6.500469600839021</v>
      </c>
      <c r="R263" s="10">
        <f t="shared" si="99"/>
        <v>6.5004696008390209E-3</v>
      </c>
      <c r="S263" s="3">
        <f t="shared" si="91"/>
        <v>0.11700845281510237</v>
      </c>
      <c r="T263" s="4">
        <f t="shared" si="92"/>
        <v>1.1700845281510238E-4</v>
      </c>
      <c r="U263" s="3">
        <f t="shared" si="93"/>
        <v>0.42123043013436856</v>
      </c>
      <c r="V263" s="2">
        <v>1.17</v>
      </c>
      <c r="W263" s="2">
        <v>0.44</v>
      </c>
      <c r="X263" s="2">
        <f t="shared" si="94"/>
        <v>4400</v>
      </c>
      <c r="Y263" s="5">
        <v>-0.48</v>
      </c>
      <c r="Z263" s="5">
        <v>-2.0299999999999998</v>
      </c>
      <c r="AA263" s="2">
        <f t="shared" si="95"/>
        <v>1.5499999999999998</v>
      </c>
      <c r="AB263" s="3">
        <f t="shared" si="96"/>
        <v>0.27176156782862493</v>
      </c>
    </row>
    <row r="264" spans="1:28" x14ac:dyDescent="0.2">
      <c r="A264" t="s">
        <v>9</v>
      </c>
      <c r="B264">
        <v>1521</v>
      </c>
      <c r="C264">
        <v>155</v>
      </c>
      <c r="D264">
        <v>64</v>
      </c>
      <c r="E264" t="s">
        <v>7</v>
      </c>
      <c r="F264" s="1">
        <v>45155</v>
      </c>
      <c r="G264" t="s">
        <v>8</v>
      </c>
      <c r="H264" s="2">
        <v>36.35</v>
      </c>
      <c r="I264" s="2">
        <v>33.229999999999997</v>
      </c>
      <c r="J264" s="2">
        <v>30.81</v>
      </c>
      <c r="K264" s="2">
        <f t="shared" si="97"/>
        <v>306.38</v>
      </c>
      <c r="L264" s="2">
        <v>2.6</v>
      </c>
      <c r="M264" s="2">
        <v>0.19</v>
      </c>
      <c r="N264" s="6">
        <f t="shared" si="87"/>
        <v>4.4434630306915031</v>
      </c>
      <c r="O264" s="6">
        <f t="shared" si="88"/>
        <v>1.8522739696192891</v>
      </c>
      <c r="P264" s="6">
        <f t="shared" si="89"/>
        <v>97.121140935916429</v>
      </c>
      <c r="Q264" s="6">
        <f t="shared" si="98"/>
        <v>3.6064030184993063</v>
      </c>
      <c r="R264" s="10">
        <f t="shared" si="99"/>
        <v>3.6064030184993065E-3</v>
      </c>
      <c r="S264" s="3">
        <f t="shared" si="91"/>
        <v>6.4915254332987518E-2</v>
      </c>
      <c r="T264" s="4">
        <f t="shared" si="92"/>
        <v>6.4915254332987516E-5</v>
      </c>
      <c r="U264" s="3">
        <f t="shared" si="93"/>
        <v>0.23369491559875505</v>
      </c>
      <c r="V264" s="2">
        <v>1.37</v>
      </c>
      <c r="W264" s="2">
        <v>0.45</v>
      </c>
      <c r="X264" s="2">
        <f t="shared" si="94"/>
        <v>4500</v>
      </c>
      <c r="Y264" s="5">
        <v>-0.42</v>
      </c>
      <c r="Z264" s="5">
        <v>-1.81</v>
      </c>
      <c r="AA264" s="2">
        <f t="shared" si="95"/>
        <v>1.3900000000000001</v>
      </c>
      <c r="AB264" s="3">
        <f t="shared" si="96"/>
        <v>0.16812583856025543</v>
      </c>
    </row>
    <row r="265" spans="1:28" x14ac:dyDescent="0.2">
      <c r="A265" t="s">
        <v>9</v>
      </c>
      <c r="B265">
        <v>1521</v>
      </c>
      <c r="C265">
        <v>155</v>
      </c>
      <c r="D265">
        <v>66</v>
      </c>
      <c r="E265" t="s">
        <v>7</v>
      </c>
      <c r="F265" s="1">
        <v>45154</v>
      </c>
      <c r="G265" t="s">
        <v>8</v>
      </c>
      <c r="H265" s="2">
        <v>31.68</v>
      </c>
      <c r="I265" s="2">
        <v>37.24</v>
      </c>
      <c r="J265" s="2">
        <v>33.14</v>
      </c>
      <c r="K265" s="2">
        <f t="shared" si="97"/>
        <v>310.39</v>
      </c>
      <c r="L265" s="2">
        <v>3.07</v>
      </c>
      <c r="M265" s="2">
        <v>0.26</v>
      </c>
      <c r="N265" s="6">
        <f t="shared" si="87"/>
        <v>5.0699954951272881</v>
      </c>
      <c r="O265" s="6">
        <f t="shared" si="88"/>
        <v>2.0149610825061575</v>
      </c>
      <c r="P265" s="6">
        <f t="shared" si="89"/>
        <v>97.174323561021239</v>
      </c>
      <c r="Q265" s="6">
        <f t="shared" si="98"/>
        <v>5.3511957652739248</v>
      </c>
      <c r="R265" s="10">
        <f t="shared" si="99"/>
        <v>5.3511957652739245E-3</v>
      </c>
      <c r="S265" s="3">
        <f t="shared" si="91"/>
        <v>9.632152377493064E-2</v>
      </c>
      <c r="T265" s="4">
        <f t="shared" si="92"/>
        <v>9.6321523774930642E-5</v>
      </c>
      <c r="U265" s="3">
        <f t="shared" si="93"/>
        <v>0.34675748558975034</v>
      </c>
      <c r="V265" s="2">
        <v>3.21</v>
      </c>
      <c r="W265" s="2">
        <v>0.68</v>
      </c>
      <c r="X265" s="2">
        <f t="shared" si="94"/>
        <v>6800.0000000000009</v>
      </c>
      <c r="Y265" s="5">
        <v>-0.55000000000000004</v>
      </c>
      <c r="Z265" s="5">
        <v>-1.7</v>
      </c>
      <c r="AA265" s="2">
        <f t="shared" si="95"/>
        <v>1.1499999999999999</v>
      </c>
      <c r="AB265" s="3">
        <f t="shared" si="96"/>
        <v>0.30152824833891334</v>
      </c>
    </row>
    <row r="266" spans="1:28" x14ac:dyDescent="0.2">
      <c r="A266" t="s">
        <v>9</v>
      </c>
      <c r="B266">
        <v>1521</v>
      </c>
      <c r="C266">
        <v>156</v>
      </c>
      <c r="D266">
        <v>71</v>
      </c>
      <c r="E266" t="s">
        <v>7</v>
      </c>
      <c r="F266" s="1">
        <v>45155</v>
      </c>
      <c r="G266" t="s">
        <v>8</v>
      </c>
      <c r="H266" s="2">
        <v>33.36</v>
      </c>
      <c r="I266" s="2">
        <v>35.630000000000003</v>
      </c>
      <c r="J266" s="2">
        <v>32.520000000000003</v>
      </c>
      <c r="K266" s="2">
        <f t="shared" si="97"/>
        <v>308.77999999999997</v>
      </c>
      <c r="L266" s="2">
        <v>2.96</v>
      </c>
      <c r="M266" s="2">
        <v>0.23</v>
      </c>
      <c r="N266" s="6">
        <f t="shared" si="87"/>
        <v>4.8962028006325822</v>
      </c>
      <c r="O266" s="6">
        <f t="shared" si="88"/>
        <v>1.9426144328315853</v>
      </c>
      <c r="P266" s="6">
        <f t="shared" si="89"/>
        <v>97.153133410755203</v>
      </c>
      <c r="Q266" s="6">
        <f t="shared" si="98"/>
        <v>4.5837599726474156</v>
      </c>
      <c r="R266" s="10">
        <f t="shared" si="99"/>
        <v>4.5837599726474155E-3</v>
      </c>
      <c r="S266" s="3">
        <f t="shared" si="91"/>
        <v>8.2507679507653475E-2</v>
      </c>
      <c r="T266" s="4">
        <f t="shared" si="92"/>
        <v>8.2507679507653475E-5</v>
      </c>
      <c r="U266" s="3">
        <f t="shared" si="93"/>
        <v>0.29702764622755251</v>
      </c>
      <c r="V266" s="2">
        <v>3.35</v>
      </c>
      <c r="W266" s="2">
        <v>0.65</v>
      </c>
      <c r="X266" s="2">
        <f t="shared" si="94"/>
        <v>6500</v>
      </c>
      <c r="Y266" s="5">
        <v>-0.5</v>
      </c>
      <c r="Z266" s="5">
        <v>-1.97</v>
      </c>
      <c r="AA266" s="2">
        <f t="shared" si="95"/>
        <v>1.47</v>
      </c>
      <c r="AB266" s="3">
        <f t="shared" si="96"/>
        <v>0.20205962328404933</v>
      </c>
    </row>
    <row r="267" spans="1:28" x14ac:dyDescent="0.2">
      <c r="A267" t="s">
        <v>9</v>
      </c>
      <c r="B267">
        <v>1521</v>
      </c>
      <c r="C267">
        <v>156</v>
      </c>
      <c r="D267">
        <v>74</v>
      </c>
      <c r="E267" t="s">
        <v>7</v>
      </c>
      <c r="F267" s="1">
        <v>45154</v>
      </c>
      <c r="G267" t="s">
        <v>8</v>
      </c>
      <c r="H267" s="2">
        <v>43.37</v>
      </c>
      <c r="I267" s="2">
        <v>34.409999999999997</v>
      </c>
      <c r="J267" s="2">
        <v>32.47</v>
      </c>
      <c r="K267" s="2">
        <f t="shared" si="97"/>
        <v>307.55999999999995</v>
      </c>
      <c r="L267" s="2">
        <v>2.5299999999999998</v>
      </c>
      <c r="M267" s="2">
        <v>0.13</v>
      </c>
      <c r="N267" s="6">
        <f t="shared" si="87"/>
        <v>4.8824159713927058</v>
      </c>
      <c r="O267" s="6">
        <f t="shared" si="88"/>
        <v>2.3605508536776898</v>
      </c>
      <c r="P267" s="6">
        <f t="shared" si="89"/>
        <v>97.136931647315876</v>
      </c>
      <c r="Q267" s="6">
        <f t="shared" si="98"/>
        <v>3.1482781172396868</v>
      </c>
      <c r="R267" s="10">
        <f t="shared" si="99"/>
        <v>3.1482781172396867E-3</v>
      </c>
      <c r="S267" s="3">
        <f t="shared" si="91"/>
        <v>5.6669006110314363E-2</v>
      </c>
      <c r="T267" s="4">
        <f t="shared" si="92"/>
        <v>5.6669006110314365E-5</v>
      </c>
      <c r="U267" s="3">
        <f t="shared" si="93"/>
        <v>0.20400842199713171</v>
      </c>
      <c r="V267" s="2">
        <v>2.92</v>
      </c>
      <c r="W267" s="2">
        <v>0.64</v>
      </c>
      <c r="X267" s="2">
        <f t="shared" si="94"/>
        <v>6400</v>
      </c>
      <c r="Y267" s="5">
        <v>-0.28000000000000003</v>
      </c>
      <c r="Z267" s="5">
        <v>-1.85</v>
      </c>
      <c r="AA267" s="2">
        <f t="shared" si="95"/>
        <v>1.57</v>
      </c>
      <c r="AB267" s="3">
        <f t="shared" si="96"/>
        <v>0.12994167006186733</v>
      </c>
    </row>
    <row r="268" spans="1:28" x14ac:dyDescent="0.2">
      <c r="A268" t="s">
        <v>9</v>
      </c>
      <c r="B268">
        <v>1521</v>
      </c>
      <c r="C268">
        <v>156</v>
      </c>
      <c r="D268">
        <v>75</v>
      </c>
      <c r="E268" t="s">
        <v>7</v>
      </c>
      <c r="F268" s="1">
        <v>45154</v>
      </c>
      <c r="G268" t="s">
        <v>8</v>
      </c>
      <c r="H268" s="2">
        <v>33.4</v>
      </c>
      <c r="I268" s="2">
        <v>37.020000000000003</v>
      </c>
      <c r="J268" s="2">
        <v>33.89</v>
      </c>
      <c r="K268" s="2">
        <f t="shared" si="97"/>
        <v>310.16999999999996</v>
      </c>
      <c r="L268" s="2">
        <v>3.2</v>
      </c>
      <c r="M268" s="2">
        <v>0.24</v>
      </c>
      <c r="N268" s="6">
        <f t="shared" si="87"/>
        <v>5.2873814604241645</v>
      </c>
      <c r="O268" s="6">
        <f t="shared" si="88"/>
        <v>2.0990256237260652</v>
      </c>
      <c r="P268" s="6">
        <f t="shared" si="89"/>
        <v>97.171440717113356</v>
      </c>
      <c r="Q268" s="6">
        <f t="shared" si="98"/>
        <v>5.1555430978967749</v>
      </c>
      <c r="R268" s="10">
        <f t="shared" si="99"/>
        <v>5.1555430978967752E-3</v>
      </c>
      <c r="S268" s="3">
        <f t="shared" si="91"/>
        <v>9.2799775762141948E-2</v>
      </c>
      <c r="T268" s="4">
        <f t="shared" si="92"/>
        <v>9.2799775762141947E-5</v>
      </c>
      <c r="U268" s="3">
        <f t="shared" si="93"/>
        <v>0.33407919274371101</v>
      </c>
      <c r="V268" s="2">
        <v>2.78</v>
      </c>
      <c r="W268" s="2">
        <v>0.57999999999999996</v>
      </c>
      <c r="X268" s="2">
        <f t="shared" si="94"/>
        <v>5800</v>
      </c>
      <c r="Y268" s="5">
        <v>-0.43</v>
      </c>
      <c r="Z268" s="5">
        <v>-2.12</v>
      </c>
      <c r="AA268" s="2">
        <f t="shared" si="95"/>
        <v>1.6900000000000002</v>
      </c>
      <c r="AB268" s="3">
        <f t="shared" si="96"/>
        <v>0.19767999570633785</v>
      </c>
    </row>
    <row r="269" spans="1:28" x14ac:dyDescent="0.2">
      <c r="A269" t="s">
        <v>9</v>
      </c>
      <c r="B269">
        <v>1521</v>
      </c>
      <c r="C269">
        <v>157</v>
      </c>
      <c r="D269">
        <v>67</v>
      </c>
      <c r="E269" t="s">
        <v>7</v>
      </c>
      <c r="F269" s="1">
        <v>45154</v>
      </c>
      <c r="G269" t="s">
        <v>8</v>
      </c>
      <c r="H269" s="2">
        <v>44.73</v>
      </c>
      <c r="I269" s="2">
        <v>34.1</v>
      </c>
      <c r="J269" s="2">
        <v>31.7</v>
      </c>
      <c r="K269" s="2">
        <f t="shared" si="97"/>
        <v>307.25</v>
      </c>
      <c r="L269" s="2">
        <v>2.2799999999999998</v>
      </c>
      <c r="M269" s="2">
        <v>0.3</v>
      </c>
      <c r="N269" s="6">
        <f t="shared" si="87"/>
        <v>4.6743250418363189</v>
      </c>
      <c r="O269" s="6">
        <f t="shared" si="88"/>
        <v>2.3929134145423734</v>
      </c>
      <c r="P269" s="6">
        <f t="shared" si="89"/>
        <v>97.132794738418553</v>
      </c>
      <c r="Q269" s="6">
        <f t="shared" si="98"/>
        <v>7.3950051008548847</v>
      </c>
      <c r="R269" s="10">
        <f t="shared" si="99"/>
        <v>7.3950051008548848E-3</v>
      </c>
      <c r="S269" s="3">
        <f t="shared" si="91"/>
        <v>0.13311009181538794</v>
      </c>
      <c r="T269" s="4">
        <f t="shared" si="92"/>
        <v>1.3311009181538793E-4</v>
      </c>
      <c r="U269" s="3">
        <f t="shared" si="93"/>
        <v>0.47919633053539651</v>
      </c>
      <c r="V269" s="2">
        <v>2.46</v>
      </c>
      <c r="W269" s="2">
        <v>0.65</v>
      </c>
      <c r="X269" s="2">
        <f t="shared" si="94"/>
        <v>6500</v>
      </c>
      <c r="Y269" s="5">
        <v>-0.82</v>
      </c>
      <c r="Z269" s="5">
        <v>-2.57</v>
      </c>
      <c r="AA269" s="2">
        <f t="shared" si="95"/>
        <v>1.75</v>
      </c>
      <c r="AB269" s="3">
        <f t="shared" si="96"/>
        <v>0.27382647459165516</v>
      </c>
    </row>
    <row r="270" spans="1:28" x14ac:dyDescent="0.2">
      <c r="A270" t="s">
        <v>9</v>
      </c>
      <c r="B270">
        <v>1521</v>
      </c>
      <c r="C270">
        <v>157</v>
      </c>
      <c r="D270">
        <v>68</v>
      </c>
      <c r="E270" t="s">
        <v>7</v>
      </c>
      <c r="F270" s="1">
        <v>45154</v>
      </c>
      <c r="G270" t="s">
        <v>8</v>
      </c>
      <c r="H270" s="2">
        <v>46.36</v>
      </c>
      <c r="I270" s="2">
        <v>32.85</v>
      </c>
      <c r="J270" s="2">
        <v>30.63</v>
      </c>
      <c r="K270" s="2">
        <f t="shared" si="97"/>
        <v>306</v>
      </c>
      <c r="L270" s="2">
        <v>2.09</v>
      </c>
      <c r="M270" s="2">
        <v>0.24</v>
      </c>
      <c r="N270" s="6">
        <f t="shared" si="87"/>
        <v>4.397999184463373</v>
      </c>
      <c r="O270" s="6">
        <f t="shared" si="88"/>
        <v>2.3124593278518972</v>
      </c>
      <c r="P270" s="6">
        <f t="shared" si="89"/>
        <v>97.116030417218354</v>
      </c>
      <c r="Q270" s="6">
        <f t="shared" si="98"/>
        <v>5.7036907490094597</v>
      </c>
      <c r="R270" s="10">
        <f t="shared" si="99"/>
        <v>5.7036907490094595E-3</v>
      </c>
      <c r="S270" s="3">
        <f t="shared" si="91"/>
        <v>0.10266643348217028</v>
      </c>
      <c r="T270" s="4">
        <f t="shared" si="92"/>
        <v>1.0266643348217028E-4</v>
      </c>
      <c r="U270" s="3">
        <f t="shared" si="93"/>
        <v>0.36959916053581299</v>
      </c>
      <c r="V270" s="2">
        <v>2.9</v>
      </c>
      <c r="W270" s="2">
        <v>0.85</v>
      </c>
      <c r="X270" s="2">
        <f t="shared" si="94"/>
        <v>8500</v>
      </c>
      <c r="Y270" s="5">
        <v>-1.1000000000000001</v>
      </c>
      <c r="Z270" s="5">
        <v>-2.12</v>
      </c>
      <c r="AA270" s="2">
        <f t="shared" si="95"/>
        <v>1.02</v>
      </c>
      <c r="AB270" s="3">
        <f t="shared" si="96"/>
        <v>0.36235211817236568</v>
      </c>
    </row>
    <row r="271" spans="1:28" x14ac:dyDescent="0.2">
      <c r="A271" t="s">
        <v>9</v>
      </c>
      <c r="B271">
        <v>1521</v>
      </c>
      <c r="C271">
        <v>157</v>
      </c>
      <c r="D271">
        <v>72</v>
      </c>
      <c r="E271" t="s">
        <v>7</v>
      </c>
      <c r="F271" s="1">
        <v>45155</v>
      </c>
      <c r="G271" t="s">
        <v>8</v>
      </c>
      <c r="H271" s="2">
        <v>34.32</v>
      </c>
      <c r="I271" s="2">
        <v>34.82</v>
      </c>
      <c r="J271" s="2">
        <v>31.65</v>
      </c>
      <c r="K271" s="2">
        <f t="shared" si="97"/>
        <v>307.96999999999997</v>
      </c>
      <c r="L271" s="2">
        <v>2.76</v>
      </c>
      <c r="M271" s="2">
        <v>0.26</v>
      </c>
      <c r="N271" s="6">
        <f t="shared" si="87"/>
        <v>4.6610838021929881</v>
      </c>
      <c r="O271" s="6">
        <f t="shared" si="88"/>
        <v>1.9109934812528584</v>
      </c>
      <c r="P271" s="6">
        <f t="shared" si="89"/>
        <v>97.142390521055162</v>
      </c>
      <c r="Q271" s="6">
        <f t="shared" si="98"/>
        <v>5.0882193233966557</v>
      </c>
      <c r="R271" s="10">
        <f t="shared" si="99"/>
        <v>5.0882193233966555E-3</v>
      </c>
      <c r="S271" s="3">
        <f t="shared" si="91"/>
        <v>9.1587947821139798E-2</v>
      </c>
      <c r="T271" s="4">
        <f t="shared" si="92"/>
        <v>9.15879478211398E-5</v>
      </c>
      <c r="U271" s="3">
        <f t="shared" si="93"/>
        <v>0.32971661215610326</v>
      </c>
      <c r="V271" s="2">
        <v>1.89</v>
      </c>
      <c r="W271" s="2">
        <v>1.52</v>
      </c>
      <c r="X271" s="2">
        <f t="shared" si="94"/>
        <v>15200</v>
      </c>
      <c r="Y271" s="5">
        <v>-1.18</v>
      </c>
      <c r="Z271" s="5">
        <v>-2.16</v>
      </c>
      <c r="AA271" s="2">
        <f t="shared" si="95"/>
        <v>0.9800000000000002</v>
      </c>
      <c r="AB271" s="3">
        <f t="shared" si="96"/>
        <v>0.33644552260826854</v>
      </c>
    </row>
    <row r="272" spans="1:28" x14ac:dyDescent="0.2">
      <c r="A272" t="s">
        <v>9</v>
      </c>
      <c r="B272">
        <v>1521</v>
      </c>
      <c r="C272">
        <v>158</v>
      </c>
      <c r="D272">
        <v>70</v>
      </c>
      <c r="E272" t="s">
        <v>7</v>
      </c>
      <c r="F272" s="1">
        <v>45154</v>
      </c>
      <c r="G272" t="s">
        <v>8</v>
      </c>
      <c r="H272" s="2">
        <v>31.5</v>
      </c>
      <c r="I272" s="2">
        <v>37.97</v>
      </c>
      <c r="J272" s="2">
        <v>34.15</v>
      </c>
      <c r="K272" s="2">
        <f t="shared" si="97"/>
        <v>311.12</v>
      </c>
      <c r="L272" s="2">
        <v>3.28</v>
      </c>
      <c r="M272" s="2">
        <v>0.22</v>
      </c>
      <c r="N272" s="6">
        <f t="shared" si="87"/>
        <v>5.3646110177852968</v>
      </c>
      <c r="O272" s="6">
        <f t="shared" si="88"/>
        <v>2.0845945964140431</v>
      </c>
      <c r="P272" s="6">
        <f t="shared" si="89"/>
        <v>97.183860761688749</v>
      </c>
      <c r="Q272" s="6">
        <f t="shared" si="98"/>
        <v>4.7190389465732938</v>
      </c>
      <c r="R272" s="10">
        <f t="shared" si="99"/>
        <v>4.7190389465732938E-3</v>
      </c>
      <c r="S272" s="3">
        <f t="shared" si="91"/>
        <v>8.4942701038319288E-2</v>
      </c>
      <c r="T272" s="4">
        <f t="shared" si="92"/>
        <v>8.4942701038319288E-5</v>
      </c>
      <c r="U272" s="3">
        <f t="shared" si="93"/>
        <v>0.30579372373794944</v>
      </c>
      <c r="V272" s="2">
        <v>1.25</v>
      </c>
      <c r="W272" s="2">
        <v>0.24</v>
      </c>
      <c r="X272" s="2">
        <f t="shared" si="94"/>
        <v>2400</v>
      </c>
      <c r="Y272" s="5">
        <v>-0.43</v>
      </c>
      <c r="Z272" s="5">
        <v>-1.88</v>
      </c>
      <c r="AA272" s="2">
        <f t="shared" si="95"/>
        <v>1.45</v>
      </c>
      <c r="AB272" s="3">
        <f t="shared" si="96"/>
        <v>0.21089222326755133</v>
      </c>
    </row>
    <row r="273" spans="1:28" x14ac:dyDescent="0.2">
      <c r="A273" t="s">
        <v>9</v>
      </c>
      <c r="B273">
        <v>1521</v>
      </c>
      <c r="C273">
        <v>158</v>
      </c>
      <c r="D273">
        <v>73</v>
      </c>
      <c r="E273" t="s">
        <v>7</v>
      </c>
      <c r="F273" s="1">
        <v>45154</v>
      </c>
      <c r="G273" t="s">
        <v>8</v>
      </c>
      <c r="H273" s="2">
        <v>43.61</v>
      </c>
      <c r="I273" s="2">
        <v>34.549999999999997</v>
      </c>
      <c r="J273" s="2">
        <v>32.42</v>
      </c>
      <c r="K273" s="2">
        <f t="shared" si="97"/>
        <v>307.7</v>
      </c>
      <c r="L273" s="2">
        <v>2.48</v>
      </c>
      <c r="M273" s="2">
        <v>0.13</v>
      </c>
      <c r="N273" s="6">
        <f t="shared" si="87"/>
        <v>4.8686629417648577</v>
      </c>
      <c r="O273" s="6">
        <f t="shared" si="88"/>
        <v>2.3921572243318949</v>
      </c>
      <c r="P273" s="6">
        <f t="shared" si="89"/>
        <v>97.138797254101746</v>
      </c>
      <c r="Q273" s="6">
        <f t="shared" si="98"/>
        <v>3.1967266551297491</v>
      </c>
      <c r="R273" s="10">
        <f t="shared" si="99"/>
        <v>3.1967266551297491E-3</v>
      </c>
      <c r="S273" s="3">
        <f t="shared" si="91"/>
        <v>5.7541079792335484E-2</v>
      </c>
      <c r="T273" s="4">
        <f t="shared" si="92"/>
        <v>5.7541079792335483E-5</v>
      </c>
      <c r="U273" s="3">
        <f t="shared" si="93"/>
        <v>0.20714788725240774</v>
      </c>
      <c r="V273" s="2">
        <v>1.75</v>
      </c>
      <c r="W273" s="2">
        <v>0.39</v>
      </c>
      <c r="X273" s="2">
        <f t="shared" si="94"/>
        <v>3900</v>
      </c>
      <c r="Y273" s="5">
        <v>-0.48</v>
      </c>
      <c r="Z273" s="5">
        <v>-1.98</v>
      </c>
      <c r="AA273" s="2">
        <f t="shared" si="95"/>
        <v>1.5</v>
      </c>
      <c r="AB273" s="3">
        <f t="shared" si="96"/>
        <v>0.13809859150160517</v>
      </c>
    </row>
    <row r="274" spans="1:28" x14ac:dyDescent="0.2">
      <c r="A274" t="s">
        <v>9</v>
      </c>
      <c r="B274">
        <v>1521</v>
      </c>
      <c r="C274">
        <v>158</v>
      </c>
      <c r="D274">
        <v>81</v>
      </c>
      <c r="E274" t="s">
        <v>7</v>
      </c>
      <c r="F274" s="1">
        <v>45154</v>
      </c>
      <c r="G274" t="s">
        <v>8</v>
      </c>
      <c r="H274" s="2">
        <v>28.85</v>
      </c>
      <c r="I274" s="2">
        <v>38.32</v>
      </c>
      <c r="J274" s="2">
        <v>34.36</v>
      </c>
      <c r="K274" s="2">
        <f t="shared" si="97"/>
        <v>311.46999999999997</v>
      </c>
      <c r="L274" s="2">
        <v>3.49</v>
      </c>
      <c r="M274" s="2">
        <v>0.22</v>
      </c>
      <c r="N274" s="6">
        <f t="shared" si="87"/>
        <v>5.4277029579396165</v>
      </c>
      <c r="O274" s="6">
        <f t="shared" si="88"/>
        <v>1.9457438996068581</v>
      </c>
      <c r="P274" s="6">
        <f t="shared" si="89"/>
        <v>97.188417867323224</v>
      </c>
      <c r="Q274" s="6">
        <f t="shared" si="98"/>
        <v>4.3862700937129331</v>
      </c>
      <c r="R274" s="10">
        <f t="shared" si="99"/>
        <v>4.3862700937129327E-3</v>
      </c>
      <c r="S274" s="3">
        <f t="shared" si="91"/>
        <v>7.8952861686832784E-2</v>
      </c>
      <c r="T274" s="4">
        <f t="shared" si="92"/>
        <v>7.895286168683278E-5</v>
      </c>
      <c r="U274" s="3">
        <f t="shared" si="93"/>
        <v>0.28423030207259803</v>
      </c>
      <c r="V274" s="2">
        <v>0.53</v>
      </c>
      <c r="W274" s="2">
        <v>0.2</v>
      </c>
      <c r="X274" s="2">
        <f t="shared" si="94"/>
        <v>2000</v>
      </c>
      <c r="Y274" s="5">
        <v>-0.52</v>
      </c>
      <c r="Z274" s="5">
        <v>-2.2799999999999998</v>
      </c>
      <c r="AA274" s="2">
        <f t="shared" si="95"/>
        <v>1.7599999999999998</v>
      </c>
      <c r="AB274" s="3">
        <f t="shared" si="96"/>
        <v>0.16149448981397618</v>
      </c>
    </row>
    <row r="275" spans="1:28" x14ac:dyDescent="0.2">
      <c r="A275" t="s">
        <v>10</v>
      </c>
      <c r="B275">
        <v>666</v>
      </c>
      <c r="C275">
        <v>101</v>
      </c>
      <c r="D275">
        <v>1</v>
      </c>
      <c r="E275" t="s">
        <v>7</v>
      </c>
      <c r="F275" s="1">
        <v>45155</v>
      </c>
      <c r="G275" t="s">
        <v>8</v>
      </c>
      <c r="H275" s="2">
        <v>32.020000000000003</v>
      </c>
      <c r="I275" s="2">
        <v>36.96</v>
      </c>
      <c r="J275" s="2">
        <v>31.59</v>
      </c>
      <c r="K275" s="2">
        <f t="shared" si="97"/>
        <v>310.10999999999996</v>
      </c>
      <c r="L275" s="2">
        <v>2.64</v>
      </c>
      <c r="M275" s="2">
        <v>0.32</v>
      </c>
      <c r="N275" s="6">
        <f t="shared" si="87"/>
        <v>4.6452374356398192</v>
      </c>
      <c r="O275" s="6">
        <f t="shared" si="88"/>
        <v>2.0057195212510708</v>
      </c>
      <c r="P275" s="6">
        <f t="shared" si="89"/>
        <v>97.170653791924678</v>
      </c>
      <c r="Q275" s="6">
        <f t="shared" si="98"/>
        <v>6.603598456575047</v>
      </c>
      <c r="R275" s="10">
        <f t="shared" si="99"/>
        <v>6.6035984565750473E-3</v>
      </c>
      <c r="S275" s="3">
        <f t="shared" si="91"/>
        <v>0.11886477221835084</v>
      </c>
      <c r="T275" s="4">
        <f t="shared" si="92"/>
        <v>1.1886477221835085E-4</v>
      </c>
      <c r="U275" s="3">
        <f t="shared" si="93"/>
        <v>0.42791317998606304</v>
      </c>
      <c r="V275" s="2">
        <v>5.47</v>
      </c>
      <c r="W275" s="2">
        <v>1.21</v>
      </c>
      <c r="X275" s="2">
        <f t="shared" si="94"/>
        <v>12100</v>
      </c>
      <c r="Y275" s="5">
        <v>-0.39</v>
      </c>
      <c r="Z275" s="5">
        <v>-2.2400000000000002</v>
      </c>
      <c r="AA275" s="2">
        <f t="shared" si="95"/>
        <v>1.85</v>
      </c>
      <c r="AB275" s="3">
        <f t="shared" si="96"/>
        <v>0.23130442161408812</v>
      </c>
    </row>
    <row r="276" spans="1:28" x14ac:dyDescent="0.2">
      <c r="A276" t="s">
        <v>10</v>
      </c>
      <c r="B276">
        <v>666</v>
      </c>
      <c r="C276">
        <v>101</v>
      </c>
      <c r="D276">
        <v>2</v>
      </c>
      <c r="E276" t="s">
        <v>7</v>
      </c>
      <c r="F276" s="1">
        <v>45155</v>
      </c>
      <c r="G276" t="s">
        <v>8</v>
      </c>
      <c r="H276" s="2">
        <v>30.15</v>
      </c>
      <c r="I276" s="2">
        <v>37.369999999999997</v>
      </c>
      <c r="J276" s="2">
        <v>32.630000000000003</v>
      </c>
      <c r="K276" s="2">
        <f t="shared" si="97"/>
        <v>310.52</v>
      </c>
      <c r="L276" s="2">
        <v>3</v>
      </c>
      <c r="M276" s="2">
        <v>0.27</v>
      </c>
      <c r="N276" s="6">
        <f t="shared" si="87"/>
        <v>4.9266531434379779</v>
      </c>
      <c r="O276" s="6">
        <f t="shared" si="88"/>
        <v>1.9312731324843795</v>
      </c>
      <c r="P276" s="6">
        <f t="shared" si="89"/>
        <v>97.176025179748891</v>
      </c>
      <c r="Q276" s="6">
        <f t="shared" si="98"/>
        <v>5.3531346622382836</v>
      </c>
      <c r="R276" s="10">
        <f t="shared" si="99"/>
        <v>5.353134662238284E-3</v>
      </c>
      <c r="S276" s="3">
        <f t="shared" si="91"/>
        <v>9.6356423920289119E-2</v>
      </c>
      <c r="T276" s="4">
        <f t="shared" si="92"/>
        <v>9.6356423920289114E-5</v>
      </c>
      <c r="U276" s="3">
        <f t="shared" si="93"/>
        <v>0.34688312611304079</v>
      </c>
      <c r="V276" s="2">
        <v>6.42</v>
      </c>
      <c r="W276" s="2">
        <v>1.41</v>
      </c>
      <c r="X276" s="2">
        <f t="shared" si="94"/>
        <v>14100</v>
      </c>
      <c r="Y276" s="5">
        <v>-0.99</v>
      </c>
      <c r="Z276" s="5">
        <v>-1.8</v>
      </c>
      <c r="AA276" s="2">
        <f t="shared" si="95"/>
        <v>0.81</v>
      </c>
      <c r="AB276" s="3">
        <f t="shared" si="96"/>
        <v>0.42825077297906267</v>
      </c>
    </row>
    <row r="277" spans="1:28" x14ac:dyDescent="0.2">
      <c r="A277" t="s">
        <v>10</v>
      </c>
      <c r="B277">
        <v>666</v>
      </c>
      <c r="C277">
        <v>101</v>
      </c>
      <c r="D277">
        <v>3</v>
      </c>
      <c r="E277" t="s">
        <v>7</v>
      </c>
      <c r="F277" s="1">
        <v>45155</v>
      </c>
      <c r="G277" t="s">
        <v>8</v>
      </c>
      <c r="H277" s="2">
        <v>32.08</v>
      </c>
      <c r="I277" s="2">
        <v>36.83</v>
      </c>
      <c r="J277" s="2">
        <v>32.28</v>
      </c>
      <c r="K277" s="2">
        <f t="shared" si="97"/>
        <v>309.97999999999996</v>
      </c>
      <c r="L277" s="2">
        <v>2.84</v>
      </c>
      <c r="M277" s="2">
        <v>0.38</v>
      </c>
      <c r="N277" s="6">
        <f t="shared" ref="N277:N308" si="100">0.611*EXP((17.502*J277)/(240.97+J277))</f>
        <v>4.8303336805189776</v>
      </c>
      <c r="O277" s="6">
        <f t="shared" ref="O277:O308" si="101">(0.611*EXP((17.502*I277)/(240.97+I277)))*(H277/100)</f>
        <v>1.995258914521538</v>
      </c>
      <c r="P277" s="6">
        <f t="shared" ref="P277:P308" si="102">101.325*EXP(-380/(29.27*K277))</f>
        <v>97.168947764163619</v>
      </c>
      <c r="Q277" s="6">
        <f t="shared" si="98"/>
        <v>7.783626518554815</v>
      </c>
      <c r="R277" s="10">
        <f t="shared" si="99"/>
        <v>7.7836265185548146E-3</v>
      </c>
      <c r="S277" s="3">
        <f t="shared" ref="S277:S308" si="103">R277*18</f>
        <v>0.14010527733398667</v>
      </c>
      <c r="T277" s="4">
        <f t="shared" ref="T277:T308" si="104">S277/1000</f>
        <v>1.4010527733398668E-4</v>
      </c>
      <c r="U277" s="3">
        <f t="shared" ref="U277:U308" si="105">T277*3600</f>
        <v>0.50437899840235201</v>
      </c>
      <c r="V277" s="2">
        <v>5.07</v>
      </c>
      <c r="W277" s="2">
        <v>1.03</v>
      </c>
      <c r="X277" s="2">
        <f t="shared" ref="X277:X308" si="106">W277*10000</f>
        <v>10300</v>
      </c>
      <c r="Y277" s="5">
        <v>-0.73</v>
      </c>
      <c r="Z277" s="5">
        <v>-2.48</v>
      </c>
      <c r="AA277" s="2">
        <f t="shared" ref="AA277:AA308" si="107">Y277-Z277</f>
        <v>1.75</v>
      </c>
      <c r="AB277" s="3">
        <f t="shared" ref="AB277:AB308" si="108">U277/AA277</f>
        <v>0.28821657051562971</v>
      </c>
    </row>
    <row r="278" spans="1:28" x14ac:dyDescent="0.2">
      <c r="A278" t="s">
        <v>10</v>
      </c>
      <c r="B278">
        <v>666</v>
      </c>
      <c r="C278">
        <v>105</v>
      </c>
      <c r="D278">
        <v>7</v>
      </c>
      <c r="E278" t="s">
        <v>7</v>
      </c>
      <c r="F278" s="1">
        <v>45155</v>
      </c>
      <c r="G278" t="s">
        <v>8</v>
      </c>
      <c r="H278" s="2">
        <v>33.61</v>
      </c>
      <c r="I278" s="2">
        <v>35.770000000000003</v>
      </c>
      <c r="J278" s="2">
        <v>32</v>
      </c>
      <c r="K278" s="2">
        <f t="shared" si="97"/>
        <v>308.91999999999996</v>
      </c>
      <c r="L278" s="2">
        <v>2.79</v>
      </c>
      <c r="M278" s="2">
        <v>0.4</v>
      </c>
      <c r="N278" s="6">
        <f t="shared" si="100"/>
        <v>4.7544624008822751</v>
      </c>
      <c r="O278" s="6">
        <f t="shared" si="101"/>
        <v>1.9723275264456661</v>
      </c>
      <c r="P278" s="6">
        <f t="shared" si="102"/>
        <v>97.154984616420009</v>
      </c>
      <c r="Q278" s="6">
        <f t="shared" si="98"/>
        <v>8.0879531138344287</v>
      </c>
      <c r="R278" s="10">
        <f t="shared" si="99"/>
        <v>8.0879531138344282E-3</v>
      </c>
      <c r="S278" s="3">
        <f t="shared" si="103"/>
        <v>0.1455831560490197</v>
      </c>
      <c r="T278" s="4">
        <f t="shared" si="104"/>
        <v>1.455831560490197E-4</v>
      </c>
      <c r="U278" s="3">
        <f t="shared" si="105"/>
        <v>0.52409936177647087</v>
      </c>
      <c r="V278" s="2">
        <v>3.34</v>
      </c>
      <c r="W278" s="2">
        <v>0.91</v>
      </c>
      <c r="X278" s="2">
        <f t="shared" si="106"/>
        <v>9100</v>
      </c>
      <c r="Y278" s="5">
        <v>-0.59</v>
      </c>
      <c r="Z278" s="5">
        <v>-1.85</v>
      </c>
      <c r="AA278" s="2">
        <f t="shared" si="107"/>
        <v>1.2600000000000002</v>
      </c>
      <c r="AB278" s="3">
        <f t="shared" si="108"/>
        <v>0.41595187442577047</v>
      </c>
    </row>
    <row r="279" spans="1:28" x14ac:dyDescent="0.2">
      <c r="A279" t="s">
        <v>10</v>
      </c>
      <c r="B279">
        <v>666</v>
      </c>
      <c r="C279">
        <v>105</v>
      </c>
      <c r="D279">
        <v>8</v>
      </c>
      <c r="E279" t="s">
        <v>7</v>
      </c>
      <c r="F279" s="1">
        <v>45155</v>
      </c>
      <c r="G279" t="s">
        <v>8</v>
      </c>
      <c r="H279" s="2">
        <v>33.4</v>
      </c>
      <c r="I279" s="2">
        <v>35.130000000000003</v>
      </c>
      <c r="J279" s="2">
        <v>31.71</v>
      </c>
      <c r="K279" s="2">
        <f t="shared" si="97"/>
        <v>308.27999999999997</v>
      </c>
      <c r="L279" s="2">
        <v>2.79</v>
      </c>
      <c r="M279" s="2">
        <v>0.22</v>
      </c>
      <c r="N279" s="6">
        <f t="shared" si="100"/>
        <v>4.676977216373067</v>
      </c>
      <c r="O279" s="6">
        <f t="shared" si="101"/>
        <v>1.8919740713034283</v>
      </c>
      <c r="P279" s="6">
        <f t="shared" si="102"/>
        <v>97.146508525359835</v>
      </c>
      <c r="Q279" s="6">
        <f t="shared" si="98"/>
        <v>4.273287778466119</v>
      </c>
      <c r="R279" s="10">
        <f t="shared" si="99"/>
        <v>4.2732877784661186E-3</v>
      </c>
      <c r="S279" s="3">
        <f t="shared" si="103"/>
        <v>7.6919180012390134E-2</v>
      </c>
      <c r="T279" s="4">
        <f t="shared" si="104"/>
        <v>7.6919180012390139E-5</v>
      </c>
      <c r="U279" s="3">
        <f t="shared" si="105"/>
        <v>0.27690904804460448</v>
      </c>
      <c r="V279" s="2">
        <v>2.64</v>
      </c>
      <c r="W279" s="2">
        <v>0.69</v>
      </c>
      <c r="X279" s="2">
        <f t="shared" si="106"/>
        <v>6899.9999999999991</v>
      </c>
      <c r="Y279" s="5">
        <v>-0.52</v>
      </c>
      <c r="Z279" s="5">
        <v>-1.77</v>
      </c>
      <c r="AA279" s="2">
        <f t="shared" si="107"/>
        <v>1.25</v>
      </c>
      <c r="AB279" s="3">
        <f t="shared" si="108"/>
        <v>0.22152723843568359</v>
      </c>
    </row>
    <row r="280" spans="1:28" x14ac:dyDescent="0.2">
      <c r="A280" t="s">
        <v>10</v>
      </c>
      <c r="B280">
        <v>666</v>
      </c>
      <c r="C280">
        <v>105</v>
      </c>
      <c r="D280">
        <v>9</v>
      </c>
      <c r="E280" t="s">
        <v>7</v>
      </c>
      <c r="F280" s="1">
        <v>45154</v>
      </c>
      <c r="G280" t="s">
        <v>8</v>
      </c>
      <c r="H280" s="2">
        <v>43.55</v>
      </c>
      <c r="I280" s="2">
        <v>34.35</v>
      </c>
      <c r="J280" s="2">
        <v>30.65</v>
      </c>
      <c r="K280" s="2">
        <f t="shared" si="97"/>
        <v>307.5</v>
      </c>
      <c r="L280" s="2">
        <v>2.0499999999999998</v>
      </c>
      <c r="M280" s="2">
        <v>0.31</v>
      </c>
      <c r="N280" s="6">
        <f t="shared" si="100"/>
        <v>4.4030306278623019</v>
      </c>
      <c r="O280" s="6">
        <f t="shared" si="101"/>
        <v>2.362449889375585</v>
      </c>
      <c r="P280" s="6">
        <f t="shared" si="102"/>
        <v>97.13613159249843</v>
      </c>
      <c r="Q280" s="6">
        <f t="shared" si="98"/>
        <v>7.5094558809221335</v>
      </c>
      <c r="R280" s="10">
        <f t="shared" si="99"/>
        <v>7.5094558809221338E-3</v>
      </c>
      <c r="S280" s="3">
        <f t="shared" si="103"/>
        <v>0.13517020585659842</v>
      </c>
      <c r="T280" s="4">
        <f t="shared" si="104"/>
        <v>1.3517020585659842E-4</v>
      </c>
      <c r="U280" s="3">
        <f t="shared" si="105"/>
        <v>0.4866127410837543</v>
      </c>
      <c r="V280" s="2">
        <v>5.01</v>
      </c>
      <c r="W280" s="2">
        <v>1.0900000000000001</v>
      </c>
      <c r="X280" s="2">
        <f t="shared" si="106"/>
        <v>10900</v>
      </c>
      <c r="Y280" s="5">
        <v>-0.51</v>
      </c>
      <c r="Z280" s="5">
        <v>-1.81</v>
      </c>
      <c r="AA280" s="2">
        <f t="shared" si="107"/>
        <v>1.3</v>
      </c>
      <c r="AB280" s="3">
        <f t="shared" si="108"/>
        <v>0.37431749314134943</v>
      </c>
    </row>
    <row r="281" spans="1:28" x14ac:dyDescent="0.2">
      <c r="A281" t="s">
        <v>10</v>
      </c>
      <c r="B281">
        <v>666</v>
      </c>
      <c r="C281">
        <v>118</v>
      </c>
      <c r="D281">
        <v>10</v>
      </c>
      <c r="E281" t="s">
        <v>7</v>
      </c>
      <c r="F281" s="1">
        <v>45154</v>
      </c>
      <c r="G281" t="s">
        <v>8</v>
      </c>
      <c r="H281" s="2">
        <v>29.28</v>
      </c>
      <c r="I281" s="2">
        <v>38.200000000000003</v>
      </c>
      <c r="J281" s="2">
        <v>33.770000000000003</v>
      </c>
      <c r="K281" s="2">
        <f t="shared" si="97"/>
        <v>311.34999999999997</v>
      </c>
      <c r="L281" s="2">
        <v>3.29</v>
      </c>
      <c r="M281" s="2">
        <v>0.3</v>
      </c>
      <c r="N281" s="6">
        <f t="shared" si="100"/>
        <v>5.2520643939363438</v>
      </c>
      <c r="O281" s="6">
        <f t="shared" si="101"/>
        <v>1.9619681451851345</v>
      </c>
      <c r="P281" s="6">
        <f t="shared" si="102"/>
        <v>97.186856561242394</v>
      </c>
      <c r="Q281" s="6">
        <f t="shared" si="98"/>
        <v>6.0565732755229513</v>
      </c>
      <c r="R281" s="10">
        <f t="shared" si="99"/>
        <v>6.0565732755229517E-3</v>
      </c>
      <c r="S281" s="3">
        <f t="shared" si="103"/>
        <v>0.10901831895941314</v>
      </c>
      <c r="T281" s="4">
        <f t="shared" si="104"/>
        <v>1.0901831895941314E-4</v>
      </c>
      <c r="U281" s="3">
        <f t="shared" si="105"/>
        <v>0.39246594825388731</v>
      </c>
      <c r="V281" s="2">
        <v>3.56</v>
      </c>
      <c r="W281" s="6">
        <v>1</v>
      </c>
      <c r="X281" s="2">
        <f t="shared" si="106"/>
        <v>10000</v>
      </c>
      <c r="Y281" s="5">
        <v>-0.42</v>
      </c>
      <c r="Z281" s="5">
        <v>-1.82</v>
      </c>
      <c r="AA281" s="2">
        <f t="shared" si="107"/>
        <v>1.4000000000000001</v>
      </c>
      <c r="AB281" s="3">
        <f t="shared" si="108"/>
        <v>0.28033282018134803</v>
      </c>
    </row>
    <row r="282" spans="1:28" x14ac:dyDescent="0.2">
      <c r="A282" t="s">
        <v>10</v>
      </c>
      <c r="B282">
        <v>666</v>
      </c>
      <c r="C282">
        <v>118</v>
      </c>
      <c r="D282">
        <v>11</v>
      </c>
      <c r="E282" t="s">
        <v>7</v>
      </c>
      <c r="F282" s="1">
        <v>45154</v>
      </c>
      <c r="G282" t="s">
        <v>8</v>
      </c>
      <c r="H282" s="2">
        <v>42.46</v>
      </c>
      <c r="I282" s="2">
        <v>34.409999999999997</v>
      </c>
      <c r="J282" s="2">
        <v>31.33</v>
      </c>
      <c r="K282" s="2">
        <f t="shared" si="97"/>
        <v>307.55999999999995</v>
      </c>
      <c r="L282" s="2">
        <v>2.27</v>
      </c>
      <c r="M282" s="2">
        <v>0.12</v>
      </c>
      <c r="N282" s="6">
        <f t="shared" si="100"/>
        <v>4.5771106563627146</v>
      </c>
      <c r="O282" s="6">
        <f t="shared" si="101"/>
        <v>2.3110211954612572</v>
      </c>
      <c r="P282" s="6">
        <f t="shared" si="102"/>
        <v>97.136931647315876</v>
      </c>
      <c r="Q282" s="6">
        <f t="shared" si="98"/>
        <v>2.8501340743263617</v>
      </c>
      <c r="R282" s="10">
        <f t="shared" si="99"/>
        <v>2.8501340743263617E-3</v>
      </c>
      <c r="S282" s="3">
        <f t="shared" si="103"/>
        <v>5.1302413337874511E-2</v>
      </c>
      <c r="T282" s="4">
        <f t="shared" si="104"/>
        <v>5.1302413337874511E-5</v>
      </c>
      <c r="U282" s="3">
        <f t="shared" si="105"/>
        <v>0.18468868801634825</v>
      </c>
      <c r="V282" s="2">
        <v>3.32</v>
      </c>
      <c r="W282" s="2">
        <v>0.91</v>
      </c>
      <c r="X282" s="2">
        <f t="shared" si="106"/>
        <v>9100</v>
      </c>
      <c r="Y282" s="5">
        <v>-0.39</v>
      </c>
      <c r="Z282" s="5">
        <v>-1.94</v>
      </c>
      <c r="AA282" s="2">
        <f t="shared" si="107"/>
        <v>1.5499999999999998</v>
      </c>
      <c r="AB282" s="3">
        <f t="shared" si="108"/>
        <v>0.11915399226861179</v>
      </c>
    </row>
    <row r="283" spans="1:28" x14ac:dyDescent="0.2">
      <c r="A283" t="s">
        <v>10</v>
      </c>
      <c r="B283">
        <v>666</v>
      </c>
      <c r="C283">
        <v>118</v>
      </c>
      <c r="D283">
        <v>12</v>
      </c>
      <c r="E283" t="s">
        <v>7</v>
      </c>
      <c r="F283" s="1">
        <v>45155</v>
      </c>
      <c r="G283" t="s">
        <v>8</v>
      </c>
      <c r="H283" s="2">
        <v>32.71</v>
      </c>
      <c r="I283" s="2">
        <v>36.229999999999997</v>
      </c>
      <c r="J283" s="2">
        <v>33.01</v>
      </c>
      <c r="K283" s="2">
        <f t="shared" si="97"/>
        <v>309.38</v>
      </c>
      <c r="L283" s="2">
        <v>3.07</v>
      </c>
      <c r="M283" s="2">
        <v>0.23</v>
      </c>
      <c r="N283" s="6">
        <f t="shared" si="100"/>
        <v>5.0331169710723156</v>
      </c>
      <c r="O283" s="6">
        <f t="shared" si="101"/>
        <v>1.9686759500482633</v>
      </c>
      <c r="P283" s="6">
        <f t="shared" si="102"/>
        <v>97.161055600591737</v>
      </c>
      <c r="Q283" s="6">
        <f t="shared" si="98"/>
        <v>4.6470975490707076</v>
      </c>
      <c r="R283" s="10">
        <f t="shared" si="99"/>
        <v>4.6470975490707075E-3</v>
      </c>
      <c r="S283" s="3">
        <f t="shared" si="103"/>
        <v>8.3647755883272737E-2</v>
      </c>
      <c r="T283" s="4">
        <f t="shared" si="104"/>
        <v>8.3647755883272743E-5</v>
      </c>
      <c r="U283" s="3">
        <f t="shared" si="105"/>
        <v>0.30113192117978188</v>
      </c>
      <c r="V283" s="2">
        <v>1.61</v>
      </c>
      <c r="W283" s="2">
        <v>0.5</v>
      </c>
      <c r="X283" s="2">
        <f t="shared" si="106"/>
        <v>5000</v>
      </c>
      <c r="Y283" s="5">
        <v>-0.35</v>
      </c>
      <c r="Z283" s="5">
        <v>-1.97</v>
      </c>
      <c r="AA283" s="2">
        <f t="shared" si="107"/>
        <v>1.62</v>
      </c>
      <c r="AB283" s="3">
        <f t="shared" si="108"/>
        <v>0.18588390196282831</v>
      </c>
    </row>
    <row r="284" spans="1:28" x14ac:dyDescent="0.2">
      <c r="A284" t="s">
        <v>10</v>
      </c>
      <c r="B284">
        <v>666</v>
      </c>
      <c r="C284">
        <v>122</v>
      </c>
      <c r="D284">
        <v>16</v>
      </c>
      <c r="E284" t="s">
        <v>7</v>
      </c>
      <c r="F284" s="1">
        <v>45154</v>
      </c>
      <c r="G284" t="s">
        <v>8</v>
      </c>
      <c r="H284" s="2">
        <v>40.869999999999997</v>
      </c>
      <c r="I284" s="2">
        <v>35.28</v>
      </c>
      <c r="J284" s="2">
        <v>32.28</v>
      </c>
      <c r="K284" s="2">
        <f t="shared" si="97"/>
        <v>308.42999999999995</v>
      </c>
      <c r="L284" s="2">
        <v>2.5</v>
      </c>
      <c r="M284" s="2">
        <v>0.28000000000000003</v>
      </c>
      <c r="N284" s="6">
        <f t="shared" si="100"/>
        <v>4.8303336805189776</v>
      </c>
      <c r="O284" s="6">
        <f t="shared" si="101"/>
        <v>2.3344010283092174</v>
      </c>
      <c r="P284" s="6">
        <f t="shared" si="102"/>
        <v>97.148498198847349</v>
      </c>
      <c r="Q284" s="6">
        <f t="shared" si="98"/>
        <v>6.7164541155310991</v>
      </c>
      <c r="R284" s="10">
        <f t="shared" si="99"/>
        <v>6.7164541155310988E-3</v>
      </c>
      <c r="S284" s="3">
        <f t="shared" si="103"/>
        <v>0.12089617407955977</v>
      </c>
      <c r="T284" s="4">
        <f t="shared" si="104"/>
        <v>1.2089617407955977E-4</v>
      </c>
      <c r="U284" s="3">
        <f t="shared" si="105"/>
        <v>0.4352262266864152</v>
      </c>
      <c r="V284" s="2">
        <v>7.05</v>
      </c>
      <c r="W284" s="2">
        <v>2.21</v>
      </c>
      <c r="X284" s="2">
        <f t="shared" si="106"/>
        <v>22100</v>
      </c>
      <c r="Y284" s="5">
        <v>-0.42</v>
      </c>
      <c r="Z284" s="5">
        <v>-1.35</v>
      </c>
      <c r="AA284" s="2">
        <f t="shared" si="107"/>
        <v>0.93000000000000016</v>
      </c>
      <c r="AB284" s="3">
        <f t="shared" si="108"/>
        <v>0.46798518998539262</v>
      </c>
    </row>
    <row r="285" spans="1:28" x14ac:dyDescent="0.2">
      <c r="A285" t="s">
        <v>10</v>
      </c>
      <c r="B285">
        <v>666</v>
      </c>
      <c r="C285">
        <v>122</v>
      </c>
      <c r="D285">
        <v>17</v>
      </c>
      <c r="E285" t="s">
        <v>7</v>
      </c>
      <c r="F285" s="1">
        <v>45154</v>
      </c>
      <c r="G285" t="s">
        <v>8</v>
      </c>
      <c r="H285" s="2">
        <v>34.68</v>
      </c>
      <c r="I285" s="2">
        <v>36.81</v>
      </c>
      <c r="J285" s="2">
        <v>32.5</v>
      </c>
      <c r="K285" s="2">
        <f t="shared" si="97"/>
        <v>309.95999999999998</v>
      </c>
      <c r="L285" s="2">
        <v>2.75</v>
      </c>
      <c r="M285" s="2">
        <v>0.28999999999999998</v>
      </c>
      <c r="N285" s="6">
        <f t="shared" si="100"/>
        <v>4.8906840085224079</v>
      </c>
      <c r="O285" s="6">
        <f t="shared" si="101"/>
        <v>2.1546129974998043</v>
      </c>
      <c r="P285" s="6">
        <f t="shared" si="102"/>
        <v>97.168685173998256</v>
      </c>
      <c r="Q285" s="6">
        <f t="shared" si="98"/>
        <v>6.3888727254037194</v>
      </c>
      <c r="R285" s="10">
        <f t="shared" si="99"/>
        <v>6.3888727254037192E-3</v>
      </c>
      <c r="S285" s="3">
        <f t="shared" si="103"/>
        <v>0.11499970905726695</v>
      </c>
      <c r="T285" s="4">
        <f t="shared" si="104"/>
        <v>1.1499970905726695E-4</v>
      </c>
      <c r="U285" s="3">
        <f t="shared" si="105"/>
        <v>0.41399895260616104</v>
      </c>
      <c r="V285" s="2">
        <v>4.82</v>
      </c>
      <c r="W285" s="2">
        <v>1.19</v>
      </c>
      <c r="X285" s="2">
        <f t="shared" si="106"/>
        <v>11900</v>
      </c>
      <c r="Y285" s="5">
        <v>-0.66</v>
      </c>
      <c r="Z285" s="5">
        <v>-1.39</v>
      </c>
      <c r="AA285" s="2">
        <f t="shared" si="107"/>
        <v>0.72999999999999987</v>
      </c>
      <c r="AB285" s="3">
        <f t="shared" si="108"/>
        <v>0.56712185288515227</v>
      </c>
    </row>
    <row r="286" spans="1:28" x14ac:dyDescent="0.2">
      <c r="A286" t="s">
        <v>10</v>
      </c>
      <c r="B286">
        <v>666</v>
      </c>
      <c r="C286">
        <v>122</v>
      </c>
      <c r="D286">
        <v>18</v>
      </c>
      <c r="E286" t="s">
        <v>7</v>
      </c>
      <c r="F286" s="1">
        <v>45155</v>
      </c>
      <c r="G286" t="s">
        <v>8</v>
      </c>
      <c r="H286" s="2">
        <v>29.99</v>
      </c>
      <c r="I286" s="2">
        <v>37.369999999999997</v>
      </c>
      <c r="J286" s="2">
        <v>33.78</v>
      </c>
      <c r="K286" s="2">
        <f t="shared" si="97"/>
        <v>310.52</v>
      </c>
      <c r="L286" s="2">
        <v>3.34</v>
      </c>
      <c r="M286" s="2">
        <v>0.31</v>
      </c>
      <c r="N286" s="6">
        <f t="shared" si="100"/>
        <v>5.2549996259374332</v>
      </c>
      <c r="O286" s="6">
        <f t="shared" si="101"/>
        <v>1.9210242535060214</v>
      </c>
      <c r="P286" s="6">
        <f t="shared" si="102"/>
        <v>97.176025179748891</v>
      </c>
      <c r="Q286" s="6">
        <f t="shared" si="98"/>
        <v>6.1090159115122846</v>
      </c>
      <c r="R286" s="10">
        <f t="shared" si="99"/>
        <v>6.1090159115122847E-3</v>
      </c>
      <c r="S286" s="3">
        <f t="shared" si="103"/>
        <v>0.10996228640722112</v>
      </c>
      <c r="T286" s="4">
        <f t="shared" si="104"/>
        <v>1.0996228640722113E-4</v>
      </c>
      <c r="U286" s="3">
        <f t="shared" si="105"/>
        <v>0.39586423106599605</v>
      </c>
      <c r="V286" s="2">
        <v>7.37</v>
      </c>
      <c r="W286" s="2">
        <v>1.96</v>
      </c>
      <c r="X286" s="2">
        <f t="shared" si="106"/>
        <v>19600</v>
      </c>
      <c r="Y286" s="5">
        <v>-0.75</v>
      </c>
      <c r="Z286" s="5">
        <v>-1.96</v>
      </c>
      <c r="AA286" s="2">
        <f t="shared" si="107"/>
        <v>1.21</v>
      </c>
      <c r="AB286" s="3">
        <f t="shared" si="108"/>
        <v>0.32716052154214553</v>
      </c>
    </row>
    <row r="287" spans="1:28" x14ac:dyDescent="0.2">
      <c r="A287" t="s">
        <v>10</v>
      </c>
      <c r="B287">
        <v>666</v>
      </c>
      <c r="C287">
        <v>123</v>
      </c>
      <c r="D287">
        <v>19</v>
      </c>
      <c r="E287" t="s">
        <v>7</v>
      </c>
      <c r="F287" s="1">
        <v>45155</v>
      </c>
      <c r="G287" t="s">
        <v>8</v>
      </c>
      <c r="H287" s="2">
        <v>37.15</v>
      </c>
      <c r="I287" s="2">
        <v>32.79</v>
      </c>
      <c r="J287" s="2">
        <v>29.12</v>
      </c>
      <c r="K287" s="2">
        <f t="shared" si="97"/>
        <v>305.94</v>
      </c>
      <c r="L287" s="2">
        <v>2.19</v>
      </c>
      <c r="M287" s="2">
        <v>0.37</v>
      </c>
      <c r="N287" s="6">
        <f t="shared" si="100"/>
        <v>4.0322954051959732</v>
      </c>
      <c r="O287" s="6">
        <f t="shared" si="101"/>
        <v>1.8468151821458287</v>
      </c>
      <c r="P287" s="6">
        <f t="shared" si="102"/>
        <v>97.11522235732582</v>
      </c>
      <c r="Q287" s="6">
        <f t="shared" si="98"/>
        <v>7.0189748154460183</v>
      </c>
      <c r="R287" s="10">
        <f t="shared" si="99"/>
        <v>7.0189748154460187E-3</v>
      </c>
      <c r="S287" s="3">
        <f t="shared" si="103"/>
        <v>0.12634154667802833</v>
      </c>
      <c r="T287" s="4">
        <f t="shared" si="104"/>
        <v>1.2634154667802831E-4</v>
      </c>
      <c r="U287" s="3">
        <f t="shared" si="105"/>
        <v>0.45482956804090191</v>
      </c>
      <c r="V287" s="2">
        <v>6.06</v>
      </c>
      <c r="W287" s="2">
        <v>1.55</v>
      </c>
      <c r="X287" s="2">
        <f t="shared" si="106"/>
        <v>15500</v>
      </c>
      <c r="Y287" s="5">
        <v>-0.55000000000000004</v>
      </c>
      <c r="Z287" s="5">
        <v>-1.89</v>
      </c>
      <c r="AA287" s="2">
        <f t="shared" si="107"/>
        <v>1.3399999999999999</v>
      </c>
      <c r="AB287" s="3">
        <f t="shared" si="108"/>
        <v>0.33942505077679253</v>
      </c>
    </row>
    <row r="288" spans="1:28" x14ac:dyDescent="0.2">
      <c r="A288" t="s">
        <v>10</v>
      </c>
      <c r="B288">
        <v>666</v>
      </c>
      <c r="C288">
        <v>123</v>
      </c>
      <c r="D288">
        <v>20</v>
      </c>
      <c r="E288" t="s">
        <v>7</v>
      </c>
      <c r="F288" s="1">
        <v>45155</v>
      </c>
      <c r="G288" t="s">
        <v>8</v>
      </c>
      <c r="H288" s="2">
        <v>36.39</v>
      </c>
      <c r="I288" s="2">
        <v>33.619999999999997</v>
      </c>
      <c r="J288" s="2">
        <v>30.28</v>
      </c>
      <c r="K288" s="2">
        <f t="shared" si="97"/>
        <v>306.77</v>
      </c>
      <c r="L288" s="2">
        <v>2.42</v>
      </c>
      <c r="M288" s="2">
        <v>0.36</v>
      </c>
      <c r="N288" s="6">
        <f t="shared" si="100"/>
        <v>4.3107561517073343</v>
      </c>
      <c r="O288" s="6">
        <f t="shared" si="101"/>
        <v>1.8952664213409864</v>
      </c>
      <c r="P288" s="6">
        <f t="shared" si="102"/>
        <v>97.126373055440936</v>
      </c>
      <c r="Q288" s="6">
        <f t="shared" si="98"/>
        <v>7.0081090562920973</v>
      </c>
      <c r="R288" s="10">
        <f t="shared" si="99"/>
        <v>7.0081090562920971E-3</v>
      </c>
      <c r="S288" s="3">
        <f t="shared" si="103"/>
        <v>0.12614596301325776</v>
      </c>
      <c r="T288" s="4">
        <f t="shared" si="104"/>
        <v>1.2614596301325777E-4</v>
      </c>
      <c r="U288" s="3">
        <f t="shared" si="105"/>
        <v>0.45412546684772798</v>
      </c>
      <c r="V288" s="2">
        <v>5.82</v>
      </c>
      <c r="W288" s="2">
        <v>2.02</v>
      </c>
      <c r="X288" s="2">
        <f t="shared" si="106"/>
        <v>20200</v>
      </c>
      <c r="Y288" s="5">
        <v>-1.38</v>
      </c>
      <c r="Z288" s="5">
        <v>-2.11</v>
      </c>
      <c r="AA288" s="2">
        <f t="shared" si="107"/>
        <v>0.73</v>
      </c>
      <c r="AB288" s="3">
        <f t="shared" si="108"/>
        <v>0.62208968061332603</v>
      </c>
    </row>
    <row r="289" spans="1:28" x14ac:dyDescent="0.2">
      <c r="A289" t="s">
        <v>10</v>
      </c>
      <c r="B289">
        <v>666</v>
      </c>
      <c r="C289">
        <v>123</v>
      </c>
      <c r="D289">
        <v>22</v>
      </c>
      <c r="E289" t="s">
        <v>7</v>
      </c>
      <c r="F289" s="1">
        <v>45155</v>
      </c>
      <c r="G289" t="s">
        <v>8</v>
      </c>
      <c r="H289" s="2">
        <v>33.14</v>
      </c>
      <c r="I289" s="2">
        <v>37.11</v>
      </c>
      <c r="J289" s="2">
        <v>32.17</v>
      </c>
      <c r="K289" s="2">
        <f t="shared" si="97"/>
        <v>310.26</v>
      </c>
      <c r="L289" s="2">
        <v>2.71</v>
      </c>
      <c r="M289" s="2">
        <v>0.44</v>
      </c>
      <c r="N289" s="6">
        <f t="shared" si="100"/>
        <v>4.8004023548511645</v>
      </c>
      <c r="O289" s="6">
        <f t="shared" si="101"/>
        <v>2.0929373386315229</v>
      </c>
      <c r="P289" s="6">
        <f t="shared" si="102"/>
        <v>97.17262054615945</v>
      </c>
      <c r="Q289" s="6">
        <f t="shared" si="98"/>
        <v>9.4653929364557499</v>
      </c>
      <c r="R289" s="10">
        <f t="shared" si="99"/>
        <v>9.4653929364557493E-3</v>
      </c>
      <c r="S289" s="3">
        <f t="shared" si="103"/>
        <v>0.17037707285620349</v>
      </c>
      <c r="T289" s="4">
        <f t="shared" si="104"/>
        <v>1.7037707285620348E-4</v>
      </c>
      <c r="U289" s="3">
        <f t="shared" si="105"/>
        <v>0.61335746228233257</v>
      </c>
      <c r="V289" s="2">
        <v>4.78</v>
      </c>
      <c r="W289" s="2">
        <v>1.58</v>
      </c>
      <c r="X289" s="2">
        <f t="shared" si="106"/>
        <v>15800</v>
      </c>
      <c r="Y289" s="5">
        <v>-0.69</v>
      </c>
      <c r="Z289" s="5">
        <v>-2.1</v>
      </c>
      <c r="AA289" s="2">
        <f t="shared" si="107"/>
        <v>1.4100000000000001</v>
      </c>
      <c r="AB289" s="3">
        <f t="shared" si="108"/>
        <v>0.43500529239881736</v>
      </c>
    </row>
    <row r="290" spans="1:28" x14ac:dyDescent="0.2">
      <c r="A290" t="s">
        <v>11</v>
      </c>
      <c r="B290">
        <v>1212</v>
      </c>
      <c r="C290">
        <v>3</v>
      </c>
      <c r="D290">
        <v>29</v>
      </c>
      <c r="E290" t="s">
        <v>7</v>
      </c>
      <c r="F290" s="1">
        <v>45155</v>
      </c>
      <c r="G290" t="s">
        <v>8</v>
      </c>
      <c r="H290" s="2">
        <v>32.74</v>
      </c>
      <c r="I290" s="2">
        <v>36.31</v>
      </c>
      <c r="J290" s="2">
        <v>33.82</v>
      </c>
      <c r="K290" s="2">
        <f t="shared" si="97"/>
        <v>309.45999999999998</v>
      </c>
      <c r="L290" s="2">
        <v>3.29</v>
      </c>
      <c r="M290" s="2">
        <v>0.16</v>
      </c>
      <c r="N290" s="6">
        <f t="shared" si="100"/>
        <v>5.2667548255803851</v>
      </c>
      <c r="O290" s="6">
        <f t="shared" si="101"/>
        <v>1.9791502388381541</v>
      </c>
      <c r="P290" s="6">
        <f t="shared" si="102"/>
        <v>97.162109620187252</v>
      </c>
      <c r="Q290" s="6">
        <f t="shared" si="98"/>
        <v>3.2551863409432222</v>
      </c>
      <c r="R290" s="10">
        <f t="shared" si="99"/>
        <v>3.2551863409432222E-3</v>
      </c>
      <c r="S290" s="3">
        <f t="shared" si="103"/>
        <v>5.8593354136977999E-2</v>
      </c>
      <c r="T290" s="4">
        <f t="shared" si="104"/>
        <v>5.8593354136977995E-5</v>
      </c>
      <c r="U290" s="3">
        <f t="shared" si="105"/>
        <v>0.21093607489312077</v>
      </c>
      <c r="V290" s="2">
        <v>8.68</v>
      </c>
      <c r="W290" s="2">
        <v>2.3199999999999998</v>
      </c>
      <c r="X290" s="2">
        <f t="shared" si="106"/>
        <v>23200</v>
      </c>
      <c r="Y290" s="5">
        <v>-0.56000000000000005</v>
      </c>
      <c r="Z290" s="5">
        <v>-1.69</v>
      </c>
      <c r="AA290" s="2">
        <f t="shared" si="107"/>
        <v>1.1299999999999999</v>
      </c>
      <c r="AB290" s="3">
        <f t="shared" si="108"/>
        <v>0.1866690928257706</v>
      </c>
    </row>
    <row r="291" spans="1:28" x14ac:dyDescent="0.2">
      <c r="A291" t="s">
        <v>11</v>
      </c>
      <c r="B291">
        <v>1212</v>
      </c>
      <c r="C291">
        <v>3</v>
      </c>
      <c r="D291">
        <v>30</v>
      </c>
      <c r="E291" t="s">
        <v>7</v>
      </c>
      <c r="F291" s="1">
        <v>45155</v>
      </c>
      <c r="G291" t="s">
        <v>8</v>
      </c>
      <c r="H291" s="2">
        <v>32.81</v>
      </c>
      <c r="I291" s="2">
        <v>36.520000000000003</v>
      </c>
      <c r="J291" s="2">
        <v>32.57</v>
      </c>
      <c r="K291" s="2">
        <f t="shared" si="97"/>
        <v>309.66999999999996</v>
      </c>
      <c r="L291" s="2">
        <v>2.91</v>
      </c>
      <c r="M291" s="2">
        <v>0.19</v>
      </c>
      <c r="N291" s="6">
        <f t="shared" si="100"/>
        <v>4.9100234992238576</v>
      </c>
      <c r="O291" s="6">
        <f t="shared" si="101"/>
        <v>2.0063439133323109</v>
      </c>
      <c r="P291" s="6">
        <f t="shared" si="102"/>
        <v>97.164873884883349</v>
      </c>
      <c r="Q291" s="6">
        <f t="shared" si="98"/>
        <v>3.910924284250556</v>
      </c>
      <c r="R291" s="10">
        <f t="shared" si="99"/>
        <v>3.9109242842505559E-3</v>
      </c>
      <c r="S291" s="3">
        <f t="shared" si="103"/>
        <v>7.0396637116510008E-2</v>
      </c>
      <c r="T291" s="4">
        <f t="shared" si="104"/>
        <v>7.0396637116510003E-5</v>
      </c>
      <c r="U291" s="3">
        <f t="shared" si="105"/>
        <v>0.25342789361943602</v>
      </c>
      <c r="V291" s="6">
        <v>7</v>
      </c>
      <c r="W291" s="2">
        <v>2.4300000000000002</v>
      </c>
      <c r="X291" s="2">
        <f t="shared" si="106"/>
        <v>24300</v>
      </c>
      <c r="Y291" s="5">
        <v>-0.51</v>
      </c>
      <c r="Z291" s="5">
        <v>-2.15</v>
      </c>
      <c r="AA291" s="2">
        <f t="shared" si="107"/>
        <v>1.64</v>
      </c>
      <c r="AB291" s="3">
        <f t="shared" si="108"/>
        <v>0.15452920342648538</v>
      </c>
    </row>
    <row r="292" spans="1:28" x14ac:dyDescent="0.2">
      <c r="A292" t="s">
        <v>11</v>
      </c>
      <c r="B292">
        <v>1212</v>
      </c>
      <c r="C292">
        <v>3</v>
      </c>
      <c r="D292">
        <v>31</v>
      </c>
      <c r="E292" t="s">
        <v>7</v>
      </c>
      <c r="F292" s="1">
        <v>45154</v>
      </c>
      <c r="G292" t="s">
        <v>8</v>
      </c>
      <c r="H292" s="2">
        <v>43.93</v>
      </c>
      <c r="I292" s="2">
        <v>34.619999999999997</v>
      </c>
      <c r="J292" s="2">
        <v>30.92</v>
      </c>
      <c r="K292" s="2">
        <f t="shared" si="97"/>
        <v>307.77</v>
      </c>
      <c r="L292" s="2">
        <v>2.06</v>
      </c>
      <c r="M292" s="2">
        <v>0.24</v>
      </c>
      <c r="N292" s="6">
        <f t="shared" si="100"/>
        <v>4.4714475714066806</v>
      </c>
      <c r="O292" s="6">
        <f t="shared" si="101"/>
        <v>2.4190976330476714</v>
      </c>
      <c r="P292" s="6">
        <f t="shared" si="102"/>
        <v>97.13972943444135</v>
      </c>
      <c r="Q292" s="6">
        <f t="shared" si="98"/>
        <v>5.9578858259863114</v>
      </c>
      <c r="R292" s="10">
        <f t="shared" si="99"/>
        <v>5.957885825986311E-3</v>
      </c>
      <c r="S292" s="3">
        <f t="shared" si="103"/>
        <v>0.1072419448677536</v>
      </c>
      <c r="T292" s="4">
        <f t="shared" si="104"/>
        <v>1.072419448677536E-4</v>
      </c>
      <c r="U292" s="3">
        <f t="shared" si="105"/>
        <v>0.38607100152391299</v>
      </c>
      <c r="V292" s="2">
        <v>6.14</v>
      </c>
      <c r="W292" s="2">
        <v>1.8</v>
      </c>
      <c r="X292" s="2">
        <f t="shared" si="106"/>
        <v>18000</v>
      </c>
      <c r="Y292" s="5">
        <v>-0.52</v>
      </c>
      <c r="Z292" s="5">
        <v>-1.94</v>
      </c>
      <c r="AA292" s="2">
        <f t="shared" si="107"/>
        <v>1.42</v>
      </c>
      <c r="AB292" s="3">
        <f t="shared" si="108"/>
        <v>0.27188098698867114</v>
      </c>
    </row>
    <row r="293" spans="1:28" x14ac:dyDescent="0.2">
      <c r="A293" t="s">
        <v>11</v>
      </c>
      <c r="B293">
        <v>1212</v>
      </c>
      <c r="C293">
        <v>4</v>
      </c>
      <c r="D293">
        <v>32</v>
      </c>
      <c r="E293" t="s">
        <v>7</v>
      </c>
      <c r="F293" s="1">
        <v>45155</v>
      </c>
      <c r="G293" t="s">
        <v>8</v>
      </c>
      <c r="H293" s="2">
        <v>31.58</v>
      </c>
      <c r="I293" s="2">
        <v>36.46</v>
      </c>
      <c r="J293" s="2">
        <v>33.57</v>
      </c>
      <c r="K293" s="2">
        <f t="shared" si="97"/>
        <v>309.60999999999996</v>
      </c>
      <c r="L293" s="2">
        <v>3.27</v>
      </c>
      <c r="M293" s="2">
        <v>0.21</v>
      </c>
      <c r="N293" s="6">
        <f t="shared" si="100"/>
        <v>5.1936584420716354</v>
      </c>
      <c r="O293" s="6">
        <f t="shared" si="101"/>
        <v>1.9247917269703427</v>
      </c>
      <c r="P293" s="6">
        <f t="shared" si="102"/>
        <v>97.164084469585561</v>
      </c>
      <c r="Q293" s="6">
        <f t="shared" si="98"/>
        <v>4.1575884241619567</v>
      </c>
      <c r="R293" s="10">
        <f t="shared" si="99"/>
        <v>4.1575884241619567E-3</v>
      </c>
      <c r="S293" s="3">
        <f t="shared" si="103"/>
        <v>7.4836591634915225E-2</v>
      </c>
      <c r="T293" s="4">
        <f t="shared" si="104"/>
        <v>7.4836591634915226E-5</v>
      </c>
      <c r="U293" s="3">
        <f t="shared" si="105"/>
        <v>0.26941172988569484</v>
      </c>
      <c r="V293" s="2">
        <v>6.68</v>
      </c>
      <c r="W293" s="2">
        <v>1.44</v>
      </c>
      <c r="X293" s="2">
        <f t="shared" si="106"/>
        <v>14400</v>
      </c>
      <c r="Y293" s="5">
        <v>-0.49</v>
      </c>
      <c r="Z293" s="5">
        <v>-1.91</v>
      </c>
      <c r="AA293" s="2">
        <f t="shared" si="107"/>
        <v>1.42</v>
      </c>
      <c r="AB293" s="3">
        <f t="shared" si="108"/>
        <v>0.18972657034203863</v>
      </c>
    </row>
    <row r="294" spans="1:28" x14ac:dyDescent="0.2">
      <c r="A294" t="s">
        <v>11</v>
      </c>
      <c r="B294">
        <v>1212</v>
      </c>
      <c r="C294">
        <v>4</v>
      </c>
      <c r="D294">
        <v>33</v>
      </c>
      <c r="E294" t="s">
        <v>7</v>
      </c>
      <c r="F294" s="1">
        <v>45154</v>
      </c>
      <c r="G294" t="s">
        <v>8</v>
      </c>
      <c r="H294" s="2">
        <v>37.43</v>
      </c>
      <c r="I294" s="2">
        <v>36.549999999999997</v>
      </c>
      <c r="J294" s="2">
        <v>33.03</v>
      </c>
      <c r="K294" s="2">
        <f t="shared" si="97"/>
        <v>309.7</v>
      </c>
      <c r="L294" s="2">
        <v>2.75</v>
      </c>
      <c r="M294" s="2">
        <v>0.36</v>
      </c>
      <c r="N294" s="6">
        <f t="shared" si="100"/>
        <v>5.0387753530460113</v>
      </c>
      <c r="O294" s="6">
        <f t="shared" si="101"/>
        <v>2.2926222839637118</v>
      </c>
      <c r="P294" s="6">
        <f t="shared" si="102"/>
        <v>97.165268480232868</v>
      </c>
      <c r="Q294" s="6">
        <f t="shared" si="98"/>
        <v>8.4799758183572429</v>
      </c>
      <c r="R294" s="10">
        <f t="shared" si="99"/>
        <v>8.4799758183572421E-3</v>
      </c>
      <c r="S294" s="3">
        <f t="shared" si="103"/>
        <v>0.15263956473043036</v>
      </c>
      <c r="T294" s="4">
        <f t="shared" si="104"/>
        <v>1.5263956473043035E-4</v>
      </c>
      <c r="U294" s="3">
        <f t="shared" si="105"/>
        <v>0.54950243302954926</v>
      </c>
      <c r="V294" s="2">
        <v>14.08</v>
      </c>
      <c r="W294" s="2">
        <v>4.13</v>
      </c>
      <c r="X294" s="2">
        <f t="shared" si="106"/>
        <v>41300</v>
      </c>
      <c r="Y294" s="5">
        <v>-0.59</v>
      </c>
      <c r="Z294" s="5">
        <v>-1.76</v>
      </c>
      <c r="AA294" s="2">
        <f t="shared" si="107"/>
        <v>1.17</v>
      </c>
      <c r="AB294" s="3">
        <f t="shared" si="108"/>
        <v>0.46966019917055496</v>
      </c>
    </row>
    <row r="295" spans="1:28" x14ac:dyDescent="0.2">
      <c r="A295" t="s">
        <v>11</v>
      </c>
      <c r="B295">
        <v>1212</v>
      </c>
      <c r="C295">
        <v>4</v>
      </c>
      <c r="D295">
        <v>34</v>
      </c>
      <c r="E295" t="s">
        <v>7</v>
      </c>
      <c r="F295" s="1">
        <v>45155</v>
      </c>
      <c r="G295" t="s">
        <v>8</v>
      </c>
      <c r="H295" s="2">
        <v>32.08</v>
      </c>
      <c r="I295" s="2">
        <v>36.729999999999997</v>
      </c>
      <c r="J295" s="2">
        <v>31.57</v>
      </c>
      <c r="K295" s="2">
        <f t="shared" si="97"/>
        <v>309.88</v>
      </c>
      <c r="L295" s="2">
        <v>2.66</v>
      </c>
      <c r="M295" s="2">
        <v>0.34</v>
      </c>
      <c r="N295" s="6">
        <f t="shared" si="100"/>
        <v>4.6399657482349035</v>
      </c>
      <c r="O295" s="6">
        <f t="shared" si="101"/>
        <v>1.9843807603251498</v>
      </c>
      <c r="P295" s="6">
        <f t="shared" si="102"/>
        <v>97.167634481479922</v>
      </c>
      <c r="Q295" s="6">
        <f t="shared" si="98"/>
        <v>6.9281130285020618</v>
      </c>
      <c r="R295" s="10">
        <f t="shared" si="99"/>
        <v>6.9281130285020615E-3</v>
      </c>
      <c r="S295" s="3">
        <f t="shared" si="103"/>
        <v>0.12470603451303711</v>
      </c>
      <c r="T295" s="4">
        <f t="shared" si="104"/>
        <v>1.247060345130371E-4</v>
      </c>
      <c r="U295" s="3">
        <f t="shared" si="105"/>
        <v>0.44894172424693357</v>
      </c>
      <c r="V295" s="2">
        <v>4.71</v>
      </c>
      <c r="W295" s="2">
        <v>1.38</v>
      </c>
      <c r="X295" s="2">
        <f t="shared" si="106"/>
        <v>13799.999999999998</v>
      </c>
      <c r="Y295" s="5">
        <v>-1.02</v>
      </c>
      <c r="Z295" s="5">
        <v>-2.46</v>
      </c>
      <c r="AA295" s="2">
        <f t="shared" si="107"/>
        <v>1.44</v>
      </c>
      <c r="AB295" s="3">
        <f t="shared" si="108"/>
        <v>0.31176508628259275</v>
      </c>
    </row>
    <row r="296" spans="1:28" x14ac:dyDescent="0.2">
      <c r="A296" t="s">
        <v>11</v>
      </c>
      <c r="B296">
        <v>1212</v>
      </c>
      <c r="C296">
        <v>7</v>
      </c>
      <c r="D296">
        <v>36</v>
      </c>
      <c r="E296" t="s">
        <v>7</v>
      </c>
      <c r="F296" s="1">
        <v>45155</v>
      </c>
      <c r="G296" t="s">
        <v>8</v>
      </c>
      <c r="H296" s="2">
        <v>32.619999999999997</v>
      </c>
      <c r="I296" s="2">
        <v>36.380000000000003</v>
      </c>
      <c r="J296" s="2">
        <v>31.71</v>
      </c>
      <c r="K296" s="2">
        <f t="shared" si="97"/>
        <v>309.52999999999997</v>
      </c>
      <c r="L296" s="2">
        <v>2.7</v>
      </c>
      <c r="M296" s="2">
        <v>0.25</v>
      </c>
      <c r="N296" s="6">
        <f t="shared" si="100"/>
        <v>4.676977216373067</v>
      </c>
      <c r="O296" s="6">
        <f t="shared" si="101"/>
        <v>1.9794805522649481</v>
      </c>
      <c r="P296" s="6">
        <f t="shared" si="102"/>
        <v>97.163031449770344</v>
      </c>
      <c r="Q296" s="6">
        <f t="shared" si="98"/>
        <v>5.0867526127853733</v>
      </c>
      <c r="R296" s="10">
        <f t="shared" si="99"/>
        <v>5.0867526127853736E-3</v>
      </c>
      <c r="S296" s="3">
        <f t="shared" si="103"/>
        <v>9.156154703013672E-2</v>
      </c>
      <c r="T296" s="4">
        <f t="shared" si="104"/>
        <v>9.1561547030136723E-5</v>
      </c>
      <c r="U296" s="3">
        <f t="shared" si="105"/>
        <v>0.32962156930849218</v>
      </c>
      <c r="V296" s="2">
        <v>6.11</v>
      </c>
      <c r="W296" s="2">
        <v>0.97</v>
      </c>
      <c r="X296" s="2">
        <f t="shared" si="106"/>
        <v>9700</v>
      </c>
      <c r="Y296" s="5">
        <v>-0.52</v>
      </c>
      <c r="Z296" s="5">
        <v>-1.86</v>
      </c>
      <c r="AA296" s="2">
        <f t="shared" si="107"/>
        <v>1.34</v>
      </c>
      <c r="AB296" s="3">
        <f t="shared" si="108"/>
        <v>0.24598624575260608</v>
      </c>
    </row>
    <row r="297" spans="1:28" x14ac:dyDescent="0.2">
      <c r="A297" t="s">
        <v>11</v>
      </c>
      <c r="B297">
        <v>1212</v>
      </c>
      <c r="C297">
        <v>7</v>
      </c>
      <c r="D297">
        <v>37</v>
      </c>
      <c r="E297" t="s">
        <v>7</v>
      </c>
      <c r="F297" s="1">
        <v>45155</v>
      </c>
      <c r="G297" t="s">
        <v>8</v>
      </c>
      <c r="H297" s="2">
        <v>31.96</v>
      </c>
      <c r="I297" s="2">
        <v>37.19</v>
      </c>
      <c r="J297" s="2">
        <v>31.65</v>
      </c>
      <c r="K297" s="2">
        <f t="shared" si="97"/>
        <v>310.33999999999997</v>
      </c>
      <c r="L297" s="2">
        <v>2.64</v>
      </c>
      <c r="M297" s="2">
        <v>0.38</v>
      </c>
      <c r="N297" s="6">
        <f t="shared" si="100"/>
        <v>4.6610838021929881</v>
      </c>
      <c r="O297" s="6">
        <f t="shared" si="101"/>
        <v>2.0272384925951186</v>
      </c>
      <c r="P297" s="6">
        <f t="shared" si="102"/>
        <v>97.173668720621947</v>
      </c>
      <c r="Q297" s="6">
        <f t="shared" si="98"/>
        <v>7.9034974694780651</v>
      </c>
      <c r="R297" s="10">
        <f t="shared" si="99"/>
        <v>7.9034974694780647E-3</v>
      </c>
      <c r="S297" s="3">
        <f t="shared" si="103"/>
        <v>0.14226295445060516</v>
      </c>
      <c r="T297" s="4">
        <f t="shared" si="104"/>
        <v>1.4226295445060515E-4</v>
      </c>
      <c r="U297" s="3">
        <f t="shared" si="105"/>
        <v>0.51214663602217858</v>
      </c>
      <c r="V297" s="2">
        <v>3.68</v>
      </c>
      <c r="W297" s="2">
        <v>0.9</v>
      </c>
      <c r="X297" s="2">
        <f t="shared" si="106"/>
        <v>9000</v>
      </c>
      <c r="Y297" s="5">
        <v>-0.62</v>
      </c>
      <c r="Z297" s="5">
        <v>-2.46</v>
      </c>
      <c r="AA297" s="2">
        <f t="shared" si="107"/>
        <v>1.8399999999999999</v>
      </c>
      <c r="AB297" s="3">
        <f t="shared" si="108"/>
        <v>0.27834056305553184</v>
      </c>
    </row>
    <row r="298" spans="1:28" x14ac:dyDescent="0.2">
      <c r="A298" t="s">
        <v>11</v>
      </c>
      <c r="B298">
        <v>1212</v>
      </c>
      <c r="C298">
        <v>7</v>
      </c>
      <c r="D298">
        <v>83</v>
      </c>
      <c r="E298" t="s">
        <v>7</v>
      </c>
      <c r="F298" s="1">
        <v>45155</v>
      </c>
      <c r="G298" t="s">
        <v>8</v>
      </c>
      <c r="H298" s="2">
        <v>33.22</v>
      </c>
      <c r="I298" s="2">
        <v>36.119999999999997</v>
      </c>
      <c r="J298" s="2">
        <v>31.93</v>
      </c>
      <c r="K298" s="2">
        <f t="shared" si="97"/>
        <v>309.27</v>
      </c>
      <c r="L298" s="2">
        <v>2.75</v>
      </c>
      <c r="M298" s="2">
        <v>0.32</v>
      </c>
      <c r="N298" s="6">
        <f t="shared" si="100"/>
        <v>4.7356574858051133</v>
      </c>
      <c r="O298" s="6">
        <f t="shared" si="101"/>
        <v>1.9873310936023572</v>
      </c>
      <c r="P298" s="6">
        <f t="shared" si="102"/>
        <v>97.159605451972496</v>
      </c>
      <c r="Q298" s="6">
        <f t="shared" si="98"/>
        <v>6.5398618335449035</v>
      </c>
      <c r="R298" s="10">
        <f t="shared" si="99"/>
        <v>6.5398618335449034E-3</v>
      </c>
      <c r="S298" s="3">
        <f t="shared" si="103"/>
        <v>0.11771751300380826</v>
      </c>
      <c r="T298" s="4">
        <f t="shared" si="104"/>
        <v>1.1771751300380825E-4</v>
      </c>
      <c r="U298" s="3">
        <f t="shared" si="105"/>
        <v>0.42378304681370971</v>
      </c>
      <c r="V298" s="2">
        <v>7.91</v>
      </c>
      <c r="W298" s="2">
        <v>2.14</v>
      </c>
      <c r="X298" s="2">
        <f t="shared" si="106"/>
        <v>21400</v>
      </c>
      <c r="Y298" s="5">
        <v>-0.34</v>
      </c>
      <c r="Z298" s="5">
        <v>-2.38</v>
      </c>
      <c r="AA298" s="2">
        <f t="shared" si="107"/>
        <v>2.04</v>
      </c>
      <c r="AB298" s="3">
        <f t="shared" si="108"/>
        <v>0.20773678765377926</v>
      </c>
    </row>
    <row r="299" spans="1:28" x14ac:dyDescent="0.2">
      <c r="A299" t="s">
        <v>11</v>
      </c>
      <c r="B299">
        <v>1212</v>
      </c>
      <c r="C299">
        <v>8</v>
      </c>
      <c r="D299">
        <v>38</v>
      </c>
      <c r="E299" t="s">
        <v>7</v>
      </c>
      <c r="F299" s="1">
        <v>45155</v>
      </c>
      <c r="G299" t="s">
        <v>8</v>
      </c>
      <c r="H299" s="2">
        <v>33.31</v>
      </c>
      <c r="I299" s="2">
        <v>35.36</v>
      </c>
      <c r="J299" s="2">
        <v>31.33</v>
      </c>
      <c r="K299" s="2">
        <f t="shared" si="97"/>
        <v>308.51</v>
      </c>
      <c r="L299" s="2">
        <v>2.67</v>
      </c>
      <c r="M299" s="2">
        <v>0.32</v>
      </c>
      <c r="N299" s="6">
        <f t="shared" si="100"/>
        <v>4.5771106563627146</v>
      </c>
      <c r="O299" s="6">
        <f t="shared" si="101"/>
        <v>1.9110189324713582</v>
      </c>
      <c r="P299" s="6">
        <f t="shared" si="102"/>
        <v>97.149558583572343</v>
      </c>
      <c r="Q299" s="6">
        <f t="shared" si="98"/>
        <v>6.2818135144801799</v>
      </c>
      <c r="R299" s="10">
        <f t="shared" si="99"/>
        <v>6.2818135144801796E-3</v>
      </c>
      <c r="S299" s="3">
        <f t="shared" si="103"/>
        <v>0.11307264326064323</v>
      </c>
      <c r="T299" s="4">
        <f t="shared" si="104"/>
        <v>1.1307264326064323E-4</v>
      </c>
      <c r="U299" s="3">
        <f t="shared" si="105"/>
        <v>0.40706151573831562</v>
      </c>
      <c r="V299" s="2">
        <v>13.38</v>
      </c>
      <c r="W299" s="2">
        <v>3.28</v>
      </c>
      <c r="X299" s="2">
        <f t="shared" si="106"/>
        <v>32800</v>
      </c>
      <c r="Y299" s="5">
        <v>-0.56999999999999995</v>
      </c>
      <c r="Z299" s="5">
        <v>-1.86</v>
      </c>
      <c r="AA299" s="2">
        <f t="shared" si="107"/>
        <v>1.29</v>
      </c>
      <c r="AB299" s="3">
        <f t="shared" si="108"/>
        <v>0.31555156258784156</v>
      </c>
    </row>
    <row r="300" spans="1:28" x14ac:dyDescent="0.2">
      <c r="A300" t="s">
        <v>11</v>
      </c>
      <c r="B300">
        <v>1212</v>
      </c>
      <c r="C300">
        <v>8</v>
      </c>
      <c r="D300">
        <v>39</v>
      </c>
      <c r="E300" t="s">
        <v>7</v>
      </c>
      <c r="F300" s="1">
        <v>45154</v>
      </c>
      <c r="G300" t="s">
        <v>8</v>
      </c>
      <c r="H300" s="2">
        <v>29</v>
      </c>
      <c r="I300" s="2">
        <v>38.47</v>
      </c>
      <c r="J300" s="2">
        <v>33.79</v>
      </c>
      <c r="K300" s="2">
        <f t="shared" si="97"/>
        <v>311.62</v>
      </c>
      <c r="L300" s="2">
        <v>3.29</v>
      </c>
      <c r="M300" s="2">
        <v>0.34</v>
      </c>
      <c r="N300" s="6">
        <f t="shared" si="100"/>
        <v>5.2579362845206434</v>
      </c>
      <c r="O300" s="6">
        <f t="shared" si="101"/>
        <v>1.9717787365973904</v>
      </c>
      <c r="P300" s="6">
        <f t="shared" si="102"/>
        <v>97.190367844176521</v>
      </c>
      <c r="Q300" s="6">
        <f t="shared" si="98"/>
        <v>6.8844099634417635</v>
      </c>
      <c r="R300" s="10">
        <f t="shared" si="99"/>
        <v>6.8844099634417632E-3</v>
      </c>
      <c r="S300" s="3">
        <f t="shared" si="103"/>
        <v>0.12391937934195174</v>
      </c>
      <c r="T300" s="4">
        <f t="shared" si="104"/>
        <v>1.2391937934195173E-4</v>
      </c>
      <c r="U300" s="3">
        <f t="shared" si="105"/>
        <v>0.44610976563102622</v>
      </c>
      <c r="V300" s="2">
        <v>3.71</v>
      </c>
      <c r="W300" s="2">
        <v>1.36</v>
      </c>
      <c r="X300" s="2">
        <f t="shared" si="106"/>
        <v>13600.000000000002</v>
      </c>
      <c r="Y300" s="5">
        <v>-0.27</v>
      </c>
      <c r="Z300" s="5">
        <v>-2.15</v>
      </c>
      <c r="AA300" s="2">
        <f t="shared" si="107"/>
        <v>1.88</v>
      </c>
      <c r="AB300" s="3">
        <f t="shared" si="108"/>
        <v>0.23729242852714161</v>
      </c>
    </row>
    <row r="301" spans="1:28" x14ac:dyDescent="0.2">
      <c r="A301" t="s">
        <v>11</v>
      </c>
      <c r="B301">
        <v>1212</v>
      </c>
      <c r="C301">
        <v>8</v>
      </c>
      <c r="D301">
        <v>40</v>
      </c>
      <c r="E301" t="s">
        <v>7</v>
      </c>
      <c r="F301" s="1">
        <v>45154</v>
      </c>
      <c r="G301" t="s">
        <v>8</v>
      </c>
      <c r="H301" s="2">
        <v>44.69</v>
      </c>
      <c r="I301" s="2">
        <v>34.54</v>
      </c>
      <c r="J301" s="2">
        <v>31.12</v>
      </c>
      <c r="K301" s="2">
        <f t="shared" si="97"/>
        <v>307.69</v>
      </c>
      <c r="L301" s="2">
        <v>2.08</v>
      </c>
      <c r="M301" s="2">
        <v>0.28000000000000003</v>
      </c>
      <c r="N301" s="6">
        <f t="shared" si="100"/>
        <v>4.5227220449948335</v>
      </c>
      <c r="O301" s="6">
        <f t="shared" si="101"/>
        <v>2.4500372950524523</v>
      </c>
      <c r="P301" s="6">
        <f t="shared" si="102"/>
        <v>97.138664051588165</v>
      </c>
      <c r="Q301" s="6">
        <f t="shared" si="98"/>
        <v>7.0410909937500934</v>
      </c>
      <c r="R301" s="10">
        <f t="shared" si="99"/>
        <v>7.0410909937500933E-3</v>
      </c>
      <c r="S301" s="3">
        <f t="shared" si="103"/>
        <v>0.12673963788750167</v>
      </c>
      <c r="T301" s="4">
        <f t="shared" si="104"/>
        <v>1.2673963788750167E-4</v>
      </c>
      <c r="U301" s="3">
        <f t="shared" si="105"/>
        <v>0.456262696395006</v>
      </c>
      <c r="V301" s="2">
        <v>4.62</v>
      </c>
      <c r="W301" s="2">
        <v>1.66</v>
      </c>
      <c r="X301" s="2">
        <f t="shared" si="106"/>
        <v>16600</v>
      </c>
      <c r="Y301" s="5">
        <v>-0.48</v>
      </c>
      <c r="Z301" s="5">
        <v>-2.1</v>
      </c>
      <c r="AA301" s="2">
        <f t="shared" si="107"/>
        <v>1.62</v>
      </c>
      <c r="AB301" s="3">
        <f t="shared" si="108"/>
        <v>0.28164363975000367</v>
      </c>
    </row>
    <row r="302" spans="1:28" x14ac:dyDescent="0.2">
      <c r="A302" t="s">
        <v>11</v>
      </c>
      <c r="B302">
        <v>1212</v>
      </c>
      <c r="C302">
        <v>10</v>
      </c>
      <c r="D302">
        <v>21</v>
      </c>
      <c r="E302" t="s">
        <v>7</v>
      </c>
      <c r="F302" s="1">
        <v>45155</v>
      </c>
      <c r="G302" t="s">
        <v>8</v>
      </c>
      <c r="H302" s="2">
        <v>33.64</v>
      </c>
      <c r="I302" s="2">
        <v>37.15</v>
      </c>
      <c r="J302" s="2">
        <v>33.08</v>
      </c>
      <c r="K302" s="2">
        <f t="shared" si="97"/>
        <v>310.29999999999995</v>
      </c>
      <c r="L302" s="2">
        <v>2.93</v>
      </c>
      <c r="M302" s="2">
        <v>0.31</v>
      </c>
      <c r="N302" s="6">
        <f t="shared" si="100"/>
        <v>5.0529455289485865</v>
      </c>
      <c r="O302" s="6">
        <f t="shared" si="101"/>
        <v>2.1291537361374071</v>
      </c>
      <c r="P302" s="6">
        <f t="shared" si="102"/>
        <v>97.173144699536195</v>
      </c>
      <c r="Q302" s="6">
        <f t="shared" si="98"/>
        <v>6.772582239763647</v>
      </c>
      <c r="R302" s="10">
        <f t="shared" si="99"/>
        <v>6.7725822397636474E-3</v>
      </c>
      <c r="S302" s="3">
        <f t="shared" si="103"/>
        <v>0.12190648031574565</v>
      </c>
      <c r="T302" s="4">
        <f t="shared" si="104"/>
        <v>1.2190648031574565E-4</v>
      </c>
      <c r="U302" s="3">
        <f t="shared" si="105"/>
        <v>0.43886332913668435</v>
      </c>
      <c r="V302" s="2">
        <v>4.78</v>
      </c>
      <c r="W302" s="2">
        <v>1.38</v>
      </c>
      <c r="X302" s="2">
        <f t="shared" si="106"/>
        <v>13799.999999999998</v>
      </c>
      <c r="Y302" s="5">
        <v>-0.41</v>
      </c>
      <c r="Z302" s="5">
        <v>-2.0299999999999998</v>
      </c>
      <c r="AA302" s="2">
        <f t="shared" si="107"/>
        <v>1.6199999999999999</v>
      </c>
      <c r="AB302" s="3">
        <f t="shared" si="108"/>
        <v>0.27090328959054594</v>
      </c>
    </row>
    <row r="303" spans="1:28" x14ac:dyDescent="0.2">
      <c r="A303" t="s">
        <v>11</v>
      </c>
      <c r="B303">
        <v>1212</v>
      </c>
      <c r="C303">
        <v>10</v>
      </c>
      <c r="D303">
        <v>41</v>
      </c>
      <c r="E303" t="s">
        <v>7</v>
      </c>
      <c r="F303" s="1">
        <v>45154</v>
      </c>
      <c r="G303" t="s">
        <v>8</v>
      </c>
      <c r="H303" s="2">
        <v>33.07</v>
      </c>
      <c r="I303" s="2">
        <v>37.43</v>
      </c>
      <c r="J303" s="2">
        <v>33.43</v>
      </c>
      <c r="K303" s="2">
        <f t="shared" si="97"/>
        <v>310.58</v>
      </c>
      <c r="L303" s="2">
        <v>3.03</v>
      </c>
      <c r="M303" s="2">
        <v>0.31</v>
      </c>
      <c r="N303" s="6">
        <f t="shared" si="100"/>
        <v>5.1531111815954231</v>
      </c>
      <c r="O303" s="6">
        <f t="shared" si="101"/>
        <v>2.125243956362791</v>
      </c>
      <c r="P303" s="6">
        <f t="shared" si="102"/>
        <v>97.176810071828044</v>
      </c>
      <c r="Q303" s="6">
        <f t="shared" si="98"/>
        <v>6.7728552296386386</v>
      </c>
      <c r="R303" s="10">
        <f t="shared" si="99"/>
        <v>6.7728552296386383E-3</v>
      </c>
      <c r="S303" s="3">
        <f t="shared" si="103"/>
        <v>0.12191139413349548</v>
      </c>
      <c r="T303" s="4">
        <f t="shared" si="104"/>
        <v>1.2191139413349549E-4</v>
      </c>
      <c r="U303" s="3">
        <f t="shared" si="105"/>
        <v>0.43888101888058373</v>
      </c>
      <c r="V303" s="2">
        <v>15.53</v>
      </c>
      <c r="W303" s="2">
        <v>3.35</v>
      </c>
      <c r="X303" s="2">
        <f t="shared" si="106"/>
        <v>33500</v>
      </c>
      <c r="Y303" s="5">
        <v>-0.51</v>
      </c>
      <c r="Z303" s="5">
        <v>-1.8</v>
      </c>
      <c r="AA303" s="2">
        <f t="shared" si="107"/>
        <v>1.29</v>
      </c>
      <c r="AB303" s="3">
        <f t="shared" si="108"/>
        <v>0.34021784409347577</v>
      </c>
    </row>
    <row r="304" spans="1:28" x14ac:dyDescent="0.2">
      <c r="A304" t="s">
        <v>11</v>
      </c>
      <c r="B304">
        <v>1212</v>
      </c>
      <c r="C304">
        <v>10</v>
      </c>
      <c r="D304">
        <v>42</v>
      </c>
      <c r="E304" t="s">
        <v>7</v>
      </c>
      <c r="F304" s="1">
        <v>45154</v>
      </c>
      <c r="G304" t="s">
        <v>8</v>
      </c>
      <c r="H304" s="2">
        <v>37.83</v>
      </c>
      <c r="I304" s="2">
        <v>36.31</v>
      </c>
      <c r="J304" s="2">
        <v>32.979999999999997</v>
      </c>
      <c r="K304" s="2">
        <f t="shared" si="97"/>
        <v>309.45999999999998</v>
      </c>
      <c r="L304" s="2">
        <v>2.74</v>
      </c>
      <c r="M304" s="2">
        <v>0.3</v>
      </c>
      <c r="N304" s="6">
        <f t="shared" si="100"/>
        <v>5.0246397643371772</v>
      </c>
      <c r="O304" s="6">
        <f t="shared" si="101"/>
        <v>2.2868434189140916</v>
      </c>
      <c r="P304" s="6">
        <f t="shared" si="102"/>
        <v>97.162109620187252</v>
      </c>
      <c r="Q304" s="6">
        <f t="shared" si="98"/>
        <v>7.0541071203619703</v>
      </c>
      <c r="R304" s="10">
        <f t="shared" si="99"/>
        <v>7.05410712036197E-3</v>
      </c>
      <c r="S304" s="3">
        <f t="shared" si="103"/>
        <v>0.12697392816651545</v>
      </c>
      <c r="T304" s="4">
        <f t="shared" si="104"/>
        <v>1.2697392816651547E-4</v>
      </c>
      <c r="U304" s="3">
        <f t="shared" si="105"/>
        <v>0.45710614139945566</v>
      </c>
      <c r="V304" s="2">
        <v>14.52</v>
      </c>
      <c r="W304" s="2">
        <v>3.06</v>
      </c>
      <c r="X304" s="2">
        <f t="shared" si="106"/>
        <v>30600</v>
      </c>
      <c r="Y304" s="5">
        <v>-0.78</v>
      </c>
      <c r="Z304" s="5">
        <v>-2.06</v>
      </c>
      <c r="AA304" s="2">
        <f t="shared" si="107"/>
        <v>1.28</v>
      </c>
      <c r="AB304" s="3">
        <f t="shared" si="108"/>
        <v>0.35711417296832471</v>
      </c>
    </row>
    <row r="305" spans="1:28" x14ac:dyDescent="0.2">
      <c r="A305" t="s">
        <v>6</v>
      </c>
      <c r="B305">
        <v>72</v>
      </c>
      <c r="C305">
        <v>156</v>
      </c>
      <c r="D305">
        <v>43</v>
      </c>
      <c r="E305" t="s">
        <v>12</v>
      </c>
      <c r="F305" s="1">
        <v>45155</v>
      </c>
      <c r="G305" t="s">
        <v>8</v>
      </c>
      <c r="H305" s="2">
        <v>14.8</v>
      </c>
      <c r="I305" s="2">
        <v>46.71</v>
      </c>
      <c r="J305" s="2">
        <v>42.36</v>
      </c>
      <c r="K305" s="2">
        <f t="shared" si="97"/>
        <v>319.85999999999996</v>
      </c>
      <c r="L305" s="2">
        <v>6.81</v>
      </c>
      <c r="M305" s="2">
        <v>0.06</v>
      </c>
      <c r="N305" s="6">
        <f t="shared" si="100"/>
        <v>8.3647330201837651</v>
      </c>
      <c r="O305" s="6">
        <f t="shared" si="101"/>
        <v>1.5504757426368281</v>
      </c>
      <c r="P305" s="6">
        <f t="shared" si="102"/>
        <v>97.294733866285981</v>
      </c>
      <c r="Q305" s="6">
        <f t="shared" si="98"/>
        <v>0.95877728941864293</v>
      </c>
      <c r="R305" s="10">
        <f t="shared" si="99"/>
        <v>9.5877728941864298E-4</v>
      </c>
      <c r="S305" s="3">
        <f t="shared" si="103"/>
        <v>1.7257991209535573E-2</v>
      </c>
      <c r="T305" s="4">
        <f t="shared" si="104"/>
        <v>1.7257991209535573E-5</v>
      </c>
      <c r="U305" s="3">
        <f t="shared" si="105"/>
        <v>6.2128768354328061E-2</v>
      </c>
      <c r="V305" s="2">
        <v>18.53</v>
      </c>
      <c r="W305" s="2">
        <v>3.87</v>
      </c>
      <c r="X305" s="2">
        <f t="shared" si="106"/>
        <v>38700</v>
      </c>
      <c r="Y305" s="5">
        <v>-0.36</v>
      </c>
      <c r="Z305" s="5">
        <v>-1.89</v>
      </c>
      <c r="AA305" s="2">
        <f t="shared" si="107"/>
        <v>1.5299999999999998</v>
      </c>
      <c r="AB305" s="3">
        <f t="shared" si="108"/>
        <v>4.0607038140083707E-2</v>
      </c>
    </row>
    <row r="306" spans="1:28" x14ac:dyDescent="0.2">
      <c r="A306" t="s">
        <v>6</v>
      </c>
      <c r="B306">
        <v>72</v>
      </c>
      <c r="C306">
        <v>156</v>
      </c>
      <c r="D306">
        <v>44</v>
      </c>
      <c r="E306" t="s">
        <v>12</v>
      </c>
      <c r="F306" s="1">
        <v>45154</v>
      </c>
      <c r="G306" t="s">
        <v>8</v>
      </c>
      <c r="H306" s="2">
        <v>15.87</v>
      </c>
      <c r="I306" s="2">
        <v>46.1</v>
      </c>
      <c r="J306" s="2">
        <v>41.5</v>
      </c>
      <c r="K306" s="2">
        <f t="shared" si="97"/>
        <v>319.25</v>
      </c>
      <c r="L306" s="2">
        <v>6.38</v>
      </c>
      <c r="M306" s="2">
        <v>0.11</v>
      </c>
      <c r="N306" s="6">
        <f t="shared" si="100"/>
        <v>7.9941099224086809</v>
      </c>
      <c r="O306" s="6">
        <f t="shared" si="101"/>
        <v>1.6115772823260064</v>
      </c>
      <c r="P306" s="6">
        <f t="shared" si="102"/>
        <v>97.287188638342769</v>
      </c>
      <c r="Q306" s="6">
        <f t="shared" si="98"/>
        <v>1.8250305507849589</v>
      </c>
      <c r="R306" s="10">
        <f t="shared" si="99"/>
        <v>1.8250305507849589E-3</v>
      </c>
      <c r="S306" s="3">
        <f t="shared" si="103"/>
        <v>3.2850549914129258E-2</v>
      </c>
      <c r="T306" s="4">
        <f t="shared" si="104"/>
        <v>3.285054991412926E-5</v>
      </c>
      <c r="U306" s="3">
        <f t="shared" si="105"/>
        <v>0.11826197969086534</v>
      </c>
      <c r="V306" s="2">
        <v>5.08</v>
      </c>
      <c r="W306" s="2">
        <v>1.59</v>
      </c>
      <c r="X306" s="2">
        <f t="shared" si="106"/>
        <v>15900</v>
      </c>
      <c r="Y306" s="5">
        <v>-0.88</v>
      </c>
      <c r="Z306" s="5">
        <v>-1.81</v>
      </c>
      <c r="AA306" s="2">
        <f t="shared" si="107"/>
        <v>0.93</v>
      </c>
      <c r="AB306" s="3">
        <f t="shared" si="108"/>
        <v>0.12716341902243583</v>
      </c>
    </row>
    <row r="307" spans="1:28" x14ac:dyDescent="0.2">
      <c r="A307" t="s">
        <v>6</v>
      </c>
      <c r="B307">
        <v>72</v>
      </c>
      <c r="C307">
        <v>156</v>
      </c>
      <c r="D307">
        <v>45</v>
      </c>
      <c r="E307" t="s">
        <v>12</v>
      </c>
      <c r="F307" s="1">
        <v>45155</v>
      </c>
      <c r="G307" t="s">
        <v>8</v>
      </c>
      <c r="H307" s="2">
        <v>14.35</v>
      </c>
      <c r="I307" s="2">
        <v>47.07</v>
      </c>
      <c r="J307" s="2">
        <v>41.63</v>
      </c>
      <c r="K307" s="2">
        <f t="shared" si="97"/>
        <v>320.21999999999997</v>
      </c>
      <c r="L307" s="2">
        <v>6.53</v>
      </c>
      <c r="M307" s="2">
        <v>0.13</v>
      </c>
      <c r="N307" s="6">
        <f t="shared" si="100"/>
        <v>8.0492048890768295</v>
      </c>
      <c r="O307" s="6">
        <f t="shared" si="101"/>
        <v>1.5311319940874546</v>
      </c>
      <c r="P307" s="6">
        <f t="shared" si="102"/>
        <v>97.299173572491085</v>
      </c>
      <c r="Q307" s="6">
        <f t="shared" si="98"/>
        <v>2.0297873900526642</v>
      </c>
      <c r="R307" s="10">
        <f t="shared" si="99"/>
        <v>2.0297873900526641E-3</v>
      </c>
      <c r="S307" s="3">
        <f t="shared" si="103"/>
        <v>3.6536173020947957E-2</v>
      </c>
      <c r="T307" s="4">
        <f t="shared" si="104"/>
        <v>3.6536173020947955E-5</v>
      </c>
      <c r="U307" s="3">
        <f t="shared" si="105"/>
        <v>0.13153022287541263</v>
      </c>
      <c r="V307" s="2">
        <v>13.38</v>
      </c>
      <c r="W307" s="2">
        <v>3.64</v>
      </c>
      <c r="X307" s="2">
        <f t="shared" si="106"/>
        <v>36400</v>
      </c>
      <c r="Y307" s="5">
        <v>-0.83</v>
      </c>
      <c r="Z307" s="5">
        <v>-2.33</v>
      </c>
      <c r="AA307" s="2">
        <f t="shared" si="107"/>
        <v>1.5</v>
      </c>
      <c r="AB307" s="3">
        <f t="shared" si="108"/>
        <v>8.7686815250275094E-2</v>
      </c>
    </row>
    <row r="308" spans="1:28" x14ac:dyDescent="0.2">
      <c r="A308" t="s">
        <v>6</v>
      </c>
      <c r="B308">
        <v>72</v>
      </c>
      <c r="C308">
        <v>149</v>
      </c>
      <c r="D308">
        <v>46</v>
      </c>
      <c r="E308" t="s">
        <v>12</v>
      </c>
      <c r="F308" s="1">
        <v>45155</v>
      </c>
      <c r="G308" t="s">
        <v>8</v>
      </c>
      <c r="H308" s="2">
        <v>14.77</v>
      </c>
      <c r="I308" s="2">
        <v>46.61</v>
      </c>
      <c r="J308" s="2">
        <v>41.38</v>
      </c>
      <c r="K308" s="2">
        <f t="shared" si="97"/>
        <v>319.76</v>
      </c>
      <c r="L308" s="2">
        <v>6.4</v>
      </c>
      <c r="M308" s="2">
        <v>0.1</v>
      </c>
      <c r="N308" s="6">
        <f t="shared" si="100"/>
        <v>7.943543212331365</v>
      </c>
      <c r="O308" s="6">
        <f t="shared" si="101"/>
        <v>1.5394649731671315</v>
      </c>
      <c r="P308" s="6">
        <f t="shared" si="102"/>
        <v>97.293498876447686</v>
      </c>
      <c r="Q308" s="6">
        <f t="shared" si="98"/>
        <v>1.5864813478354798</v>
      </c>
      <c r="R308" s="10">
        <f t="shared" si="99"/>
        <v>1.5864813478354799E-3</v>
      </c>
      <c r="S308" s="3">
        <f t="shared" si="103"/>
        <v>2.8556664261038638E-2</v>
      </c>
      <c r="T308" s="4">
        <f t="shared" si="104"/>
        <v>2.8556664261038636E-5</v>
      </c>
      <c r="U308" s="3">
        <f t="shared" si="105"/>
        <v>0.1028039913397391</v>
      </c>
      <c r="V308" s="2">
        <v>10.99</v>
      </c>
      <c r="W308" s="2">
        <v>2.0499999999999998</v>
      </c>
      <c r="X308" s="2">
        <f t="shared" si="106"/>
        <v>20500</v>
      </c>
      <c r="Y308" s="5">
        <v>-0.61</v>
      </c>
      <c r="Z308" s="5">
        <v>-1.66</v>
      </c>
      <c r="AA308" s="2">
        <f t="shared" si="107"/>
        <v>1.0499999999999998</v>
      </c>
      <c r="AB308" s="3">
        <f t="shared" si="108"/>
        <v>9.7908563180703914E-2</v>
      </c>
    </row>
    <row r="309" spans="1:28" x14ac:dyDescent="0.2">
      <c r="A309" t="s">
        <v>6</v>
      </c>
      <c r="B309">
        <v>72</v>
      </c>
      <c r="C309">
        <v>149</v>
      </c>
      <c r="D309">
        <v>47</v>
      </c>
      <c r="E309" t="s">
        <v>12</v>
      </c>
      <c r="F309" s="1">
        <v>45154</v>
      </c>
      <c r="G309" t="s">
        <v>8</v>
      </c>
      <c r="H309" s="2">
        <v>17.3</v>
      </c>
      <c r="I309" s="2">
        <v>45.08</v>
      </c>
      <c r="J309" s="2">
        <v>40.08</v>
      </c>
      <c r="K309" s="2">
        <f t="shared" si="97"/>
        <v>318.22999999999996</v>
      </c>
      <c r="L309" s="2">
        <v>5.75</v>
      </c>
      <c r="M309" s="2">
        <v>0.17</v>
      </c>
      <c r="N309" s="6">
        <f t="shared" ref="N309:N340" si="109">0.611*EXP((17.502*J309)/(240.97+J309))</f>
        <v>7.413244823000805</v>
      </c>
      <c r="O309" s="6">
        <f t="shared" ref="O309:O340" si="110">(0.611*EXP((17.502*I309)/(240.97+I309)))*(H309/100)</f>
        <v>1.6671284272550582</v>
      </c>
      <c r="P309" s="6">
        <f t="shared" ref="P309:P340" si="111">101.325*EXP(-380/(29.27*K309))</f>
        <v>97.274508722493934</v>
      </c>
      <c r="Q309" s="6">
        <f t="shared" si="98"/>
        <v>2.9067391202845814</v>
      </c>
      <c r="R309" s="10">
        <f t="shared" si="99"/>
        <v>2.9067391202845815E-3</v>
      </c>
      <c r="S309" s="3">
        <f t="shared" ref="S309:S340" si="112">R309*18</f>
        <v>5.232130416512247E-2</v>
      </c>
      <c r="T309" s="4">
        <f t="shared" ref="T309:T340" si="113">S309/1000</f>
        <v>5.2321304165122467E-5</v>
      </c>
      <c r="U309" s="3">
        <f t="shared" ref="U309:U340" si="114">T309*3600</f>
        <v>0.18835669499444088</v>
      </c>
      <c r="V309" s="2">
        <v>10.98</v>
      </c>
      <c r="W309" s="2">
        <v>2.5099999999999998</v>
      </c>
      <c r="X309" s="2">
        <f t="shared" ref="X309:X340" si="115">W309*10000</f>
        <v>25099.999999999996</v>
      </c>
      <c r="Y309" s="5">
        <v>-0.75</v>
      </c>
      <c r="Z309" s="5">
        <v>-2.13</v>
      </c>
      <c r="AA309" s="2">
        <f t="shared" ref="AA309:AA340" si="116">Y309-Z309</f>
        <v>1.38</v>
      </c>
      <c r="AB309" s="3">
        <f t="shared" ref="AB309:AB340" si="117">U309/AA309</f>
        <v>0.13649035869162385</v>
      </c>
    </row>
    <row r="310" spans="1:28" x14ac:dyDescent="0.2">
      <c r="A310" t="s">
        <v>6</v>
      </c>
      <c r="B310">
        <v>72</v>
      </c>
      <c r="C310">
        <v>149</v>
      </c>
      <c r="D310">
        <v>48</v>
      </c>
      <c r="E310" t="s">
        <v>12</v>
      </c>
      <c r="F310" s="1">
        <v>45154</v>
      </c>
      <c r="G310" t="s">
        <v>8</v>
      </c>
      <c r="H310" s="2">
        <v>16.97</v>
      </c>
      <c r="I310" s="2">
        <v>46.26</v>
      </c>
      <c r="J310" s="2">
        <v>41.04</v>
      </c>
      <c r="K310" s="2">
        <f t="shared" si="97"/>
        <v>319.40999999999997</v>
      </c>
      <c r="L310" s="2">
        <v>6.07</v>
      </c>
      <c r="M310" s="2">
        <v>0.19</v>
      </c>
      <c r="N310" s="6">
        <f t="shared" si="109"/>
        <v>7.8017723729172408</v>
      </c>
      <c r="O310" s="6">
        <f t="shared" si="110"/>
        <v>1.7374415982583313</v>
      </c>
      <c r="P310" s="6">
        <f t="shared" si="111"/>
        <v>97.289170446077378</v>
      </c>
      <c r="Q310" s="6">
        <f t="shared" si="98"/>
        <v>3.3820490949364674</v>
      </c>
      <c r="R310" s="10">
        <f t="shared" si="99"/>
        <v>3.3820490949364674E-3</v>
      </c>
      <c r="S310" s="3">
        <f t="shared" si="112"/>
        <v>6.0876883708856411E-2</v>
      </c>
      <c r="T310" s="4">
        <f t="shared" si="113"/>
        <v>6.0876883708856408E-5</v>
      </c>
      <c r="U310" s="3">
        <f t="shared" si="114"/>
        <v>0.21915678135188307</v>
      </c>
      <c r="V310" s="2">
        <v>17.25</v>
      </c>
      <c r="W310" s="2">
        <v>2.85</v>
      </c>
      <c r="X310" s="2">
        <f t="shared" si="115"/>
        <v>28500</v>
      </c>
      <c r="Y310" s="5">
        <v>-0.81</v>
      </c>
      <c r="Z310" s="5">
        <v>-2.1800000000000002</v>
      </c>
      <c r="AA310" s="2">
        <f t="shared" si="116"/>
        <v>1.37</v>
      </c>
      <c r="AB310" s="3">
        <f t="shared" si="117"/>
        <v>0.15996845354152048</v>
      </c>
    </row>
    <row r="311" spans="1:28" x14ac:dyDescent="0.2">
      <c r="A311" t="s">
        <v>6</v>
      </c>
      <c r="B311">
        <v>72</v>
      </c>
      <c r="C311">
        <v>152</v>
      </c>
      <c r="D311">
        <v>49</v>
      </c>
      <c r="E311" t="s">
        <v>12</v>
      </c>
      <c r="F311" s="1">
        <v>45155</v>
      </c>
      <c r="G311" t="s">
        <v>8</v>
      </c>
      <c r="H311" s="2">
        <v>15.64</v>
      </c>
      <c r="I311" s="2">
        <v>45.75</v>
      </c>
      <c r="J311" s="2">
        <v>39.08</v>
      </c>
      <c r="K311" s="2">
        <f t="shared" si="97"/>
        <v>318.89999999999998</v>
      </c>
      <c r="L311" s="2">
        <v>5.47</v>
      </c>
      <c r="M311" s="2">
        <v>0.18</v>
      </c>
      <c r="N311" s="6">
        <f t="shared" si="109"/>
        <v>7.0264717170421678</v>
      </c>
      <c r="O311" s="6">
        <f t="shared" si="110"/>
        <v>1.5599920957631863</v>
      </c>
      <c r="P311" s="6">
        <f t="shared" si="111"/>
        <v>97.282846641980512</v>
      </c>
      <c r="Q311" s="6">
        <f t="shared" si="98"/>
        <v>2.8799004011329017</v>
      </c>
      <c r="R311" s="10">
        <f t="shared" si="99"/>
        <v>2.8799004011329015E-3</v>
      </c>
      <c r="S311" s="3">
        <f t="shared" si="112"/>
        <v>5.183820722039223E-2</v>
      </c>
      <c r="T311" s="4">
        <f t="shared" si="113"/>
        <v>5.1838207220392227E-5</v>
      </c>
      <c r="U311" s="3">
        <f t="shared" si="114"/>
        <v>0.18661754599341202</v>
      </c>
      <c r="V311" s="2">
        <v>16.68</v>
      </c>
      <c r="W311" s="2">
        <v>2.78</v>
      </c>
      <c r="X311" s="2">
        <f t="shared" si="115"/>
        <v>27799.999999999996</v>
      </c>
      <c r="Y311" s="5">
        <v>-0.78</v>
      </c>
      <c r="Z311" s="5">
        <v>-1.66</v>
      </c>
      <c r="AA311" s="2">
        <f t="shared" si="116"/>
        <v>0.87999999999999989</v>
      </c>
      <c r="AB311" s="3">
        <f t="shared" si="117"/>
        <v>0.21206539317433187</v>
      </c>
    </row>
    <row r="312" spans="1:28" x14ac:dyDescent="0.2">
      <c r="A312" t="s">
        <v>6</v>
      </c>
      <c r="B312">
        <v>72</v>
      </c>
      <c r="C312">
        <v>152</v>
      </c>
      <c r="D312">
        <v>50</v>
      </c>
      <c r="E312" t="s">
        <v>12</v>
      </c>
      <c r="F312" s="1">
        <v>45154</v>
      </c>
      <c r="G312" t="s">
        <v>8</v>
      </c>
      <c r="H312" s="2">
        <v>18.170000000000002</v>
      </c>
      <c r="I312" s="2">
        <v>45.46</v>
      </c>
      <c r="J312" s="2">
        <v>38.369999999999997</v>
      </c>
      <c r="K312" s="2">
        <f t="shared" si="97"/>
        <v>318.60999999999996</v>
      </c>
      <c r="L312" s="2">
        <v>4.9800000000000004</v>
      </c>
      <c r="M312" s="2">
        <v>0.35</v>
      </c>
      <c r="N312" s="6">
        <f t="shared" si="109"/>
        <v>6.7626003154605776</v>
      </c>
      <c r="O312" s="6">
        <f t="shared" si="110"/>
        <v>1.7855531327362262</v>
      </c>
      <c r="P312" s="6">
        <f t="shared" si="111"/>
        <v>97.279241908384762</v>
      </c>
      <c r="Q312" s="6">
        <f t="shared" si="98"/>
        <v>6.4135996351491453</v>
      </c>
      <c r="R312" s="10">
        <f t="shared" si="99"/>
        <v>6.4135996351491449E-3</v>
      </c>
      <c r="S312" s="3">
        <f t="shared" si="112"/>
        <v>0.11544479343268461</v>
      </c>
      <c r="T312" s="4">
        <f t="shared" si="113"/>
        <v>1.1544479343268461E-4</v>
      </c>
      <c r="U312" s="3">
        <f t="shared" si="114"/>
        <v>0.41560125635766459</v>
      </c>
      <c r="V312" s="2">
        <v>29.47</v>
      </c>
      <c r="W312" s="2">
        <v>3.96</v>
      </c>
      <c r="X312" s="2">
        <f t="shared" si="115"/>
        <v>39600</v>
      </c>
      <c r="Y312" s="5">
        <v>-0.32</v>
      </c>
      <c r="Z312" s="5">
        <v>-1.74</v>
      </c>
      <c r="AA312" s="2">
        <f t="shared" si="116"/>
        <v>1.42</v>
      </c>
      <c r="AB312" s="3">
        <f t="shared" si="117"/>
        <v>0.29267694109694692</v>
      </c>
    </row>
    <row r="313" spans="1:28" x14ac:dyDescent="0.2">
      <c r="A313" t="s">
        <v>6</v>
      </c>
      <c r="B313">
        <v>72</v>
      </c>
      <c r="C313">
        <v>152</v>
      </c>
      <c r="D313">
        <v>51</v>
      </c>
      <c r="E313" t="s">
        <v>12</v>
      </c>
      <c r="F313" s="1">
        <v>45154</v>
      </c>
      <c r="G313" t="s">
        <v>8</v>
      </c>
      <c r="H313" s="2">
        <v>16.09</v>
      </c>
      <c r="I313" s="2">
        <v>46.2</v>
      </c>
      <c r="J313" s="2">
        <v>39.26</v>
      </c>
      <c r="K313" s="2">
        <f t="shared" si="97"/>
        <v>319.34999999999997</v>
      </c>
      <c r="L313" s="2">
        <v>5.49</v>
      </c>
      <c r="M313" s="2">
        <v>0.27</v>
      </c>
      <c r="N313" s="6">
        <f t="shared" si="109"/>
        <v>7.0947704231734043</v>
      </c>
      <c r="O313" s="6">
        <f t="shared" si="110"/>
        <v>1.6422984010671289</v>
      </c>
      <c r="P313" s="6">
        <f t="shared" si="111"/>
        <v>97.288427496162385</v>
      </c>
      <c r="Q313" s="6">
        <f t="shared" si="98"/>
        <v>4.4536439267035179</v>
      </c>
      <c r="R313" s="10">
        <f t="shared" si="99"/>
        <v>4.4536439267035179E-3</v>
      </c>
      <c r="S313" s="3">
        <f t="shared" si="112"/>
        <v>8.0165590680663326E-2</v>
      </c>
      <c r="T313" s="4">
        <f t="shared" si="113"/>
        <v>8.016559068066332E-5</v>
      </c>
      <c r="U313" s="3">
        <f t="shared" si="114"/>
        <v>0.28859612645038796</v>
      </c>
      <c r="V313" s="2">
        <v>11.56</v>
      </c>
      <c r="W313" s="2">
        <v>1.91</v>
      </c>
      <c r="X313" s="2">
        <f t="shared" si="115"/>
        <v>19100</v>
      </c>
      <c r="Y313" s="5">
        <v>-0.37</v>
      </c>
      <c r="Z313" s="5">
        <v>-1.51</v>
      </c>
      <c r="AA313" s="2">
        <f t="shared" si="116"/>
        <v>1.1400000000000001</v>
      </c>
      <c r="AB313" s="3">
        <f t="shared" si="117"/>
        <v>0.2531544968863052</v>
      </c>
    </row>
    <row r="314" spans="1:28" x14ac:dyDescent="0.2">
      <c r="A314" t="s">
        <v>6</v>
      </c>
      <c r="B314">
        <v>72</v>
      </c>
      <c r="C314">
        <v>155</v>
      </c>
      <c r="D314">
        <v>58</v>
      </c>
      <c r="E314" t="s">
        <v>12</v>
      </c>
      <c r="F314" s="1">
        <v>45154</v>
      </c>
      <c r="G314" t="s">
        <v>8</v>
      </c>
      <c r="H314" s="2">
        <v>18.37</v>
      </c>
      <c r="I314" s="2">
        <v>45.23</v>
      </c>
      <c r="J314" s="2">
        <v>40.65</v>
      </c>
      <c r="K314" s="2">
        <f t="shared" si="97"/>
        <v>318.38</v>
      </c>
      <c r="L314" s="2">
        <v>5.86</v>
      </c>
      <c r="M314" s="2">
        <v>0.16</v>
      </c>
      <c r="N314" s="6">
        <f t="shared" si="109"/>
        <v>7.6418566725329162</v>
      </c>
      <c r="O314" s="6">
        <f t="shared" si="110"/>
        <v>1.7839720821969975</v>
      </c>
      <c r="P314" s="6">
        <f t="shared" si="111"/>
        <v>97.27637840754565</v>
      </c>
      <c r="Q314" s="6">
        <f t="shared" si="98"/>
        <v>2.9307944258660004</v>
      </c>
      <c r="R314" s="10">
        <f t="shared" si="99"/>
        <v>2.9307944258660005E-3</v>
      </c>
      <c r="S314" s="3">
        <f t="shared" si="112"/>
        <v>5.2754299665588006E-2</v>
      </c>
      <c r="T314" s="4">
        <f t="shared" si="113"/>
        <v>5.2754299665588008E-5</v>
      </c>
      <c r="U314" s="3">
        <f t="shared" si="114"/>
        <v>0.18991547879611684</v>
      </c>
      <c r="V314" s="2">
        <v>25.14</v>
      </c>
      <c r="W314" s="2">
        <v>4.53</v>
      </c>
      <c r="X314" s="2">
        <f t="shared" si="115"/>
        <v>45300</v>
      </c>
      <c r="Y314" s="5">
        <v>-0.47</v>
      </c>
      <c r="Z314" s="5">
        <v>-1.91</v>
      </c>
      <c r="AA314" s="2">
        <f t="shared" si="116"/>
        <v>1.44</v>
      </c>
      <c r="AB314" s="3">
        <f t="shared" si="117"/>
        <v>0.13188574916397003</v>
      </c>
    </row>
    <row r="315" spans="1:28" x14ac:dyDescent="0.2">
      <c r="A315" t="s">
        <v>6</v>
      </c>
      <c r="B315">
        <v>72</v>
      </c>
      <c r="C315">
        <v>155</v>
      </c>
      <c r="D315">
        <v>59</v>
      </c>
      <c r="E315" t="s">
        <v>12</v>
      </c>
      <c r="F315" s="1">
        <v>45155</v>
      </c>
      <c r="G315" t="s">
        <v>8</v>
      </c>
      <c r="H315" s="2">
        <v>15.35</v>
      </c>
      <c r="I315" s="2">
        <v>46.39</v>
      </c>
      <c r="J315" s="2">
        <v>44.42</v>
      </c>
      <c r="K315" s="2">
        <f t="shared" si="97"/>
        <v>319.53999999999996</v>
      </c>
      <c r="L315" s="2">
        <v>7.72</v>
      </c>
      <c r="M315" s="2">
        <v>0.05</v>
      </c>
      <c r="N315" s="6">
        <f t="shared" si="109"/>
        <v>9.3135423279047718</v>
      </c>
      <c r="O315" s="6">
        <f t="shared" si="110"/>
        <v>1.5820550667183115</v>
      </c>
      <c r="P315" s="6">
        <f t="shared" si="111"/>
        <v>97.290779233187337</v>
      </c>
      <c r="Q315" s="6">
        <f t="shared" si="98"/>
        <v>0.81895855931288042</v>
      </c>
      <c r="R315" s="10">
        <f t="shared" si="99"/>
        <v>8.1895855931288046E-4</v>
      </c>
      <c r="S315" s="3">
        <f t="shared" si="112"/>
        <v>1.4741254067631849E-2</v>
      </c>
      <c r="T315" s="4">
        <f t="shared" si="113"/>
        <v>1.4741254067631849E-5</v>
      </c>
      <c r="U315" s="3">
        <f t="shared" si="114"/>
        <v>5.3068514643474653E-2</v>
      </c>
      <c r="V315" s="2">
        <v>16.940000000000001</v>
      </c>
      <c r="W315" s="2">
        <v>3.17</v>
      </c>
      <c r="X315" s="2">
        <f t="shared" si="115"/>
        <v>31700</v>
      </c>
      <c r="Y315" s="5">
        <v>-0.54</v>
      </c>
      <c r="Z315" s="5">
        <v>-1.73</v>
      </c>
      <c r="AA315" s="2">
        <f t="shared" si="116"/>
        <v>1.19</v>
      </c>
      <c r="AB315" s="3">
        <f t="shared" si="117"/>
        <v>4.4595390456701391E-2</v>
      </c>
    </row>
    <row r="316" spans="1:28" x14ac:dyDescent="0.2">
      <c r="A316" t="s">
        <v>6</v>
      </c>
      <c r="B316">
        <v>72</v>
      </c>
      <c r="C316">
        <v>155</v>
      </c>
      <c r="D316">
        <v>60</v>
      </c>
      <c r="E316" t="s">
        <v>12</v>
      </c>
      <c r="F316" s="1">
        <v>45154</v>
      </c>
      <c r="G316" t="s">
        <v>8</v>
      </c>
      <c r="H316" s="2">
        <v>18.489999999999998</v>
      </c>
      <c r="I316" s="2">
        <v>44.63</v>
      </c>
      <c r="J316" s="2">
        <v>40.520000000000003</v>
      </c>
      <c r="K316" s="2">
        <f t="shared" si="97"/>
        <v>317.77999999999997</v>
      </c>
      <c r="L316" s="2">
        <v>5.85</v>
      </c>
      <c r="M316" s="2">
        <v>0.12</v>
      </c>
      <c r="N316" s="6">
        <f t="shared" si="109"/>
        <v>7.5891864123046924</v>
      </c>
      <c r="O316" s="6">
        <f t="shared" si="110"/>
        <v>1.7408882076723404</v>
      </c>
      <c r="P316" s="6">
        <f t="shared" si="111"/>
        <v>97.268889293215267</v>
      </c>
      <c r="Q316" s="6">
        <f t="shared" si="98"/>
        <v>2.1456230352074206</v>
      </c>
      <c r="R316" s="10">
        <f t="shared" si="99"/>
        <v>2.1456230352074205E-3</v>
      </c>
      <c r="S316" s="3">
        <f t="shared" si="112"/>
        <v>3.8621214633733567E-2</v>
      </c>
      <c r="T316" s="4">
        <f t="shared" si="113"/>
        <v>3.8621214633733565E-5</v>
      </c>
      <c r="U316" s="3">
        <f t="shared" si="114"/>
        <v>0.13903637268144084</v>
      </c>
      <c r="V316" s="2">
        <v>22.24</v>
      </c>
      <c r="W316" s="2">
        <v>4.22</v>
      </c>
      <c r="X316" s="2">
        <f t="shared" si="115"/>
        <v>42200</v>
      </c>
      <c r="Y316" s="5">
        <v>-0.34</v>
      </c>
      <c r="Z316" s="5">
        <v>-1.87</v>
      </c>
      <c r="AA316" s="2">
        <f t="shared" si="116"/>
        <v>1.53</v>
      </c>
      <c r="AB316" s="3">
        <f t="shared" si="117"/>
        <v>9.0873446197020161E-2</v>
      </c>
    </row>
    <row r="317" spans="1:28" x14ac:dyDescent="0.2">
      <c r="A317" t="s">
        <v>6</v>
      </c>
      <c r="B317">
        <v>72</v>
      </c>
      <c r="C317">
        <v>5</v>
      </c>
      <c r="D317">
        <v>61</v>
      </c>
      <c r="E317" t="s">
        <v>12</v>
      </c>
      <c r="F317" s="1">
        <v>45154</v>
      </c>
      <c r="G317" t="s">
        <v>8</v>
      </c>
      <c r="H317" s="2">
        <v>17.71</v>
      </c>
      <c r="I317" s="2">
        <v>46.05</v>
      </c>
      <c r="J317" s="2">
        <v>41.64</v>
      </c>
      <c r="K317" s="2">
        <f t="shared" si="97"/>
        <v>319.2</v>
      </c>
      <c r="L317" s="2">
        <v>6.26</v>
      </c>
      <c r="M317" s="2">
        <v>0.09</v>
      </c>
      <c r="N317" s="6">
        <f t="shared" si="109"/>
        <v>8.0534565500901802</v>
      </c>
      <c r="O317" s="6">
        <f t="shared" si="110"/>
        <v>1.793829998714723</v>
      </c>
      <c r="P317" s="6">
        <f t="shared" si="111"/>
        <v>97.28656892426747</v>
      </c>
      <c r="Q317" s="6">
        <f t="shared" si="98"/>
        <v>1.6591302508958492</v>
      </c>
      <c r="R317" s="10">
        <f t="shared" si="99"/>
        <v>1.6591302508958492E-3</v>
      </c>
      <c r="S317" s="3">
        <f t="shared" si="112"/>
        <v>2.9864344516125286E-2</v>
      </c>
      <c r="T317" s="4">
        <f t="shared" si="113"/>
        <v>2.9864344516125284E-5</v>
      </c>
      <c r="U317" s="3">
        <f t="shared" si="114"/>
        <v>0.10751164025805103</v>
      </c>
      <c r="V317" s="2">
        <v>5.59</v>
      </c>
      <c r="W317" s="2">
        <v>1.83</v>
      </c>
      <c r="X317" s="2">
        <f t="shared" si="115"/>
        <v>18300</v>
      </c>
      <c r="Y317" s="5">
        <v>-0.69</v>
      </c>
      <c r="Z317" s="5">
        <v>-2.0099999999999998</v>
      </c>
      <c r="AA317" s="2">
        <f t="shared" si="116"/>
        <v>1.3199999999999998</v>
      </c>
      <c r="AB317" s="3">
        <f t="shared" si="117"/>
        <v>8.1448212316705335E-2</v>
      </c>
    </row>
    <row r="318" spans="1:28" x14ac:dyDescent="0.2">
      <c r="A318" t="s">
        <v>6</v>
      </c>
      <c r="B318">
        <v>72</v>
      </c>
      <c r="C318">
        <v>5</v>
      </c>
      <c r="D318">
        <v>63</v>
      </c>
      <c r="E318" t="s">
        <v>12</v>
      </c>
      <c r="F318" s="1">
        <v>45155</v>
      </c>
      <c r="G318" t="s">
        <v>8</v>
      </c>
      <c r="H318" s="2">
        <v>15.28</v>
      </c>
      <c r="I318" s="2">
        <v>45.96</v>
      </c>
      <c r="J318" s="2">
        <v>41.08</v>
      </c>
      <c r="K318" s="2">
        <f t="shared" si="97"/>
        <v>319.10999999999996</v>
      </c>
      <c r="L318" s="2">
        <v>6.27</v>
      </c>
      <c r="M318" s="2">
        <v>0.1</v>
      </c>
      <c r="N318" s="6">
        <f t="shared" si="109"/>
        <v>7.8183367054212569</v>
      </c>
      <c r="O318" s="6">
        <f t="shared" si="110"/>
        <v>1.5405805835419657</v>
      </c>
      <c r="P318" s="6">
        <f t="shared" si="111"/>
        <v>97.28545295950093</v>
      </c>
      <c r="Q318" s="6">
        <f t="shared" si="98"/>
        <v>1.5915398020152265</v>
      </c>
      <c r="R318" s="10">
        <f t="shared" si="99"/>
        <v>1.5915398020152265E-3</v>
      </c>
      <c r="S318" s="3">
        <f t="shared" si="112"/>
        <v>2.8647716436274076E-2</v>
      </c>
      <c r="T318" s="4">
        <f t="shared" si="113"/>
        <v>2.8647716436274075E-5</v>
      </c>
      <c r="U318" s="3">
        <f t="shared" si="114"/>
        <v>0.10313177917058666</v>
      </c>
      <c r="V318" s="2">
        <v>13.53</v>
      </c>
      <c r="W318" s="2">
        <v>2.78</v>
      </c>
      <c r="X318" s="2">
        <f t="shared" si="115"/>
        <v>27799.999999999996</v>
      </c>
      <c r="Y318" s="5">
        <v>-0.56999999999999995</v>
      </c>
      <c r="Z318" s="5">
        <v>-1.91</v>
      </c>
      <c r="AA318" s="2">
        <f t="shared" si="116"/>
        <v>1.3399999999999999</v>
      </c>
      <c r="AB318" s="3">
        <f t="shared" si="117"/>
        <v>7.6964014306407966E-2</v>
      </c>
    </row>
    <row r="319" spans="1:28" x14ac:dyDescent="0.2">
      <c r="A319" t="s">
        <v>6</v>
      </c>
      <c r="B319">
        <v>72</v>
      </c>
      <c r="C319">
        <v>5</v>
      </c>
      <c r="D319">
        <v>85</v>
      </c>
      <c r="E319" t="s">
        <v>12</v>
      </c>
      <c r="F319" s="1">
        <v>45154</v>
      </c>
      <c r="G319" t="s">
        <v>8</v>
      </c>
      <c r="H319" s="2">
        <v>19.190000000000001</v>
      </c>
      <c r="I319" s="2">
        <v>44.32</v>
      </c>
      <c r="J319" s="2">
        <v>41.23</v>
      </c>
      <c r="K319" s="2">
        <f t="shared" si="97"/>
        <v>317.46999999999997</v>
      </c>
      <c r="L319" s="2">
        <v>6.11</v>
      </c>
      <c r="M319" s="2">
        <v>0.1</v>
      </c>
      <c r="N319" s="6">
        <f t="shared" si="109"/>
        <v>7.8807245822057661</v>
      </c>
      <c r="O319" s="6">
        <f t="shared" si="110"/>
        <v>1.7780347508650844</v>
      </c>
      <c r="P319" s="6">
        <f t="shared" si="111"/>
        <v>97.265009053026304</v>
      </c>
      <c r="Q319" s="6">
        <f t="shared" si="98"/>
        <v>1.8205155167778928</v>
      </c>
      <c r="R319" s="10">
        <f t="shared" si="99"/>
        <v>1.8205155167778928E-3</v>
      </c>
      <c r="S319" s="3">
        <f t="shared" si="112"/>
        <v>3.2769279302002068E-2</v>
      </c>
      <c r="T319" s="4">
        <f t="shared" si="113"/>
        <v>3.276927930200207E-5</v>
      </c>
      <c r="U319" s="3">
        <f t="shared" si="114"/>
        <v>0.11796940548720745</v>
      </c>
      <c r="V319" s="2">
        <v>8.26</v>
      </c>
      <c r="W319" s="2">
        <v>2.33</v>
      </c>
      <c r="X319" s="2">
        <f t="shared" si="115"/>
        <v>23300</v>
      </c>
      <c r="Y319" s="5">
        <v>-0.49</v>
      </c>
      <c r="Z319" s="5">
        <v>-2.06</v>
      </c>
      <c r="AA319" s="2">
        <f t="shared" si="116"/>
        <v>1.57</v>
      </c>
      <c r="AB319" s="3">
        <f t="shared" si="117"/>
        <v>7.5139748717966526E-2</v>
      </c>
    </row>
    <row r="320" spans="1:28" x14ac:dyDescent="0.2">
      <c r="A320" t="s">
        <v>9</v>
      </c>
      <c r="B320">
        <v>1521</v>
      </c>
      <c r="C320">
        <v>153</v>
      </c>
      <c r="D320">
        <v>69</v>
      </c>
      <c r="E320" t="s">
        <v>12</v>
      </c>
      <c r="F320" s="1">
        <v>45154</v>
      </c>
      <c r="G320" t="s">
        <v>8</v>
      </c>
      <c r="H320" s="2">
        <v>17.12</v>
      </c>
      <c r="I320" s="2">
        <v>46.15</v>
      </c>
      <c r="J320" s="2">
        <v>40.68</v>
      </c>
      <c r="K320" s="2">
        <f t="shared" si="97"/>
        <v>319.29999999999995</v>
      </c>
      <c r="L320" s="2">
        <v>5.91</v>
      </c>
      <c r="M320" s="2">
        <v>0.18</v>
      </c>
      <c r="N320" s="6">
        <f t="shared" si="109"/>
        <v>7.6540562271677999</v>
      </c>
      <c r="O320" s="6">
        <f t="shared" si="110"/>
        <v>1.7429666274182116</v>
      </c>
      <c r="P320" s="6">
        <f t="shared" si="111"/>
        <v>97.28780816227858</v>
      </c>
      <c r="Q320" s="6">
        <f t="shared" si="98"/>
        <v>3.2268187229232299</v>
      </c>
      <c r="R320" s="10">
        <f t="shared" si="99"/>
        <v>3.2268187229232297E-3</v>
      </c>
      <c r="S320" s="3">
        <f t="shared" si="112"/>
        <v>5.8082737012618138E-2</v>
      </c>
      <c r="T320" s="4">
        <f t="shared" si="113"/>
        <v>5.8082737012618141E-5</v>
      </c>
      <c r="U320" s="3">
        <f t="shared" si="114"/>
        <v>0.20909785324542532</v>
      </c>
      <c r="V320" s="2">
        <v>1.89</v>
      </c>
      <c r="W320" s="2">
        <v>0.42</v>
      </c>
      <c r="X320" s="2">
        <f t="shared" si="115"/>
        <v>4200</v>
      </c>
      <c r="Y320" s="5">
        <v>-0.62</v>
      </c>
      <c r="Z320" s="5">
        <v>-2.1</v>
      </c>
      <c r="AA320" s="2">
        <f t="shared" si="116"/>
        <v>1.48</v>
      </c>
      <c r="AB320" s="3">
        <f t="shared" si="117"/>
        <v>0.14128233327393602</v>
      </c>
    </row>
    <row r="321" spans="1:28" x14ac:dyDescent="0.2">
      <c r="A321" t="s">
        <v>9</v>
      </c>
      <c r="B321">
        <v>1521</v>
      </c>
      <c r="C321">
        <v>153</v>
      </c>
      <c r="D321">
        <v>76</v>
      </c>
      <c r="E321" t="s">
        <v>12</v>
      </c>
      <c r="F321" s="1">
        <v>45154</v>
      </c>
      <c r="G321" t="s">
        <v>8</v>
      </c>
      <c r="H321" s="2">
        <v>15.99</v>
      </c>
      <c r="I321" s="2">
        <v>46.28</v>
      </c>
      <c r="J321" s="2">
        <v>42.71</v>
      </c>
      <c r="K321" s="2">
        <f t="shared" si="97"/>
        <v>319.42999999999995</v>
      </c>
      <c r="L321" s="2">
        <v>6.88</v>
      </c>
      <c r="M321" s="2">
        <v>0.08</v>
      </c>
      <c r="N321" s="6">
        <f t="shared" si="109"/>
        <v>8.5197729551859069</v>
      </c>
      <c r="O321" s="6">
        <f t="shared" si="110"/>
        <v>1.6387806550797051</v>
      </c>
      <c r="P321" s="6">
        <f t="shared" si="111"/>
        <v>97.289418035286474</v>
      </c>
      <c r="Q321" s="6">
        <f t="shared" si="98"/>
        <v>1.3483669556671976</v>
      </c>
      <c r="R321" s="10">
        <f t="shared" si="99"/>
        <v>1.3483669556671977E-3</v>
      </c>
      <c r="S321" s="3">
        <f t="shared" si="112"/>
        <v>2.4270605202009559E-2</v>
      </c>
      <c r="T321" s="4">
        <f t="shared" si="113"/>
        <v>2.427060520200956E-5</v>
      </c>
      <c r="U321" s="3">
        <f t="shared" si="114"/>
        <v>8.7374178727234422E-2</v>
      </c>
      <c r="V321" s="2">
        <v>1.63</v>
      </c>
      <c r="W321" s="2">
        <v>0.4</v>
      </c>
      <c r="X321" s="2">
        <f t="shared" si="115"/>
        <v>4000</v>
      </c>
      <c r="Y321" s="5">
        <v>-0.51</v>
      </c>
      <c r="Z321" s="5">
        <v>-1.72</v>
      </c>
      <c r="AA321" s="2">
        <f t="shared" si="116"/>
        <v>1.21</v>
      </c>
      <c r="AB321" s="3">
        <f t="shared" si="117"/>
        <v>7.2210065063830098E-2</v>
      </c>
    </row>
    <row r="322" spans="1:28" x14ac:dyDescent="0.2">
      <c r="A322" t="s">
        <v>9</v>
      </c>
      <c r="B322">
        <v>1521</v>
      </c>
      <c r="C322">
        <v>153</v>
      </c>
      <c r="D322">
        <v>90</v>
      </c>
      <c r="E322" t="s">
        <v>12</v>
      </c>
      <c r="F322" s="1">
        <v>45155</v>
      </c>
      <c r="G322" t="s">
        <v>8</v>
      </c>
      <c r="H322" s="2">
        <v>14.26</v>
      </c>
      <c r="I322" s="2">
        <v>46.81</v>
      </c>
      <c r="J322" s="2">
        <v>43.6</v>
      </c>
      <c r="K322" s="2">
        <f t="shared" si="97"/>
        <v>319.95999999999998</v>
      </c>
      <c r="L322" s="2">
        <v>7.46</v>
      </c>
      <c r="M322" s="2">
        <v>0.08</v>
      </c>
      <c r="N322" s="6">
        <f t="shared" si="109"/>
        <v>8.925268998155639</v>
      </c>
      <c r="O322" s="6">
        <f t="shared" si="110"/>
        <v>1.5015340721376205</v>
      </c>
      <c r="P322" s="6">
        <f t="shared" si="111"/>
        <v>97.295968099820712</v>
      </c>
      <c r="Q322" s="6">
        <f t="shared" si="98"/>
        <v>1.2047931907331226</v>
      </c>
      <c r="R322" s="10">
        <f t="shared" si="99"/>
        <v>1.2047931907331227E-3</v>
      </c>
      <c r="S322" s="3">
        <f t="shared" si="112"/>
        <v>2.1686277433196208E-2</v>
      </c>
      <c r="T322" s="4">
        <f t="shared" si="113"/>
        <v>2.168627743319621E-5</v>
      </c>
      <c r="U322" s="3">
        <f t="shared" si="114"/>
        <v>7.8070598759506352E-2</v>
      </c>
      <c r="V322" s="2">
        <v>3.81</v>
      </c>
      <c r="W322" s="2">
        <v>0.53</v>
      </c>
      <c r="X322" s="2">
        <f t="shared" si="115"/>
        <v>5300</v>
      </c>
      <c r="Y322" s="5">
        <v>-0.67</v>
      </c>
      <c r="Z322" s="5">
        <v>-2</v>
      </c>
      <c r="AA322" s="2">
        <f t="shared" si="116"/>
        <v>1.33</v>
      </c>
      <c r="AB322" s="3">
        <f t="shared" si="117"/>
        <v>5.8699698315418304E-2</v>
      </c>
    </row>
    <row r="323" spans="1:28" x14ac:dyDescent="0.2">
      <c r="A323" t="s">
        <v>9</v>
      </c>
      <c r="B323">
        <v>1521</v>
      </c>
      <c r="C323">
        <v>155</v>
      </c>
      <c r="D323">
        <v>62</v>
      </c>
      <c r="E323" t="s">
        <v>12</v>
      </c>
      <c r="F323" s="1">
        <v>45155</v>
      </c>
      <c r="G323" t="s">
        <v>8</v>
      </c>
      <c r="H323" s="2">
        <v>14.55</v>
      </c>
      <c r="I323" s="2">
        <v>46.77</v>
      </c>
      <c r="J323" s="2">
        <v>41.58</v>
      </c>
      <c r="K323" s="2">
        <f t="shared" si="97"/>
        <v>319.91999999999996</v>
      </c>
      <c r="L323" s="2">
        <v>6.5</v>
      </c>
      <c r="M323" s="2">
        <v>0.18</v>
      </c>
      <c r="N323" s="6">
        <f t="shared" si="109"/>
        <v>8.0279757278625219</v>
      </c>
      <c r="O323" s="6">
        <f t="shared" si="110"/>
        <v>1.5289521067422922</v>
      </c>
      <c r="P323" s="6">
        <f t="shared" si="111"/>
        <v>97.295474497118789</v>
      </c>
      <c r="Q323" s="6">
        <f t="shared" si="98"/>
        <v>2.8268080549152219</v>
      </c>
      <c r="R323" s="10">
        <f t="shared" si="99"/>
        <v>2.8268080549152218E-3</v>
      </c>
      <c r="S323" s="3">
        <f t="shared" si="112"/>
        <v>5.0882544988473992E-2</v>
      </c>
      <c r="T323" s="4">
        <f t="shared" si="113"/>
        <v>5.0882544988473992E-5</v>
      </c>
      <c r="U323" s="3">
        <f t="shared" si="114"/>
        <v>0.18317716195850636</v>
      </c>
      <c r="V323" s="2">
        <v>1.17</v>
      </c>
      <c r="W323" s="2">
        <v>0.44</v>
      </c>
      <c r="X323" s="2">
        <f t="shared" si="115"/>
        <v>4400</v>
      </c>
      <c r="Y323" s="5">
        <v>-0.48</v>
      </c>
      <c r="Z323" s="5">
        <v>-2.0299999999999998</v>
      </c>
      <c r="AA323" s="2">
        <f t="shared" si="116"/>
        <v>1.5499999999999998</v>
      </c>
      <c r="AB323" s="3">
        <f t="shared" si="117"/>
        <v>0.11817881416677831</v>
      </c>
    </row>
    <row r="324" spans="1:28" x14ac:dyDescent="0.2">
      <c r="A324" t="s">
        <v>9</v>
      </c>
      <c r="B324">
        <v>1521</v>
      </c>
      <c r="C324">
        <v>155</v>
      </c>
      <c r="D324">
        <v>64</v>
      </c>
      <c r="E324" t="s">
        <v>12</v>
      </c>
      <c r="F324" s="1">
        <v>45155</v>
      </c>
      <c r="G324" t="s">
        <v>8</v>
      </c>
      <c r="H324" s="2">
        <v>17.920000000000002</v>
      </c>
      <c r="I324" s="2">
        <v>45.08</v>
      </c>
      <c r="J324" s="2">
        <v>39.78</v>
      </c>
      <c r="K324" s="2">
        <f t="shared" ref="K324:K387" si="118">273.15+I324</f>
        <v>318.22999999999996</v>
      </c>
      <c r="L324" s="2">
        <v>5.57</v>
      </c>
      <c r="M324" s="2">
        <v>0.18</v>
      </c>
      <c r="N324" s="6">
        <f t="shared" si="109"/>
        <v>7.2953215294692439</v>
      </c>
      <c r="O324" s="6">
        <f t="shared" si="110"/>
        <v>1.7268752263821181</v>
      </c>
      <c r="P324" s="6">
        <f t="shared" si="111"/>
        <v>97.274508722493934</v>
      </c>
      <c r="Q324" s="6">
        <f t="shared" ref="Q324:Q387" si="119">(M324*(N324-L324)/P324)*1000</f>
        <v>3.1925925854884309</v>
      </c>
      <c r="R324" s="10">
        <f t="shared" ref="R324:R364" si="120">Q324/1000</f>
        <v>3.1925925854884309E-3</v>
      </c>
      <c r="S324" s="3">
        <f t="shared" si="112"/>
        <v>5.7466666538791754E-2</v>
      </c>
      <c r="T324" s="4">
        <f t="shared" si="113"/>
        <v>5.7466666538791752E-5</v>
      </c>
      <c r="U324" s="3">
        <f t="shared" si="114"/>
        <v>0.20687999953965031</v>
      </c>
      <c r="V324" s="2">
        <v>1.37</v>
      </c>
      <c r="W324" s="2">
        <v>0.45</v>
      </c>
      <c r="X324" s="2">
        <f t="shared" si="115"/>
        <v>4500</v>
      </c>
      <c r="Y324" s="5">
        <v>-0.42</v>
      </c>
      <c r="Z324" s="5">
        <v>-1.81</v>
      </c>
      <c r="AA324" s="2">
        <f t="shared" si="116"/>
        <v>1.3900000000000001</v>
      </c>
      <c r="AB324" s="3">
        <f t="shared" si="117"/>
        <v>0.14883453204291389</v>
      </c>
    </row>
    <row r="325" spans="1:28" x14ac:dyDescent="0.2">
      <c r="A325" t="s">
        <v>9</v>
      </c>
      <c r="B325">
        <v>1521</v>
      </c>
      <c r="C325">
        <v>155</v>
      </c>
      <c r="D325">
        <v>66</v>
      </c>
      <c r="E325" t="s">
        <v>12</v>
      </c>
      <c r="F325" s="1">
        <v>45154</v>
      </c>
      <c r="G325" t="s">
        <v>8</v>
      </c>
      <c r="H325" s="2">
        <v>15.76</v>
      </c>
      <c r="I325" s="2">
        <v>46.43</v>
      </c>
      <c r="J325" s="2">
        <v>42.46</v>
      </c>
      <c r="K325" s="2">
        <f t="shared" si="118"/>
        <v>319.58</v>
      </c>
      <c r="L325" s="2">
        <v>6.79</v>
      </c>
      <c r="M325" s="2">
        <v>0.08</v>
      </c>
      <c r="N325" s="6">
        <f t="shared" si="109"/>
        <v>8.4087788997044015</v>
      </c>
      <c r="O325" s="6">
        <f t="shared" si="110"/>
        <v>1.6276332314855932</v>
      </c>
      <c r="P325" s="6">
        <f t="shared" si="111"/>
        <v>97.291273986633925</v>
      </c>
      <c r="Q325" s="6">
        <f t="shared" si="119"/>
        <v>1.3310783862707298</v>
      </c>
      <c r="R325" s="10">
        <f t="shared" si="120"/>
        <v>1.3310783862707299E-3</v>
      </c>
      <c r="S325" s="3">
        <f t="shared" si="112"/>
        <v>2.3959410952873138E-2</v>
      </c>
      <c r="T325" s="4">
        <f t="shared" si="113"/>
        <v>2.395941095287314E-5</v>
      </c>
      <c r="U325" s="3">
        <f t="shared" si="114"/>
        <v>8.6253879430343308E-2</v>
      </c>
      <c r="V325" s="2">
        <v>3.21</v>
      </c>
      <c r="W325" s="2">
        <v>0.68</v>
      </c>
      <c r="X325" s="2">
        <f t="shared" si="115"/>
        <v>6800.0000000000009</v>
      </c>
      <c r="Y325" s="5">
        <v>-0.55000000000000004</v>
      </c>
      <c r="Z325" s="5">
        <v>-1.7</v>
      </c>
      <c r="AA325" s="2">
        <f t="shared" si="116"/>
        <v>1.1499999999999999</v>
      </c>
      <c r="AB325" s="3">
        <f t="shared" si="117"/>
        <v>7.5003373417689839E-2</v>
      </c>
    </row>
    <row r="326" spans="1:28" x14ac:dyDescent="0.2">
      <c r="A326" t="s">
        <v>9</v>
      </c>
      <c r="B326">
        <v>1521</v>
      </c>
      <c r="C326">
        <v>156</v>
      </c>
      <c r="D326">
        <v>71</v>
      </c>
      <c r="E326" t="s">
        <v>12</v>
      </c>
      <c r="F326" s="1">
        <v>45155</v>
      </c>
      <c r="G326" t="s">
        <v>8</v>
      </c>
      <c r="H326" s="2">
        <v>14.62</v>
      </c>
      <c r="I326" s="2">
        <v>46.73</v>
      </c>
      <c r="J326" s="2">
        <v>43.15</v>
      </c>
      <c r="K326" s="2">
        <f t="shared" si="118"/>
        <v>319.88</v>
      </c>
      <c r="L326" s="2">
        <v>7.19</v>
      </c>
      <c r="M326" s="2">
        <v>0.09</v>
      </c>
      <c r="N326" s="6">
        <f t="shared" si="109"/>
        <v>8.7182041417049412</v>
      </c>
      <c r="O326" s="6">
        <f t="shared" si="110"/>
        <v>1.5331803248772642</v>
      </c>
      <c r="P326" s="6">
        <f t="shared" si="111"/>
        <v>97.294980773474975</v>
      </c>
      <c r="Q326" s="6">
        <f t="shared" si="119"/>
        <v>1.4136224876149113</v>
      </c>
      <c r="R326" s="10">
        <f t="shared" si="120"/>
        <v>1.4136224876149114E-3</v>
      </c>
      <c r="S326" s="3">
        <f t="shared" si="112"/>
        <v>2.5445204777068405E-2</v>
      </c>
      <c r="T326" s="4">
        <f t="shared" si="113"/>
        <v>2.5445204777068404E-5</v>
      </c>
      <c r="U326" s="3">
        <f t="shared" si="114"/>
        <v>9.1602737197446257E-2</v>
      </c>
      <c r="V326" s="2">
        <v>3.35</v>
      </c>
      <c r="W326" s="2">
        <v>0.65</v>
      </c>
      <c r="X326" s="2">
        <f t="shared" si="115"/>
        <v>6500</v>
      </c>
      <c r="Y326" s="5">
        <v>-0.5</v>
      </c>
      <c r="Z326" s="5">
        <v>-1.97</v>
      </c>
      <c r="AA326" s="2">
        <f t="shared" si="116"/>
        <v>1.47</v>
      </c>
      <c r="AB326" s="3">
        <f t="shared" si="117"/>
        <v>6.2314787209147113E-2</v>
      </c>
    </row>
    <row r="327" spans="1:28" x14ac:dyDescent="0.2">
      <c r="A327" t="s">
        <v>9</v>
      </c>
      <c r="B327">
        <v>1521</v>
      </c>
      <c r="C327">
        <v>156</v>
      </c>
      <c r="D327">
        <v>74</v>
      </c>
      <c r="E327" t="s">
        <v>12</v>
      </c>
      <c r="F327" s="1">
        <v>45154</v>
      </c>
      <c r="G327" t="s">
        <v>8</v>
      </c>
      <c r="H327" s="2">
        <v>16.21</v>
      </c>
      <c r="I327" s="2">
        <v>46.4</v>
      </c>
      <c r="J327" s="2">
        <v>40.380000000000003</v>
      </c>
      <c r="K327" s="2">
        <f t="shared" si="118"/>
        <v>319.54999999999995</v>
      </c>
      <c r="L327" s="2">
        <v>5.86</v>
      </c>
      <c r="M327" s="2">
        <v>0.17</v>
      </c>
      <c r="N327" s="6">
        <f t="shared" si="109"/>
        <v>7.5328166612247847</v>
      </c>
      <c r="O327" s="6">
        <f t="shared" si="110"/>
        <v>1.6715448501655497</v>
      </c>
      <c r="P327" s="6">
        <f t="shared" si="111"/>
        <v>97.290902932925206</v>
      </c>
      <c r="Q327" s="6">
        <f t="shared" si="119"/>
        <v>2.922974541661632</v>
      </c>
      <c r="R327" s="10">
        <f t="shared" si="120"/>
        <v>2.9229745416616318E-3</v>
      </c>
      <c r="S327" s="3">
        <f t="shared" si="112"/>
        <v>5.261354174990937E-2</v>
      </c>
      <c r="T327" s="4">
        <f t="shared" si="113"/>
        <v>5.261354174990937E-5</v>
      </c>
      <c r="U327" s="3">
        <f t="shared" si="114"/>
        <v>0.18940875029967374</v>
      </c>
      <c r="V327" s="2">
        <v>2.92</v>
      </c>
      <c r="W327" s="2">
        <v>0.64</v>
      </c>
      <c r="X327" s="2">
        <f t="shared" si="115"/>
        <v>6400</v>
      </c>
      <c r="Y327" s="5">
        <v>-0.28000000000000003</v>
      </c>
      <c r="Z327" s="5">
        <v>-1.85</v>
      </c>
      <c r="AA327" s="2">
        <f t="shared" si="116"/>
        <v>1.57</v>
      </c>
      <c r="AB327" s="3">
        <f t="shared" si="117"/>
        <v>0.12064251611444188</v>
      </c>
    </row>
    <row r="328" spans="1:28" x14ac:dyDescent="0.2">
      <c r="A328" t="s">
        <v>9</v>
      </c>
      <c r="B328">
        <v>1521</v>
      </c>
      <c r="C328">
        <v>156</v>
      </c>
      <c r="D328">
        <v>75</v>
      </c>
      <c r="E328" t="s">
        <v>12</v>
      </c>
      <c r="F328" s="1">
        <v>45154</v>
      </c>
      <c r="G328" t="s">
        <v>8</v>
      </c>
      <c r="H328" s="2">
        <v>15.8</v>
      </c>
      <c r="I328" s="2">
        <v>46.28</v>
      </c>
      <c r="J328" s="2">
        <v>42.64</v>
      </c>
      <c r="K328" s="2">
        <f t="shared" si="118"/>
        <v>319.42999999999995</v>
      </c>
      <c r="L328" s="2">
        <v>6.88</v>
      </c>
      <c r="M328" s="2">
        <v>7.0000000000000007E-2</v>
      </c>
      <c r="N328" s="6">
        <f t="shared" si="109"/>
        <v>8.4885675448476885</v>
      </c>
      <c r="O328" s="6">
        <f t="shared" si="110"/>
        <v>1.6193079643689392</v>
      </c>
      <c r="P328" s="6">
        <f t="shared" si="111"/>
        <v>97.289418035286474</v>
      </c>
      <c r="Q328" s="6">
        <f t="shared" si="119"/>
        <v>1.1573687088815636</v>
      </c>
      <c r="R328" s="10">
        <f t="shared" si="120"/>
        <v>1.1573687088815637E-3</v>
      </c>
      <c r="S328" s="3">
        <f t="shared" si="112"/>
        <v>2.0832636759868146E-2</v>
      </c>
      <c r="T328" s="4">
        <f t="shared" si="113"/>
        <v>2.0832636759868147E-5</v>
      </c>
      <c r="U328" s="3">
        <f t="shared" si="114"/>
        <v>7.4997492335525329E-2</v>
      </c>
      <c r="V328" s="2">
        <v>2.78</v>
      </c>
      <c r="W328" s="2">
        <v>0.57999999999999996</v>
      </c>
      <c r="X328" s="2">
        <f t="shared" si="115"/>
        <v>5800</v>
      </c>
      <c r="Y328" s="5">
        <v>-0.43</v>
      </c>
      <c r="Z328" s="5">
        <v>-2.12</v>
      </c>
      <c r="AA328" s="2">
        <f t="shared" si="116"/>
        <v>1.6900000000000002</v>
      </c>
      <c r="AB328" s="3">
        <f t="shared" si="117"/>
        <v>4.4377214399719124E-2</v>
      </c>
    </row>
    <row r="329" spans="1:28" x14ac:dyDescent="0.2">
      <c r="A329" t="s">
        <v>9</v>
      </c>
      <c r="B329">
        <v>1521</v>
      </c>
      <c r="C329">
        <v>157</v>
      </c>
      <c r="D329">
        <v>67</v>
      </c>
      <c r="E329" t="s">
        <v>12</v>
      </c>
      <c r="F329" s="1">
        <v>45154</v>
      </c>
      <c r="G329" t="s">
        <v>8</v>
      </c>
      <c r="H329" s="2">
        <v>18.579999999999998</v>
      </c>
      <c r="I329" s="2">
        <v>43.93</v>
      </c>
      <c r="J329" s="2">
        <v>41.98</v>
      </c>
      <c r="K329" s="2">
        <f t="shared" si="118"/>
        <v>317.08</v>
      </c>
      <c r="L329" s="2">
        <v>6.51</v>
      </c>
      <c r="M329" s="2">
        <v>7.0000000000000007E-2</v>
      </c>
      <c r="N329" s="6">
        <f t="shared" si="109"/>
        <v>8.199174954258817</v>
      </c>
      <c r="O329" s="6">
        <f t="shared" si="110"/>
        <v>1.6870282766083879</v>
      </c>
      <c r="P329" s="6">
        <f t="shared" si="111"/>
        <v>97.260116904327234</v>
      </c>
      <c r="Q329" s="6">
        <f t="shared" si="119"/>
        <v>1.2157321064545878</v>
      </c>
      <c r="R329" s="10">
        <f t="shared" si="120"/>
        <v>1.215732106454588E-3</v>
      </c>
      <c r="S329" s="3">
        <f t="shared" si="112"/>
        <v>2.1883177916182585E-2</v>
      </c>
      <c r="T329" s="4">
        <f t="shared" si="113"/>
        <v>2.1883177916182584E-5</v>
      </c>
      <c r="U329" s="3">
        <f t="shared" si="114"/>
        <v>7.8779440498257303E-2</v>
      </c>
      <c r="V329" s="2">
        <v>2.46</v>
      </c>
      <c r="W329" s="2">
        <v>0.65</v>
      </c>
      <c r="X329" s="2">
        <f t="shared" si="115"/>
        <v>6500</v>
      </c>
      <c r="Y329" s="5">
        <v>-0.82</v>
      </c>
      <c r="Z329" s="5">
        <v>-2.57</v>
      </c>
      <c r="AA329" s="2">
        <f t="shared" si="116"/>
        <v>1.75</v>
      </c>
      <c r="AB329" s="3">
        <f t="shared" si="117"/>
        <v>4.5016823141861319E-2</v>
      </c>
    </row>
    <row r="330" spans="1:28" x14ac:dyDescent="0.2">
      <c r="A330" t="s">
        <v>9</v>
      </c>
      <c r="B330">
        <v>1521</v>
      </c>
      <c r="C330">
        <v>157</v>
      </c>
      <c r="D330">
        <v>68</v>
      </c>
      <c r="E330" t="s">
        <v>12</v>
      </c>
      <c r="F330" s="1">
        <v>45154</v>
      </c>
      <c r="G330" t="s">
        <v>8</v>
      </c>
      <c r="H330" s="2">
        <v>17.59</v>
      </c>
      <c r="I330" s="2">
        <v>44.87</v>
      </c>
      <c r="J330" s="2">
        <v>41.63</v>
      </c>
      <c r="K330" s="2">
        <f t="shared" si="118"/>
        <v>318.02</v>
      </c>
      <c r="L330" s="2">
        <v>6.37</v>
      </c>
      <c r="M330" s="2">
        <v>0.09</v>
      </c>
      <c r="N330" s="6">
        <f t="shared" si="109"/>
        <v>8.0492048890768295</v>
      </c>
      <c r="O330" s="6">
        <f t="shared" si="110"/>
        <v>1.6768127018112631</v>
      </c>
      <c r="P330" s="6">
        <f t="shared" si="111"/>
        <v>97.271888260814023</v>
      </c>
      <c r="Q330" s="6">
        <f t="shared" si="119"/>
        <v>1.5536702609462627</v>
      </c>
      <c r="R330" s="10">
        <f t="shared" si="120"/>
        <v>1.5536702609462627E-3</v>
      </c>
      <c r="S330" s="3">
        <f t="shared" si="112"/>
        <v>2.7966064697032729E-2</v>
      </c>
      <c r="T330" s="4">
        <f t="shared" si="113"/>
        <v>2.7966064697032728E-5</v>
      </c>
      <c r="U330" s="3">
        <f t="shared" si="114"/>
        <v>0.10067783290931782</v>
      </c>
      <c r="V330" s="2">
        <v>2.9</v>
      </c>
      <c r="W330" s="2">
        <v>0.85</v>
      </c>
      <c r="X330" s="2">
        <f t="shared" si="115"/>
        <v>8500</v>
      </c>
      <c r="Y330" s="5">
        <v>-1.1000000000000001</v>
      </c>
      <c r="Z330" s="5">
        <v>-2.12</v>
      </c>
      <c r="AA330" s="2">
        <f t="shared" si="116"/>
        <v>1.02</v>
      </c>
      <c r="AB330" s="3">
        <f t="shared" si="117"/>
        <v>9.8703757754233165E-2</v>
      </c>
    </row>
    <row r="331" spans="1:28" x14ac:dyDescent="0.2">
      <c r="A331" t="s">
        <v>9</v>
      </c>
      <c r="B331">
        <v>1521</v>
      </c>
      <c r="C331">
        <v>157</v>
      </c>
      <c r="D331">
        <v>72</v>
      </c>
      <c r="E331" t="s">
        <v>12</v>
      </c>
      <c r="F331" s="1">
        <v>45155</v>
      </c>
      <c r="G331" t="s">
        <v>8</v>
      </c>
      <c r="H331" s="2">
        <v>14.5</v>
      </c>
      <c r="I331" s="2">
        <v>46.61</v>
      </c>
      <c r="J331" s="2">
        <v>44.39</v>
      </c>
      <c r="K331" s="2">
        <f t="shared" si="118"/>
        <v>319.76</v>
      </c>
      <c r="L331" s="2">
        <v>7.78</v>
      </c>
      <c r="M331" s="2">
        <v>0.06</v>
      </c>
      <c r="N331" s="6">
        <f t="shared" si="109"/>
        <v>9.299084014321906</v>
      </c>
      <c r="O331" s="6">
        <f t="shared" si="110"/>
        <v>1.5113230948492486</v>
      </c>
      <c r="P331" s="6">
        <f t="shared" si="111"/>
        <v>97.293498876447686</v>
      </c>
      <c r="Q331" s="6">
        <f t="shared" si="119"/>
        <v>0.93680504773560225</v>
      </c>
      <c r="R331" s="10">
        <f t="shared" si="120"/>
        <v>9.3680504773560223E-4</v>
      </c>
      <c r="S331" s="3">
        <f t="shared" si="112"/>
        <v>1.6862490859240839E-2</v>
      </c>
      <c r="T331" s="4">
        <f t="shared" si="113"/>
        <v>1.6862490859240839E-5</v>
      </c>
      <c r="U331" s="3">
        <f t="shared" si="114"/>
        <v>6.0704967093267025E-2</v>
      </c>
      <c r="V331" s="2">
        <v>1.89</v>
      </c>
      <c r="W331" s="2">
        <v>1.52</v>
      </c>
      <c r="X331" s="2">
        <f t="shared" si="115"/>
        <v>15200</v>
      </c>
      <c r="Y331" s="5">
        <v>-1.18</v>
      </c>
      <c r="Z331" s="5">
        <v>-2.16</v>
      </c>
      <c r="AA331" s="2">
        <f t="shared" si="116"/>
        <v>0.9800000000000002</v>
      </c>
      <c r="AB331" s="3">
        <f t="shared" si="117"/>
        <v>6.1943843972721443E-2</v>
      </c>
    </row>
    <row r="332" spans="1:28" x14ac:dyDescent="0.2">
      <c r="A332" t="s">
        <v>9</v>
      </c>
      <c r="B332">
        <v>1521</v>
      </c>
      <c r="C332">
        <v>158</v>
      </c>
      <c r="D332">
        <v>70</v>
      </c>
      <c r="E332" t="s">
        <v>12</v>
      </c>
      <c r="F332" s="1">
        <v>45154</v>
      </c>
      <c r="G332" t="s">
        <v>8</v>
      </c>
      <c r="H332" s="2">
        <v>16.46</v>
      </c>
      <c r="I332" s="2">
        <v>46.26</v>
      </c>
      <c r="J332" s="2">
        <v>42.22</v>
      </c>
      <c r="K332" s="2">
        <f t="shared" si="118"/>
        <v>319.40999999999997</v>
      </c>
      <c r="L332" s="2">
        <v>6.63</v>
      </c>
      <c r="M332" s="2">
        <v>0.09</v>
      </c>
      <c r="N332" s="6">
        <f t="shared" si="109"/>
        <v>8.3034043801827178</v>
      </c>
      <c r="O332" s="6">
        <f t="shared" si="110"/>
        <v>1.6852262054998313</v>
      </c>
      <c r="P332" s="6">
        <f t="shared" si="111"/>
        <v>97.289170446077378</v>
      </c>
      <c r="Q332" s="6">
        <f t="shared" si="119"/>
        <v>1.5480283522400713</v>
      </c>
      <c r="R332" s="10">
        <f t="shared" si="120"/>
        <v>1.5480283522400712E-3</v>
      </c>
      <c r="S332" s="3">
        <f t="shared" si="112"/>
        <v>2.786451034032128E-2</v>
      </c>
      <c r="T332" s="4">
        <f t="shared" si="113"/>
        <v>2.7864510340321282E-5</v>
      </c>
      <c r="U332" s="3">
        <f t="shared" si="114"/>
        <v>0.10031223722515661</v>
      </c>
      <c r="V332" s="2">
        <v>1.25</v>
      </c>
      <c r="W332" s="2">
        <v>0.24</v>
      </c>
      <c r="X332" s="2">
        <f t="shared" si="115"/>
        <v>2400</v>
      </c>
      <c r="Y332" s="5">
        <v>-0.43</v>
      </c>
      <c r="Z332" s="5">
        <v>-1.88</v>
      </c>
      <c r="AA332" s="2">
        <f t="shared" si="116"/>
        <v>1.45</v>
      </c>
      <c r="AB332" s="3">
        <f t="shared" si="117"/>
        <v>6.9180853258728706E-2</v>
      </c>
    </row>
    <row r="333" spans="1:28" x14ac:dyDescent="0.2">
      <c r="A333" t="s">
        <v>9</v>
      </c>
      <c r="B333">
        <v>1521</v>
      </c>
      <c r="C333">
        <v>158</v>
      </c>
      <c r="D333">
        <v>73</v>
      </c>
      <c r="E333" t="s">
        <v>12</v>
      </c>
      <c r="F333" s="1">
        <v>45154</v>
      </c>
      <c r="G333" t="s">
        <v>8</v>
      </c>
      <c r="H333" s="2">
        <v>16.09</v>
      </c>
      <c r="I333" s="2">
        <v>46.34</v>
      </c>
      <c r="J333" s="2">
        <v>41.45</v>
      </c>
      <c r="K333" s="2">
        <f t="shared" si="118"/>
        <v>319.49</v>
      </c>
      <c r="L333" s="2">
        <v>6.32</v>
      </c>
      <c r="M333" s="2">
        <v>0.09</v>
      </c>
      <c r="N333" s="6">
        <f t="shared" si="109"/>
        <v>7.973006682741123</v>
      </c>
      <c r="O333" s="6">
        <f t="shared" si="110"/>
        <v>1.6540933441994097</v>
      </c>
      <c r="P333" s="6">
        <f t="shared" si="111"/>
        <v>97.290160620704299</v>
      </c>
      <c r="Q333" s="6">
        <f t="shared" si="119"/>
        <v>1.5291433429398738</v>
      </c>
      <c r="R333" s="10">
        <f t="shared" si="120"/>
        <v>1.5291433429398737E-3</v>
      </c>
      <c r="S333" s="3">
        <f t="shared" si="112"/>
        <v>2.7524580172917729E-2</v>
      </c>
      <c r="T333" s="4">
        <f t="shared" si="113"/>
        <v>2.752458017291773E-5</v>
      </c>
      <c r="U333" s="3">
        <f t="shared" si="114"/>
        <v>9.9088488622503829E-2</v>
      </c>
      <c r="V333" s="2">
        <v>1.75</v>
      </c>
      <c r="W333" s="2">
        <v>0.39</v>
      </c>
      <c r="X333" s="2">
        <f t="shared" si="115"/>
        <v>3900</v>
      </c>
      <c r="Y333" s="5">
        <v>-0.48</v>
      </c>
      <c r="Z333" s="5">
        <v>-1.98</v>
      </c>
      <c r="AA333" s="2">
        <f t="shared" si="116"/>
        <v>1.5</v>
      </c>
      <c r="AB333" s="3">
        <f t="shared" si="117"/>
        <v>6.6058992415002557E-2</v>
      </c>
    </row>
    <row r="334" spans="1:28" x14ac:dyDescent="0.2">
      <c r="A334" t="s">
        <v>9</v>
      </c>
      <c r="B334">
        <v>1521</v>
      </c>
      <c r="C334">
        <v>158</v>
      </c>
      <c r="D334">
        <v>81</v>
      </c>
      <c r="E334" t="s">
        <v>12</v>
      </c>
      <c r="F334" s="1">
        <v>45154</v>
      </c>
      <c r="G334" t="s">
        <v>8</v>
      </c>
      <c r="H334" s="2">
        <v>16.53</v>
      </c>
      <c r="I334" s="2">
        <v>46.23</v>
      </c>
      <c r="J334" s="2">
        <v>42.88</v>
      </c>
      <c r="K334" s="2">
        <f t="shared" si="118"/>
        <v>319.38</v>
      </c>
      <c r="L334" s="2">
        <v>6.9</v>
      </c>
      <c r="M334" s="2">
        <v>7.0000000000000007E-2</v>
      </c>
      <c r="N334" s="6">
        <f t="shared" si="109"/>
        <v>8.595971185050999</v>
      </c>
      <c r="O334" s="6">
        <f t="shared" si="110"/>
        <v>1.6897992873652279</v>
      </c>
      <c r="P334" s="6">
        <f t="shared" si="111"/>
        <v>97.288799005304071</v>
      </c>
      <c r="Q334" s="6">
        <f t="shared" si="119"/>
        <v>1.2202636291881612</v>
      </c>
      <c r="R334" s="10">
        <f t="shared" si="120"/>
        <v>1.2202636291881613E-3</v>
      </c>
      <c r="S334" s="3">
        <f t="shared" si="112"/>
        <v>2.1964745325386902E-2</v>
      </c>
      <c r="T334" s="4">
        <f t="shared" si="113"/>
        <v>2.1964745325386903E-5</v>
      </c>
      <c r="U334" s="3">
        <f t="shared" si="114"/>
        <v>7.9073083171392847E-2</v>
      </c>
      <c r="V334" s="2">
        <v>0.53</v>
      </c>
      <c r="W334" s="2">
        <v>0.2</v>
      </c>
      <c r="X334" s="2">
        <f t="shared" si="115"/>
        <v>2000</v>
      </c>
      <c r="Y334" s="5">
        <v>-0.52</v>
      </c>
      <c r="Z334" s="5">
        <v>-2.2799999999999998</v>
      </c>
      <c r="AA334" s="2">
        <f t="shared" si="116"/>
        <v>1.7599999999999998</v>
      </c>
      <c r="AB334" s="3">
        <f t="shared" si="117"/>
        <v>4.4927888165564124E-2</v>
      </c>
    </row>
    <row r="335" spans="1:28" x14ac:dyDescent="0.2">
      <c r="A335" t="s">
        <v>10</v>
      </c>
      <c r="B335">
        <v>666</v>
      </c>
      <c r="C335">
        <v>101</v>
      </c>
      <c r="D335">
        <v>1</v>
      </c>
      <c r="E335" t="s">
        <v>12</v>
      </c>
      <c r="F335" s="1">
        <v>45155</v>
      </c>
      <c r="G335" t="s">
        <v>8</v>
      </c>
      <c r="H335" s="2">
        <v>13.76</v>
      </c>
      <c r="I335" s="2">
        <v>46.63</v>
      </c>
      <c r="J335" s="2">
        <v>39.28</v>
      </c>
      <c r="K335" s="2">
        <f t="shared" si="118"/>
        <v>319.77999999999997</v>
      </c>
      <c r="L335" s="2">
        <v>5.67</v>
      </c>
      <c r="M335" s="2">
        <v>0.25</v>
      </c>
      <c r="N335" s="6">
        <f t="shared" si="109"/>
        <v>7.1023945830943118</v>
      </c>
      <c r="O335" s="6">
        <f t="shared" si="110"/>
        <v>1.4356568999506893</v>
      </c>
      <c r="P335" s="6">
        <f t="shared" si="111"/>
        <v>97.293745934952995</v>
      </c>
      <c r="Q335" s="6">
        <f t="shared" si="119"/>
        <v>3.6805926458314135</v>
      </c>
      <c r="R335" s="10">
        <f t="shared" si="120"/>
        <v>3.6805926458314134E-3</v>
      </c>
      <c r="S335" s="3">
        <f t="shared" si="112"/>
        <v>6.625066762496544E-2</v>
      </c>
      <c r="T335" s="4">
        <f t="shared" si="113"/>
        <v>6.6250667624965441E-5</v>
      </c>
      <c r="U335" s="3">
        <f t="shared" si="114"/>
        <v>0.23850240344987558</v>
      </c>
      <c r="V335" s="2">
        <v>5.47</v>
      </c>
      <c r="W335" s="2">
        <v>1.21</v>
      </c>
      <c r="X335" s="2">
        <f t="shared" si="115"/>
        <v>12100</v>
      </c>
      <c r="Y335" s="5">
        <v>-0.39</v>
      </c>
      <c r="Z335" s="5">
        <v>-2.2400000000000002</v>
      </c>
      <c r="AA335" s="2">
        <f t="shared" si="116"/>
        <v>1.85</v>
      </c>
      <c r="AB335" s="3">
        <f t="shared" si="117"/>
        <v>0.12892021808101381</v>
      </c>
    </row>
    <row r="336" spans="1:28" x14ac:dyDescent="0.2">
      <c r="A336" t="s">
        <v>10</v>
      </c>
      <c r="B336">
        <v>666</v>
      </c>
      <c r="C336">
        <v>101</v>
      </c>
      <c r="D336">
        <v>2</v>
      </c>
      <c r="E336" t="s">
        <v>12</v>
      </c>
      <c r="F336" s="1">
        <v>45155</v>
      </c>
      <c r="G336" t="s">
        <v>8</v>
      </c>
      <c r="H336" s="2">
        <v>14</v>
      </c>
      <c r="I336" s="2">
        <v>47.32</v>
      </c>
      <c r="J336" s="2">
        <v>40.25</v>
      </c>
      <c r="K336" s="2">
        <f t="shared" si="118"/>
        <v>320.46999999999997</v>
      </c>
      <c r="L336" s="2">
        <v>5.97</v>
      </c>
      <c r="M336" s="2">
        <v>0.15</v>
      </c>
      <c r="N336" s="6">
        <f t="shared" si="109"/>
        <v>7.4807985673479731</v>
      </c>
      <c r="O336" s="6">
        <f t="shared" si="110"/>
        <v>1.5128751665529265</v>
      </c>
      <c r="P336" s="6">
        <f t="shared" si="111"/>
        <v>97.302250952078069</v>
      </c>
      <c r="Q336" s="6">
        <f t="shared" si="119"/>
        <v>2.3290292144814573</v>
      </c>
      <c r="R336" s="10">
        <f t="shared" si="120"/>
        <v>2.3290292144814572E-3</v>
      </c>
      <c r="S336" s="3">
        <f t="shared" si="112"/>
        <v>4.1922525860666228E-2</v>
      </c>
      <c r="T336" s="4">
        <f t="shared" si="113"/>
        <v>4.1922525860666226E-5</v>
      </c>
      <c r="U336" s="3">
        <f t="shared" si="114"/>
        <v>0.15092109309839841</v>
      </c>
      <c r="V336" s="2">
        <v>6.42</v>
      </c>
      <c r="W336" s="2">
        <v>1.41</v>
      </c>
      <c r="X336" s="2">
        <f t="shared" si="115"/>
        <v>14100</v>
      </c>
      <c r="Y336" s="5">
        <v>-0.99</v>
      </c>
      <c r="Z336" s="5">
        <v>-1.8</v>
      </c>
      <c r="AA336" s="2">
        <f t="shared" si="116"/>
        <v>0.81</v>
      </c>
      <c r="AB336" s="3">
        <f t="shared" si="117"/>
        <v>0.18632233715851654</v>
      </c>
    </row>
    <row r="337" spans="1:28" x14ac:dyDescent="0.2">
      <c r="A337" t="s">
        <v>10</v>
      </c>
      <c r="B337">
        <v>666</v>
      </c>
      <c r="C337">
        <v>101</v>
      </c>
      <c r="D337">
        <v>3</v>
      </c>
      <c r="E337" t="s">
        <v>12</v>
      </c>
      <c r="F337" s="1">
        <v>45155</v>
      </c>
      <c r="G337" t="s">
        <v>8</v>
      </c>
      <c r="H337" s="2">
        <v>14.08</v>
      </c>
      <c r="I337" s="2">
        <v>46.75</v>
      </c>
      <c r="J337" s="2">
        <v>40.950000000000003</v>
      </c>
      <c r="K337" s="2">
        <f t="shared" si="118"/>
        <v>319.89999999999998</v>
      </c>
      <c r="L337" s="2">
        <v>6.3</v>
      </c>
      <c r="M337" s="2">
        <v>0.17</v>
      </c>
      <c r="N337" s="6">
        <f t="shared" si="109"/>
        <v>7.764613738155326</v>
      </c>
      <c r="O337" s="6">
        <f t="shared" si="110"/>
        <v>1.4780565900439866</v>
      </c>
      <c r="P337" s="6">
        <f t="shared" si="111"/>
        <v>97.295227650417388</v>
      </c>
      <c r="Q337" s="6">
        <f t="shared" si="119"/>
        <v>2.5590601049931081</v>
      </c>
      <c r="R337" s="10">
        <f t="shared" si="120"/>
        <v>2.5590601049931081E-3</v>
      </c>
      <c r="S337" s="3">
        <f t="shared" si="112"/>
        <v>4.6063081889875943E-2</v>
      </c>
      <c r="T337" s="4">
        <f t="shared" si="113"/>
        <v>4.6063081889875946E-5</v>
      </c>
      <c r="U337" s="3">
        <f t="shared" si="114"/>
        <v>0.1658270948035534</v>
      </c>
      <c r="V337" s="2">
        <v>5.07</v>
      </c>
      <c r="W337" s="2">
        <v>1.03</v>
      </c>
      <c r="X337" s="2">
        <f t="shared" si="115"/>
        <v>10300</v>
      </c>
      <c r="Y337" s="5">
        <v>-0.73</v>
      </c>
      <c r="Z337" s="5">
        <v>-2.48</v>
      </c>
      <c r="AA337" s="2">
        <f t="shared" si="116"/>
        <v>1.75</v>
      </c>
      <c r="AB337" s="3">
        <f t="shared" si="117"/>
        <v>9.4758339887744805E-2</v>
      </c>
    </row>
    <row r="338" spans="1:28" x14ac:dyDescent="0.2">
      <c r="A338" t="s">
        <v>10</v>
      </c>
      <c r="B338">
        <v>666</v>
      </c>
      <c r="C338">
        <v>105</v>
      </c>
      <c r="D338">
        <v>7</v>
      </c>
      <c r="E338" t="s">
        <v>12</v>
      </c>
      <c r="F338" s="1">
        <v>45155</v>
      </c>
      <c r="G338" t="s">
        <v>8</v>
      </c>
      <c r="H338" s="2">
        <v>14.6</v>
      </c>
      <c r="I338" s="2">
        <v>46.68</v>
      </c>
      <c r="J338" s="2">
        <v>40.89</v>
      </c>
      <c r="K338" s="2">
        <f t="shared" si="118"/>
        <v>319.83</v>
      </c>
      <c r="L338" s="2">
        <v>6.22</v>
      </c>
      <c r="M338" s="2">
        <v>0.14000000000000001</v>
      </c>
      <c r="N338" s="6">
        <f t="shared" si="109"/>
        <v>7.7399265796628489</v>
      </c>
      <c r="O338" s="6">
        <f t="shared" si="110"/>
        <v>1.5271865652210801</v>
      </c>
      <c r="P338" s="6">
        <f t="shared" si="111"/>
        <v>97.294363448777986</v>
      </c>
      <c r="Q338" s="6">
        <f t="shared" si="119"/>
        <v>2.1870714151372712</v>
      </c>
      <c r="R338" s="10">
        <f t="shared" si="120"/>
        <v>2.1870714151372714E-3</v>
      </c>
      <c r="S338" s="3">
        <f t="shared" si="112"/>
        <v>3.9367285472470884E-2</v>
      </c>
      <c r="T338" s="4">
        <f t="shared" si="113"/>
        <v>3.9367285472470882E-5</v>
      </c>
      <c r="U338" s="3">
        <f t="shared" si="114"/>
        <v>0.14172222770089518</v>
      </c>
      <c r="V338" s="2">
        <v>3.34</v>
      </c>
      <c r="W338" s="2">
        <v>0.91</v>
      </c>
      <c r="X338" s="2">
        <f t="shared" si="115"/>
        <v>9100</v>
      </c>
      <c r="Y338" s="5">
        <v>-0.59</v>
      </c>
      <c r="Z338" s="5">
        <v>-1.85</v>
      </c>
      <c r="AA338" s="2">
        <f t="shared" si="116"/>
        <v>1.2600000000000002</v>
      </c>
      <c r="AB338" s="3">
        <f t="shared" si="117"/>
        <v>0.11247795849277394</v>
      </c>
    </row>
    <row r="339" spans="1:28" x14ac:dyDescent="0.2">
      <c r="A339" t="s">
        <v>10</v>
      </c>
      <c r="B339">
        <v>666</v>
      </c>
      <c r="C339">
        <v>105</v>
      </c>
      <c r="D339">
        <v>8</v>
      </c>
      <c r="E339" t="s">
        <v>12</v>
      </c>
      <c r="F339" s="1">
        <v>45155</v>
      </c>
      <c r="G339" t="s">
        <v>8</v>
      </c>
      <c r="H339" s="2">
        <v>14.35</v>
      </c>
      <c r="I339" s="2">
        <v>46.75</v>
      </c>
      <c r="J339" s="2">
        <v>42.36</v>
      </c>
      <c r="K339" s="2">
        <f t="shared" si="118"/>
        <v>319.89999999999998</v>
      </c>
      <c r="L339" s="2">
        <v>6.86</v>
      </c>
      <c r="M339" s="2">
        <v>0.14000000000000001</v>
      </c>
      <c r="N339" s="6">
        <f t="shared" si="109"/>
        <v>8.3647330201837651</v>
      </c>
      <c r="O339" s="6">
        <f t="shared" si="110"/>
        <v>1.5064000047678412</v>
      </c>
      <c r="P339" s="6">
        <f t="shared" si="111"/>
        <v>97.295227650417388</v>
      </c>
      <c r="Q339" s="6">
        <f t="shared" si="119"/>
        <v>2.1651896800389814</v>
      </c>
      <c r="R339" s="10">
        <f t="shared" si="120"/>
        <v>2.1651896800389814E-3</v>
      </c>
      <c r="S339" s="3">
        <f t="shared" si="112"/>
        <v>3.8973414240701665E-2</v>
      </c>
      <c r="T339" s="4">
        <f t="shared" si="113"/>
        <v>3.8973414240701665E-5</v>
      </c>
      <c r="U339" s="3">
        <f t="shared" si="114"/>
        <v>0.14030429126652599</v>
      </c>
      <c r="V339" s="2">
        <v>2.64</v>
      </c>
      <c r="W339" s="2">
        <v>0.69</v>
      </c>
      <c r="X339" s="2">
        <f t="shared" si="115"/>
        <v>6899.9999999999991</v>
      </c>
      <c r="Y339" s="5">
        <v>-0.52</v>
      </c>
      <c r="Z339" s="5">
        <v>-1.77</v>
      </c>
      <c r="AA339" s="2">
        <f t="shared" si="116"/>
        <v>1.25</v>
      </c>
      <c r="AB339" s="3">
        <f t="shared" si="117"/>
        <v>0.11224343301322079</v>
      </c>
    </row>
    <row r="340" spans="1:28" x14ac:dyDescent="0.2">
      <c r="A340" t="s">
        <v>10</v>
      </c>
      <c r="B340">
        <v>666</v>
      </c>
      <c r="C340">
        <v>105</v>
      </c>
      <c r="D340">
        <v>9</v>
      </c>
      <c r="E340" t="s">
        <v>12</v>
      </c>
      <c r="F340" s="1">
        <v>45154</v>
      </c>
      <c r="G340" t="s">
        <v>8</v>
      </c>
      <c r="H340" s="2">
        <v>17.420000000000002</v>
      </c>
      <c r="I340" s="2">
        <v>45.92</v>
      </c>
      <c r="J340" s="2">
        <v>40.96</v>
      </c>
      <c r="K340" s="2">
        <f t="shared" si="118"/>
        <v>319.07</v>
      </c>
      <c r="L340" s="2">
        <v>6.02</v>
      </c>
      <c r="M340" s="2">
        <v>0.17</v>
      </c>
      <c r="N340" s="6">
        <f t="shared" si="109"/>
        <v>7.7687348894906805</v>
      </c>
      <c r="O340" s="6">
        <f t="shared" si="110"/>
        <v>1.7527468230122272</v>
      </c>
      <c r="P340" s="6">
        <f t="shared" si="111"/>
        <v>97.284956777190516</v>
      </c>
      <c r="Q340" s="6">
        <f t="shared" si="119"/>
        <v>3.0558160383858786</v>
      </c>
      <c r="R340" s="10">
        <f t="shared" si="120"/>
        <v>3.0558160383858785E-3</v>
      </c>
      <c r="S340" s="3">
        <f t="shared" si="112"/>
        <v>5.500468869094581E-2</v>
      </c>
      <c r="T340" s="4">
        <f t="shared" si="113"/>
        <v>5.5004688690945808E-5</v>
      </c>
      <c r="U340" s="3">
        <f t="shared" si="114"/>
        <v>0.19801687928740491</v>
      </c>
      <c r="V340" s="2">
        <v>5.01</v>
      </c>
      <c r="W340" s="2">
        <v>1.0900000000000001</v>
      </c>
      <c r="X340" s="2">
        <f t="shared" si="115"/>
        <v>10900</v>
      </c>
      <c r="Y340" s="5">
        <v>-0.51</v>
      </c>
      <c r="Z340" s="5">
        <v>-1.81</v>
      </c>
      <c r="AA340" s="2">
        <f t="shared" si="116"/>
        <v>1.3</v>
      </c>
      <c r="AB340" s="3">
        <f t="shared" si="117"/>
        <v>0.15232067637492686</v>
      </c>
    </row>
    <row r="341" spans="1:28" x14ac:dyDescent="0.2">
      <c r="A341" t="s">
        <v>10</v>
      </c>
      <c r="B341">
        <v>666</v>
      </c>
      <c r="C341">
        <v>118</v>
      </c>
      <c r="D341">
        <v>10</v>
      </c>
      <c r="E341" t="s">
        <v>12</v>
      </c>
      <c r="F341" s="1">
        <v>45154</v>
      </c>
      <c r="G341" t="s">
        <v>8</v>
      </c>
      <c r="H341" s="2">
        <v>16.98</v>
      </c>
      <c r="I341" s="2">
        <v>46.28</v>
      </c>
      <c r="J341" s="2">
        <v>41.31</v>
      </c>
      <c r="K341" s="2">
        <f t="shared" si="118"/>
        <v>319.42999999999995</v>
      </c>
      <c r="L341" s="2">
        <v>6.18</v>
      </c>
      <c r="M341" s="2">
        <v>0.14000000000000001</v>
      </c>
      <c r="N341" s="6">
        <f t="shared" ref="N341:N364" si="121">0.611*EXP((17.502*J341)/(240.97+J341))</f>
        <v>7.9141740895106931</v>
      </c>
      <c r="O341" s="6">
        <f t="shared" ref="O341:O364" si="122">(0.611*EXP((17.502*I341)/(240.97+I341)))*(H341/100)</f>
        <v>1.740243622467379</v>
      </c>
      <c r="P341" s="6">
        <f t="shared" ref="P341:P364" si="123">101.325*EXP(-380/(29.27*K341))</f>
        <v>97.289418035286474</v>
      </c>
      <c r="Q341" s="6">
        <f t="shared" si="119"/>
        <v>2.4954859164995744</v>
      </c>
      <c r="R341" s="10">
        <f t="shared" si="120"/>
        <v>2.4954859164995746E-3</v>
      </c>
      <c r="S341" s="3">
        <f t="shared" ref="S341:S364" si="124">R341*18</f>
        <v>4.4918746496992346E-2</v>
      </c>
      <c r="T341" s="4">
        <f t="shared" ref="T341:T364" si="125">S341/1000</f>
        <v>4.4918746496992347E-5</v>
      </c>
      <c r="U341" s="3">
        <f t="shared" ref="U341:U364" si="126">T341*3600</f>
        <v>0.16170748738917246</v>
      </c>
      <c r="V341" s="2">
        <v>3.56</v>
      </c>
      <c r="W341" s="6">
        <v>1</v>
      </c>
      <c r="X341" s="2">
        <f t="shared" ref="X341:X364" si="127">W341*10000</f>
        <v>10000</v>
      </c>
      <c r="Y341" s="5">
        <v>-0.42</v>
      </c>
      <c r="Z341" s="5">
        <v>-1.82</v>
      </c>
      <c r="AA341" s="2">
        <f t="shared" ref="AA341:AA364" si="128">Y341-Z341</f>
        <v>1.4000000000000001</v>
      </c>
      <c r="AB341" s="3">
        <f t="shared" ref="AB341:AB364" si="129">U341/AA341</f>
        <v>0.11550534813512317</v>
      </c>
    </row>
    <row r="342" spans="1:28" x14ac:dyDescent="0.2">
      <c r="A342" t="s">
        <v>10</v>
      </c>
      <c r="B342">
        <v>666</v>
      </c>
      <c r="C342">
        <v>118</v>
      </c>
      <c r="D342">
        <v>11</v>
      </c>
      <c r="E342" t="s">
        <v>12</v>
      </c>
      <c r="F342" s="1">
        <v>45154</v>
      </c>
      <c r="G342" t="s">
        <v>8</v>
      </c>
      <c r="H342" s="2">
        <v>17.7</v>
      </c>
      <c r="I342" s="2">
        <v>45.34</v>
      </c>
      <c r="J342" s="2">
        <v>41.26</v>
      </c>
      <c r="K342" s="2">
        <f t="shared" si="118"/>
        <v>318.49</v>
      </c>
      <c r="L342" s="2">
        <v>6.16</v>
      </c>
      <c r="M342" s="2">
        <v>0.13</v>
      </c>
      <c r="N342" s="6">
        <f t="shared" si="121"/>
        <v>7.8932537688870914</v>
      </c>
      <c r="O342" s="6">
        <f t="shared" si="122"/>
        <v>1.7286654584125327</v>
      </c>
      <c r="P342" s="6">
        <f t="shared" si="123"/>
        <v>97.277748413427702</v>
      </c>
      <c r="Q342" s="6">
        <f t="shared" si="119"/>
        <v>2.3162850048472081</v>
      </c>
      <c r="R342" s="10">
        <f t="shared" si="120"/>
        <v>2.3162850048472081E-3</v>
      </c>
      <c r="S342" s="3">
        <f t="shared" si="124"/>
        <v>4.1693130087249744E-2</v>
      </c>
      <c r="T342" s="4">
        <f t="shared" si="125"/>
        <v>4.1693130087249744E-5</v>
      </c>
      <c r="U342" s="3">
        <f t="shared" si="126"/>
        <v>0.15009526831409908</v>
      </c>
      <c r="V342" s="2">
        <v>3.32</v>
      </c>
      <c r="W342" s="2">
        <v>0.91</v>
      </c>
      <c r="X342" s="2">
        <f t="shared" si="127"/>
        <v>9100</v>
      </c>
      <c r="Y342" s="5">
        <v>-0.39</v>
      </c>
      <c r="Z342" s="5">
        <v>-1.94</v>
      </c>
      <c r="AA342" s="2">
        <f t="shared" si="128"/>
        <v>1.5499999999999998</v>
      </c>
      <c r="AB342" s="3">
        <f t="shared" si="129"/>
        <v>9.683565697683813E-2</v>
      </c>
    </row>
    <row r="343" spans="1:28" x14ac:dyDescent="0.2">
      <c r="A343" t="s">
        <v>10</v>
      </c>
      <c r="B343">
        <v>666</v>
      </c>
      <c r="C343">
        <v>118</v>
      </c>
      <c r="D343">
        <v>12</v>
      </c>
      <c r="E343" t="s">
        <v>12</v>
      </c>
      <c r="F343" s="1">
        <v>45155</v>
      </c>
      <c r="G343" t="s">
        <v>8</v>
      </c>
      <c r="H343" s="2">
        <v>15.4</v>
      </c>
      <c r="I343" s="2">
        <v>46.71</v>
      </c>
      <c r="J343" s="2">
        <v>42.36</v>
      </c>
      <c r="K343" s="2">
        <f t="shared" si="118"/>
        <v>319.85999999999996</v>
      </c>
      <c r="L343" s="2">
        <v>6.75</v>
      </c>
      <c r="M343" s="2">
        <v>0.08</v>
      </c>
      <c r="N343" s="6">
        <f t="shared" si="121"/>
        <v>8.3647330201837651</v>
      </c>
      <c r="O343" s="6">
        <f t="shared" si="122"/>
        <v>1.6133328673383209</v>
      </c>
      <c r="P343" s="6">
        <f t="shared" si="123"/>
        <v>97.294733866285981</v>
      </c>
      <c r="Q343" s="6">
        <f t="shared" si="119"/>
        <v>1.3277043523469001</v>
      </c>
      <c r="R343" s="10">
        <f t="shared" si="120"/>
        <v>1.3277043523469E-3</v>
      </c>
      <c r="S343" s="3">
        <f t="shared" si="124"/>
        <v>2.3898678342244201E-2</v>
      </c>
      <c r="T343" s="4">
        <f t="shared" si="125"/>
        <v>2.3898678342244203E-5</v>
      </c>
      <c r="U343" s="3">
        <f t="shared" si="126"/>
        <v>8.6035242032079129E-2</v>
      </c>
      <c r="V343" s="2">
        <v>1.61</v>
      </c>
      <c r="W343" s="2">
        <v>0.5</v>
      </c>
      <c r="X343" s="2">
        <f t="shared" si="127"/>
        <v>5000</v>
      </c>
      <c r="Y343" s="5">
        <v>-0.35</v>
      </c>
      <c r="Z343" s="5">
        <v>-1.97</v>
      </c>
      <c r="AA343" s="2">
        <f t="shared" si="128"/>
        <v>1.62</v>
      </c>
      <c r="AB343" s="3">
        <f t="shared" si="129"/>
        <v>5.3108174093876005E-2</v>
      </c>
    </row>
    <row r="344" spans="1:28" x14ac:dyDescent="0.2">
      <c r="A344" t="s">
        <v>10</v>
      </c>
      <c r="B344">
        <v>666</v>
      </c>
      <c r="C344">
        <v>122</v>
      </c>
      <c r="D344">
        <v>16</v>
      </c>
      <c r="E344" t="s">
        <v>12</v>
      </c>
      <c r="F344" s="1">
        <v>45154</v>
      </c>
      <c r="G344" t="s">
        <v>8</v>
      </c>
      <c r="H344" s="2">
        <v>16.350000000000001</v>
      </c>
      <c r="I344" s="2">
        <v>46.28</v>
      </c>
      <c r="J344" s="2">
        <v>40.94</v>
      </c>
      <c r="K344" s="2">
        <f t="shared" si="118"/>
        <v>319.42999999999995</v>
      </c>
      <c r="L344" s="2">
        <v>6.08</v>
      </c>
      <c r="M344" s="2">
        <v>0.14000000000000001</v>
      </c>
      <c r="N344" s="6">
        <f t="shared" si="121"/>
        <v>7.7604944808636107</v>
      </c>
      <c r="O344" s="6">
        <f t="shared" si="122"/>
        <v>1.6756762795843136</v>
      </c>
      <c r="P344" s="6">
        <f t="shared" si="123"/>
        <v>97.289418035286474</v>
      </c>
      <c r="Q344" s="6">
        <f t="shared" si="119"/>
        <v>2.4182406686364839</v>
      </c>
      <c r="R344" s="10">
        <f t="shared" si="120"/>
        <v>2.4182406686364837E-3</v>
      </c>
      <c r="S344" s="3">
        <f t="shared" si="124"/>
        <v>4.352833203545671E-2</v>
      </c>
      <c r="T344" s="4">
        <f t="shared" si="125"/>
        <v>4.3528332035456713E-5</v>
      </c>
      <c r="U344" s="3">
        <f t="shared" si="126"/>
        <v>0.15670199532764417</v>
      </c>
      <c r="V344" s="2">
        <v>7.05</v>
      </c>
      <c r="W344" s="2">
        <v>2.21</v>
      </c>
      <c r="X344" s="2">
        <f t="shared" si="127"/>
        <v>22100</v>
      </c>
      <c r="Y344" s="5">
        <v>-0.42</v>
      </c>
      <c r="Z344" s="5">
        <v>-1.35</v>
      </c>
      <c r="AA344" s="2">
        <f t="shared" si="128"/>
        <v>0.93000000000000016</v>
      </c>
      <c r="AB344" s="3">
        <f t="shared" si="129"/>
        <v>0.16849676916950984</v>
      </c>
    </row>
    <row r="345" spans="1:28" x14ac:dyDescent="0.2">
      <c r="A345" t="s">
        <v>10</v>
      </c>
      <c r="B345">
        <v>666</v>
      </c>
      <c r="C345">
        <v>122</v>
      </c>
      <c r="D345">
        <v>17</v>
      </c>
      <c r="E345" t="s">
        <v>12</v>
      </c>
      <c r="F345" s="1">
        <v>45154</v>
      </c>
      <c r="G345" t="s">
        <v>8</v>
      </c>
      <c r="H345" s="2">
        <v>16.260000000000002</v>
      </c>
      <c r="I345" s="2">
        <v>46.16</v>
      </c>
      <c r="J345" s="2">
        <v>42.47</v>
      </c>
      <c r="K345" s="2">
        <f t="shared" si="118"/>
        <v>319.30999999999995</v>
      </c>
      <c r="L345" s="2">
        <v>6.76</v>
      </c>
      <c r="M345" s="2">
        <v>0.09</v>
      </c>
      <c r="N345" s="6">
        <f t="shared" si="121"/>
        <v>8.4131945089858657</v>
      </c>
      <c r="O345" s="6">
        <f t="shared" si="122"/>
        <v>1.6562581431112215</v>
      </c>
      <c r="P345" s="6">
        <f t="shared" si="123"/>
        <v>97.287932044256706</v>
      </c>
      <c r="Q345" s="6">
        <f t="shared" si="119"/>
        <v>1.5293521270556336</v>
      </c>
      <c r="R345" s="10">
        <f t="shared" si="120"/>
        <v>1.5293521270556337E-3</v>
      </c>
      <c r="S345" s="3">
        <f t="shared" si="124"/>
        <v>2.7528338287001408E-2</v>
      </c>
      <c r="T345" s="4">
        <f t="shared" si="125"/>
        <v>2.7528338287001409E-5</v>
      </c>
      <c r="U345" s="3">
        <f t="shared" si="126"/>
        <v>9.9102017833205075E-2</v>
      </c>
      <c r="V345" s="2">
        <v>4.82</v>
      </c>
      <c r="W345" s="2">
        <v>1.19</v>
      </c>
      <c r="X345" s="2">
        <f t="shared" si="127"/>
        <v>11900</v>
      </c>
      <c r="Y345" s="5">
        <v>-0.66</v>
      </c>
      <c r="Z345" s="5">
        <v>-1.39</v>
      </c>
      <c r="AA345" s="2">
        <f t="shared" si="128"/>
        <v>0.72999999999999987</v>
      </c>
      <c r="AB345" s="3">
        <f t="shared" si="129"/>
        <v>0.13575618881260973</v>
      </c>
    </row>
    <row r="346" spans="1:28" x14ac:dyDescent="0.2">
      <c r="A346" t="s">
        <v>10</v>
      </c>
      <c r="B346">
        <v>666</v>
      </c>
      <c r="C346">
        <v>122</v>
      </c>
      <c r="D346">
        <v>18</v>
      </c>
      <c r="E346" t="s">
        <v>12</v>
      </c>
      <c r="F346" s="1">
        <v>45155</v>
      </c>
      <c r="G346" t="s">
        <v>8</v>
      </c>
      <c r="H346" s="2">
        <v>14.05</v>
      </c>
      <c r="I346" s="2">
        <v>47.36</v>
      </c>
      <c r="J346" s="2">
        <v>43.01</v>
      </c>
      <c r="K346" s="2">
        <f t="shared" si="118"/>
        <v>320.51</v>
      </c>
      <c r="L346" s="2">
        <v>7.13</v>
      </c>
      <c r="M346" s="2">
        <v>7.0000000000000007E-2</v>
      </c>
      <c r="N346" s="6">
        <f t="shared" si="121"/>
        <v>8.6546376762579627</v>
      </c>
      <c r="O346" s="6">
        <f t="shared" si="122"/>
        <v>1.5213627823716731</v>
      </c>
      <c r="P346" s="6">
        <f t="shared" si="123"/>
        <v>97.302742896324958</v>
      </c>
      <c r="Q346" s="6">
        <f t="shared" si="119"/>
        <v>1.096830717832604</v>
      </c>
      <c r="R346" s="10">
        <f t="shared" si="120"/>
        <v>1.0968307178326039E-3</v>
      </c>
      <c r="S346" s="3">
        <f t="shared" si="124"/>
        <v>1.9742952920986871E-2</v>
      </c>
      <c r="T346" s="4">
        <f t="shared" si="125"/>
        <v>1.9742952920986871E-5</v>
      </c>
      <c r="U346" s="3">
        <f t="shared" si="126"/>
        <v>7.1074630515552739E-2</v>
      </c>
      <c r="V346" s="2">
        <v>7.37</v>
      </c>
      <c r="W346" s="2">
        <v>1.96</v>
      </c>
      <c r="X346" s="2">
        <f t="shared" si="127"/>
        <v>19600</v>
      </c>
      <c r="Y346" s="5">
        <v>-0.75</v>
      </c>
      <c r="Z346" s="5">
        <v>-1.96</v>
      </c>
      <c r="AA346" s="2">
        <f t="shared" si="128"/>
        <v>1.21</v>
      </c>
      <c r="AB346" s="3">
        <f t="shared" si="129"/>
        <v>5.8739364062440284E-2</v>
      </c>
    </row>
    <row r="347" spans="1:28" x14ac:dyDescent="0.2">
      <c r="A347" t="s">
        <v>10</v>
      </c>
      <c r="B347">
        <v>666</v>
      </c>
      <c r="C347">
        <v>123</v>
      </c>
      <c r="D347">
        <v>19</v>
      </c>
      <c r="E347" t="s">
        <v>12</v>
      </c>
      <c r="F347" s="1">
        <v>45155</v>
      </c>
      <c r="G347" t="s">
        <v>8</v>
      </c>
      <c r="H347" s="2">
        <v>17.63</v>
      </c>
      <c r="I347" s="2">
        <v>44.8</v>
      </c>
      <c r="J347" s="2">
        <v>39.229999999999997</v>
      </c>
      <c r="K347" s="2">
        <f t="shared" si="118"/>
        <v>317.95</v>
      </c>
      <c r="L347" s="2">
        <v>5.41</v>
      </c>
      <c r="M347" s="2">
        <v>0.28000000000000003</v>
      </c>
      <c r="N347" s="6">
        <f t="shared" si="121"/>
        <v>7.083347489677263</v>
      </c>
      <c r="O347" s="6">
        <f t="shared" si="122"/>
        <v>1.6745626953565622</v>
      </c>
      <c r="P347" s="6">
        <f t="shared" si="123"/>
        <v>97.271014020062708</v>
      </c>
      <c r="Q347" s="6">
        <f t="shared" si="119"/>
        <v>4.8168234065391271</v>
      </c>
      <c r="R347" s="10">
        <f t="shared" si="120"/>
        <v>4.8168234065391275E-3</v>
      </c>
      <c r="S347" s="3">
        <f t="shared" si="124"/>
        <v>8.6702821317704293E-2</v>
      </c>
      <c r="T347" s="4">
        <f t="shared" si="125"/>
        <v>8.6702821317704288E-5</v>
      </c>
      <c r="U347" s="3">
        <f t="shared" si="126"/>
        <v>0.31213015674373545</v>
      </c>
      <c r="V347" s="2">
        <v>6.06</v>
      </c>
      <c r="W347" s="2">
        <v>1.55</v>
      </c>
      <c r="X347" s="2">
        <f t="shared" si="127"/>
        <v>15500</v>
      </c>
      <c r="Y347" s="5">
        <v>-0.55000000000000004</v>
      </c>
      <c r="Z347" s="5">
        <v>-1.89</v>
      </c>
      <c r="AA347" s="2">
        <f t="shared" si="128"/>
        <v>1.3399999999999999</v>
      </c>
      <c r="AB347" s="3">
        <f t="shared" si="129"/>
        <v>0.23293295279383244</v>
      </c>
    </row>
    <row r="348" spans="1:28" x14ac:dyDescent="0.2">
      <c r="A348" t="s">
        <v>10</v>
      </c>
      <c r="B348">
        <v>666</v>
      </c>
      <c r="C348">
        <v>123</v>
      </c>
      <c r="D348">
        <v>20</v>
      </c>
      <c r="E348" t="s">
        <v>12</v>
      </c>
      <c r="F348" s="1">
        <v>45155</v>
      </c>
      <c r="G348" t="s">
        <v>8</v>
      </c>
      <c r="H348" s="2">
        <v>16.760000000000002</v>
      </c>
      <c r="I348" s="2">
        <v>45.39</v>
      </c>
      <c r="J348" s="2">
        <v>38.61</v>
      </c>
      <c r="K348" s="2">
        <f t="shared" si="118"/>
        <v>318.53999999999996</v>
      </c>
      <c r="L348" s="2">
        <v>5.21</v>
      </c>
      <c r="M348" s="2">
        <v>0.25</v>
      </c>
      <c r="N348" s="6">
        <f t="shared" si="121"/>
        <v>6.8508176176459159</v>
      </c>
      <c r="O348" s="6">
        <f t="shared" si="122"/>
        <v>1.6410760584330559</v>
      </c>
      <c r="P348" s="6">
        <f t="shared" si="123"/>
        <v>97.278370836956185</v>
      </c>
      <c r="Q348" s="6">
        <f t="shared" si="119"/>
        <v>4.2168099741205962</v>
      </c>
      <c r="R348" s="10">
        <f t="shared" si="120"/>
        <v>4.216809974120596E-3</v>
      </c>
      <c r="S348" s="3">
        <f t="shared" si="124"/>
        <v>7.5902579534170733E-2</v>
      </c>
      <c r="T348" s="4">
        <f t="shared" si="125"/>
        <v>7.5902579534170727E-5</v>
      </c>
      <c r="U348" s="3">
        <f t="shared" si="126"/>
        <v>0.2732492863230146</v>
      </c>
      <c r="V348" s="2">
        <v>5.82</v>
      </c>
      <c r="W348" s="2">
        <v>2.02</v>
      </c>
      <c r="X348" s="2">
        <f t="shared" si="127"/>
        <v>20200</v>
      </c>
      <c r="Y348" s="5">
        <v>-1.38</v>
      </c>
      <c r="Z348" s="5">
        <v>-2.11</v>
      </c>
      <c r="AA348" s="2">
        <f t="shared" si="128"/>
        <v>0.73</v>
      </c>
      <c r="AB348" s="3">
        <f t="shared" si="129"/>
        <v>0.37431409085344464</v>
      </c>
    </row>
    <row r="349" spans="1:28" x14ac:dyDescent="0.2">
      <c r="A349" t="s">
        <v>10</v>
      </c>
      <c r="B349">
        <v>666</v>
      </c>
      <c r="C349">
        <v>123</v>
      </c>
      <c r="D349">
        <v>22</v>
      </c>
      <c r="E349" t="s">
        <v>12</v>
      </c>
      <c r="F349" s="1">
        <v>45155</v>
      </c>
      <c r="G349" t="s">
        <v>8</v>
      </c>
      <c r="H349" s="2">
        <v>14.23</v>
      </c>
      <c r="I349" s="2">
        <v>46.87</v>
      </c>
      <c r="J349" s="2">
        <v>40.840000000000003</v>
      </c>
      <c r="K349" s="2">
        <f t="shared" si="118"/>
        <v>320.02</v>
      </c>
      <c r="L349" s="2">
        <v>6.22</v>
      </c>
      <c r="M349" s="2">
        <v>0.19</v>
      </c>
      <c r="N349" s="6">
        <f t="shared" si="121"/>
        <v>7.7194059207689296</v>
      </c>
      <c r="O349" s="6">
        <f t="shared" si="122"/>
        <v>1.5029594773291441</v>
      </c>
      <c r="P349" s="6">
        <f t="shared" si="123"/>
        <v>97.296708277204758</v>
      </c>
      <c r="Q349" s="6">
        <f t="shared" si="119"/>
        <v>2.9280242876710116</v>
      </c>
      <c r="R349" s="10">
        <f t="shared" si="120"/>
        <v>2.9280242876710116E-3</v>
      </c>
      <c r="S349" s="3">
        <f t="shared" si="124"/>
        <v>5.2704437178078212E-2</v>
      </c>
      <c r="T349" s="4">
        <f t="shared" si="125"/>
        <v>5.2704437178078212E-5</v>
      </c>
      <c r="U349" s="3">
        <f t="shared" si="126"/>
        <v>0.18973597384108157</v>
      </c>
      <c r="V349" s="2">
        <v>4.78</v>
      </c>
      <c r="W349" s="2">
        <v>1.58</v>
      </c>
      <c r="X349" s="2">
        <f t="shared" si="127"/>
        <v>15800</v>
      </c>
      <c r="Y349" s="5">
        <v>-0.69</v>
      </c>
      <c r="Z349" s="5">
        <v>-2.1</v>
      </c>
      <c r="AA349" s="2">
        <f t="shared" si="128"/>
        <v>1.4100000000000001</v>
      </c>
      <c r="AB349" s="3">
        <f t="shared" si="129"/>
        <v>0.13456452045466777</v>
      </c>
    </row>
    <row r="350" spans="1:28" x14ac:dyDescent="0.2">
      <c r="A350" t="s">
        <v>11</v>
      </c>
      <c r="B350">
        <v>1212</v>
      </c>
      <c r="C350">
        <v>3</v>
      </c>
      <c r="D350">
        <v>29</v>
      </c>
      <c r="E350" t="s">
        <v>12</v>
      </c>
      <c r="F350" s="1">
        <v>45155</v>
      </c>
      <c r="G350" t="s">
        <v>8</v>
      </c>
      <c r="H350" s="2">
        <v>15.65</v>
      </c>
      <c r="I350" s="2">
        <v>46.58</v>
      </c>
      <c r="J350" s="2">
        <v>42.59</v>
      </c>
      <c r="K350" s="2">
        <f t="shared" si="118"/>
        <v>319.72999999999996</v>
      </c>
      <c r="L350" s="2">
        <v>6.84</v>
      </c>
      <c r="M350" s="2">
        <v>0.08</v>
      </c>
      <c r="N350" s="6">
        <f t="shared" si="121"/>
        <v>8.4663385769368311</v>
      </c>
      <c r="O350" s="6">
        <f t="shared" si="122"/>
        <v>1.6286927949524166</v>
      </c>
      <c r="P350" s="6">
        <f t="shared" si="123"/>
        <v>97.293128231913087</v>
      </c>
      <c r="Q350" s="6">
        <f t="shared" si="119"/>
        <v>1.3372690190906014</v>
      </c>
      <c r="R350" s="10">
        <f t="shared" si="120"/>
        <v>1.3372690190906014E-3</v>
      </c>
      <c r="S350" s="3">
        <f t="shared" si="124"/>
        <v>2.4070842343630824E-2</v>
      </c>
      <c r="T350" s="4">
        <f t="shared" si="125"/>
        <v>2.4070842343630823E-5</v>
      </c>
      <c r="U350" s="3">
        <f t="shared" si="126"/>
        <v>8.6655032437070956E-2</v>
      </c>
      <c r="V350" s="2">
        <v>8.68</v>
      </c>
      <c r="W350" s="2">
        <v>2.3199999999999998</v>
      </c>
      <c r="X350" s="2">
        <f t="shared" si="127"/>
        <v>23200</v>
      </c>
      <c r="Y350" s="5">
        <v>-0.56000000000000005</v>
      </c>
      <c r="Z350" s="5">
        <v>-1.69</v>
      </c>
      <c r="AA350" s="2">
        <f t="shared" si="128"/>
        <v>1.1299999999999999</v>
      </c>
      <c r="AB350" s="3">
        <f t="shared" si="129"/>
        <v>7.6685869413337132E-2</v>
      </c>
    </row>
    <row r="351" spans="1:28" x14ac:dyDescent="0.2">
      <c r="A351" t="s">
        <v>11</v>
      </c>
      <c r="B351">
        <v>1212</v>
      </c>
      <c r="C351">
        <v>3</v>
      </c>
      <c r="D351">
        <v>30</v>
      </c>
      <c r="E351" t="s">
        <v>12</v>
      </c>
      <c r="F351" s="1">
        <v>45155</v>
      </c>
      <c r="G351" t="s">
        <v>8</v>
      </c>
      <c r="H351" s="2">
        <v>13.85</v>
      </c>
      <c r="I351" s="2">
        <v>46.56</v>
      </c>
      <c r="J351" s="2">
        <v>42.62</v>
      </c>
      <c r="K351" s="2">
        <f t="shared" si="118"/>
        <v>319.70999999999998</v>
      </c>
      <c r="L351" s="2">
        <v>7.03</v>
      </c>
      <c r="M351" s="2">
        <v>0.08</v>
      </c>
      <c r="N351" s="6">
        <f t="shared" si="121"/>
        <v>8.4796699034613212</v>
      </c>
      <c r="O351" s="6">
        <f t="shared" si="122"/>
        <v>1.4398973772606116</v>
      </c>
      <c r="P351" s="6">
        <f t="shared" si="123"/>
        <v>97.292881097697475</v>
      </c>
      <c r="Q351" s="6">
        <f t="shared" si="119"/>
        <v>1.1920049130876267</v>
      </c>
      <c r="R351" s="10">
        <f t="shared" si="120"/>
        <v>1.1920049130876268E-3</v>
      </c>
      <c r="S351" s="3">
        <f t="shared" si="124"/>
        <v>2.1456088435577281E-2</v>
      </c>
      <c r="T351" s="4">
        <f t="shared" si="125"/>
        <v>2.1456088435577281E-5</v>
      </c>
      <c r="U351" s="3">
        <f t="shared" si="126"/>
        <v>7.7241918368078213E-2</v>
      </c>
      <c r="V351" s="6">
        <v>7</v>
      </c>
      <c r="W351" s="2">
        <v>2.4300000000000002</v>
      </c>
      <c r="X351" s="2">
        <f t="shared" si="127"/>
        <v>24300</v>
      </c>
      <c r="Y351" s="5">
        <v>-0.51</v>
      </c>
      <c r="Z351" s="5">
        <v>-2.15</v>
      </c>
      <c r="AA351" s="2">
        <f t="shared" si="128"/>
        <v>1.64</v>
      </c>
      <c r="AB351" s="3">
        <f t="shared" si="129"/>
        <v>4.7098730712242819E-2</v>
      </c>
    </row>
    <row r="352" spans="1:28" x14ac:dyDescent="0.2">
      <c r="A352" t="s">
        <v>11</v>
      </c>
      <c r="B352">
        <v>1212</v>
      </c>
      <c r="C352">
        <v>3</v>
      </c>
      <c r="D352">
        <v>31</v>
      </c>
      <c r="E352" t="s">
        <v>12</v>
      </c>
      <c r="F352" s="1">
        <v>45154</v>
      </c>
      <c r="G352" t="s">
        <v>8</v>
      </c>
      <c r="H352" s="2">
        <v>17.98</v>
      </c>
      <c r="I352" s="2">
        <v>45.59</v>
      </c>
      <c r="J352" s="2">
        <v>41.35</v>
      </c>
      <c r="K352" s="2">
        <f t="shared" si="118"/>
        <v>318.74</v>
      </c>
      <c r="L352" s="2">
        <v>6.15</v>
      </c>
      <c r="M352" s="2">
        <v>0.1</v>
      </c>
      <c r="N352" s="6">
        <f t="shared" si="121"/>
        <v>7.9309449073448368</v>
      </c>
      <c r="O352" s="6">
        <f t="shared" si="122"/>
        <v>1.7787237948712258</v>
      </c>
      <c r="P352" s="6">
        <f t="shared" si="123"/>
        <v>97.280858618076891</v>
      </c>
      <c r="Q352" s="6">
        <f t="shared" si="119"/>
        <v>1.8307249058489483</v>
      </c>
      <c r="R352" s="10">
        <f t="shared" si="120"/>
        <v>1.8307249058489483E-3</v>
      </c>
      <c r="S352" s="3">
        <f t="shared" si="124"/>
        <v>3.295304830528107E-2</v>
      </c>
      <c r="T352" s="4">
        <f t="shared" si="125"/>
        <v>3.2953048305281068E-5</v>
      </c>
      <c r="U352" s="3">
        <f t="shared" si="126"/>
        <v>0.11863097389901185</v>
      </c>
      <c r="V352" s="2">
        <v>6.14</v>
      </c>
      <c r="W352" s="2">
        <v>1.8</v>
      </c>
      <c r="X352" s="2">
        <f t="shared" si="127"/>
        <v>18000</v>
      </c>
      <c r="Y352" s="5">
        <v>-0.52</v>
      </c>
      <c r="Z352" s="5">
        <v>-1.94</v>
      </c>
      <c r="AA352" s="2">
        <f t="shared" si="128"/>
        <v>1.42</v>
      </c>
      <c r="AB352" s="3">
        <f t="shared" si="129"/>
        <v>8.3542939365501306E-2</v>
      </c>
    </row>
    <row r="353" spans="1:28" x14ac:dyDescent="0.2">
      <c r="A353" t="s">
        <v>11</v>
      </c>
      <c r="B353">
        <v>1212</v>
      </c>
      <c r="C353">
        <v>4</v>
      </c>
      <c r="D353">
        <v>32</v>
      </c>
      <c r="E353" t="s">
        <v>12</v>
      </c>
      <c r="F353" s="1">
        <v>45155</v>
      </c>
      <c r="G353" t="s">
        <v>8</v>
      </c>
      <c r="H353" s="2">
        <v>15.49</v>
      </c>
      <c r="I353" s="2">
        <v>46.67</v>
      </c>
      <c r="J353" s="2">
        <v>43.55</v>
      </c>
      <c r="K353" s="2">
        <f t="shared" si="118"/>
        <v>319.82</v>
      </c>
      <c r="L353" s="2">
        <v>7.28</v>
      </c>
      <c r="M353" s="2">
        <v>7.0000000000000007E-2</v>
      </c>
      <c r="N353" s="6">
        <f t="shared" si="121"/>
        <v>8.9020536804294235</v>
      </c>
      <c r="O353" s="6">
        <f t="shared" si="122"/>
        <v>1.6194564947033336</v>
      </c>
      <c r="P353" s="6">
        <f t="shared" si="123"/>
        <v>97.294239961146005</v>
      </c>
      <c r="Q353" s="6">
        <f t="shared" si="119"/>
        <v>1.1670141796205284</v>
      </c>
      <c r="R353" s="10">
        <f t="shared" si="120"/>
        <v>1.1670141796205284E-3</v>
      </c>
      <c r="S353" s="3">
        <f t="shared" si="124"/>
        <v>2.1006255233169509E-2</v>
      </c>
      <c r="T353" s="4">
        <f t="shared" si="125"/>
        <v>2.1006255233169508E-5</v>
      </c>
      <c r="U353" s="3">
        <f t="shared" si="126"/>
        <v>7.5622518839410222E-2</v>
      </c>
      <c r="V353" s="2">
        <v>6.68</v>
      </c>
      <c r="W353" s="2">
        <v>1.44</v>
      </c>
      <c r="X353" s="2">
        <f t="shared" si="127"/>
        <v>14400</v>
      </c>
      <c r="Y353" s="5">
        <v>-0.49</v>
      </c>
      <c r="Z353" s="5">
        <v>-1.91</v>
      </c>
      <c r="AA353" s="2">
        <f t="shared" si="128"/>
        <v>1.42</v>
      </c>
      <c r="AB353" s="3">
        <f t="shared" si="129"/>
        <v>5.3255294957331147E-2</v>
      </c>
    </row>
    <row r="354" spans="1:28" x14ac:dyDescent="0.2">
      <c r="A354" t="s">
        <v>11</v>
      </c>
      <c r="B354">
        <v>1212</v>
      </c>
      <c r="C354">
        <v>4</v>
      </c>
      <c r="D354">
        <v>33</v>
      </c>
      <c r="E354" t="s">
        <v>12</v>
      </c>
      <c r="F354" s="1">
        <v>45154</v>
      </c>
      <c r="G354" t="s">
        <v>8</v>
      </c>
      <c r="H354" s="2">
        <v>16.850000000000001</v>
      </c>
      <c r="I354" s="2">
        <v>46.13</v>
      </c>
      <c r="J354" s="2">
        <v>41.77</v>
      </c>
      <c r="K354" s="2">
        <f t="shared" si="118"/>
        <v>319.27999999999997</v>
      </c>
      <c r="L354" s="2">
        <v>6.39</v>
      </c>
      <c r="M354" s="2">
        <v>0.13</v>
      </c>
      <c r="N354" s="6">
        <f t="shared" si="121"/>
        <v>8.1089053765454047</v>
      </c>
      <c r="O354" s="6">
        <f t="shared" si="122"/>
        <v>1.71372377739704</v>
      </c>
      <c r="P354" s="6">
        <f t="shared" si="123"/>
        <v>97.287560375515383</v>
      </c>
      <c r="Q354" s="6">
        <f t="shared" si="119"/>
        <v>2.2968784301753429</v>
      </c>
      <c r="R354" s="10">
        <f t="shared" si="120"/>
        <v>2.2968784301753429E-3</v>
      </c>
      <c r="S354" s="3">
        <f t="shared" si="124"/>
        <v>4.134381174315617E-2</v>
      </c>
      <c r="T354" s="4">
        <f t="shared" si="125"/>
        <v>4.1343811743156173E-5</v>
      </c>
      <c r="U354" s="3">
        <f t="shared" si="126"/>
        <v>0.14883772227536221</v>
      </c>
      <c r="V354" s="2">
        <v>14.08</v>
      </c>
      <c r="W354" s="2">
        <v>4.13</v>
      </c>
      <c r="X354" s="2">
        <f t="shared" si="127"/>
        <v>41300</v>
      </c>
      <c r="Y354" s="5">
        <v>-0.59</v>
      </c>
      <c r="Z354" s="5">
        <v>-1.76</v>
      </c>
      <c r="AA354" s="2">
        <f t="shared" si="128"/>
        <v>1.17</v>
      </c>
      <c r="AB354" s="3">
        <f t="shared" si="129"/>
        <v>0.12721172844048054</v>
      </c>
    </row>
    <row r="355" spans="1:28" x14ac:dyDescent="0.2">
      <c r="A355" t="s">
        <v>11</v>
      </c>
      <c r="B355">
        <v>1212</v>
      </c>
      <c r="C355">
        <v>4</v>
      </c>
      <c r="D355">
        <v>34</v>
      </c>
      <c r="E355" t="s">
        <v>12</v>
      </c>
      <c r="F355" s="1">
        <v>45155</v>
      </c>
      <c r="G355" t="s">
        <v>8</v>
      </c>
      <c r="H355" s="2">
        <v>13.81</v>
      </c>
      <c r="I355" s="2">
        <v>46.52</v>
      </c>
      <c r="J355" s="2">
        <v>40.74</v>
      </c>
      <c r="K355" s="2">
        <f t="shared" si="118"/>
        <v>319.66999999999996</v>
      </c>
      <c r="L355" s="2">
        <v>6.24</v>
      </c>
      <c r="M355" s="2">
        <v>0.13</v>
      </c>
      <c r="N355" s="6">
        <f t="shared" si="121"/>
        <v>7.6785059679805938</v>
      </c>
      <c r="O355" s="6">
        <f t="shared" si="122"/>
        <v>1.4328117319500646</v>
      </c>
      <c r="P355" s="6">
        <f t="shared" si="123"/>
        <v>97.292386738379051</v>
      </c>
      <c r="Q355" s="6">
        <f t="shared" si="119"/>
        <v>1.9221008149418619</v>
      </c>
      <c r="R355" s="10">
        <f t="shared" si="120"/>
        <v>1.922100814941862E-3</v>
      </c>
      <c r="S355" s="3">
        <f t="shared" si="124"/>
        <v>3.4597814668953515E-2</v>
      </c>
      <c r="T355" s="4">
        <f t="shared" si="125"/>
        <v>3.4597814668953514E-5</v>
      </c>
      <c r="U355" s="3">
        <f t="shared" si="126"/>
        <v>0.12455213280823264</v>
      </c>
      <c r="V355" s="2">
        <v>4.71</v>
      </c>
      <c r="W355" s="2">
        <v>1.38</v>
      </c>
      <c r="X355" s="2">
        <f t="shared" si="127"/>
        <v>13799.999999999998</v>
      </c>
      <c r="Y355" s="5">
        <v>-1.02</v>
      </c>
      <c r="Z355" s="5">
        <v>-2.46</v>
      </c>
      <c r="AA355" s="2">
        <f t="shared" si="128"/>
        <v>1.44</v>
      </c>
      <c r="AB355" s="3">
        <f t="shared" si="129"/>
        <v>8.6494536672383784E-2</v>
      </c>
    </row>
    <row r="356" spans="1:28" x14ac:dyDescent="0.2">
      <c r="A356" t="s">
        <v>11</v>
      </c>
      <c r="B356">
        <v>1212</v>
      </c>
      <c r="C356">
        <v>7</v>
      </c>
      <c r="D356">
        <v>36</v>
      </c>
      <c r="E356" t="s">
        <v>12</v>
      </c>
      <c r="F356" s="1">
        <v>45155</v>
      </c>
      <c r="G356" t="s">
        <v>8</v>
      </c>
      <c r="H356" s="2">
        <v>13.68</v>
      </c>
      <c r="I356" s="2">
        <v>46.68</v>
      </c>
      <c r="J356" s="2">
        <v>43.16</v>
      </c>
      <c r="K356" s="2">
        <f t="shared" si="118"/>
        <v>319.83</v>
      </c>
      <c r="L356" s="2">
        <v>7.28</v>
      </c>
      <c r="M356" s="2">
        <v>0.08</v>
      </c>
      <c r="N356" s="6">
        <f t="shared" si="121"/>
        <v>8.7227600213649321</v>
      </c>
      <c r="O356" s="6">
        <f t="shared" si="122"/>
        <v>1.4309528912482452</v>
      </c>
      <c r="P356" s="6">
        <f t="shared" si="123"/>
        <v>97.294363448777986</v>
      </c>
      <c r="Q356" s="6">
        <f t="shared" si="119"/>
        <v>1.186305122084071</v>
      </c>
      <c r="R356" s="10">
        <f t="shared" si="120"/>
        <v>1.1863051220840711E-3</v>
      </c>
      <c r="S356" s="3">
        <f t="shared" si="124"/>
        <v>2.1353492197513278E-2</v>
      </c>
      <c r="T356" s="4">
        <f t="shared" si="125"/>
        <v>2.1353492197513277E-5</v>
      </c>
      <c r="U356" s="3">
        <f t="shared" si="126"/>
        <v>7.6872571911047793E-2</v>
      </c>
      <c r="V356" s="2">
        <v>6.11</v>
      </c>
      <c r="W356" s="2">
        <v>0.97</v>
      </c>
      <c r="X356" s="2">
        <f t="shared" si="127"/>
        <v>9700</v>
      </c>
      <c r="Y356" s="5">
        <v>-0.52</v>
      </c>
      <c r="Z356" s="5">
        <v>-1.86</v>
      </c>
      <c r="AA356" s="2">
        <f t="shared" si="128"/>
        <v>1.34</v>
      </c>
      <c r="AB356" s="3">
        <f t="shared" si="129"/>
        <v>5.7367590978393869E-2</v>
      </c>
    </row>
    <row r="357" spans="1:28" x14ac:dyDescent="0.2">
      <c r="A357" t="s">
        <v>11</v>
      </c>
      <c r="B357">
        <v>1212</v>
      </c>
      <c r="C357">
        <v>7</v>
      </c>
      <c r="D357">
        <v>37</v>
      </c>
      <c r="E357" t="s">
        <v>12</v>
      </c>
      <c r="F357" s="1">
        <v>45155</v>
      </c>
      <c r="G357" t="s">
        <v>8</v>
      </c>
      <c r="H357" s="2">
        <v>13.76</v>
      </c>
      <c r="I357" s="2">
        <v>46.69</v>
      </c>
      <c r="J357" s="2">
        <v>42.75</v>
      </c>
      <c r="K357" s="2">
        <f t="shared" si="118"/>
        <v>319.83999999999997</v>
      </c>
      <c r="L357" s="2">
        <v>7.09</v>
      </c>
      <c r="M357" s="2">
        <v>0.1</v>
      </c>
      <c r="N357" s="6">
        <f t="shared" si="121"/>
        <v>8.5376491558574124</v>
      </c>
      <c r="O357" s="6">
        <f t="shared" si="122"/>
        <v>1.4400548325040796</v>
      </c>
      <c r="P357" s="6">
        <f t="shared" si="123"/>
        <v>97.294486928844847</v>
      </c>
      <c r="Q357" s="6">
        <f t="shared" si="119"/>
        <v>1.4879046095552497</v>
      </c>
      <c r="R357" s="10">
        <f t="shared" si="120"/>
        <v>1.4879046095552498E-3</v>
      </c>
      <c r="S357" s="3">
        <f t="shared" si="124"/>
        <v>2.6782282971994496E-2</v>
      </c>
      <c r="T357" s="4">
        <f t="shared" si="125"/>
        <v>2.6782282971994495E-5</v>
      </c>
      <c r="U357" s="3">
        <f t="shared" si="126"/>
        <v>9.6416218699180184E-2</v>
      </c>
      <c r="V357" s="2">
        <v>3.68</v>
      </c>
      <c r="W357" s="2">
        <v>0.9</v>
      </c>
      <c r="X357" s="2">
        <f t="shared" si="127"/>
        <v>9000</v>
      </c>
      <c r="Y357" s="5">
        <v>-0.62</v>
      </c>
      <c r="Z357" s="5">
        <v>-2.46</v>
      </c>
      <c r="AA357" s="2">
        <f t="shared" si="128"/>
        <v>1.8399999999999999</v>
      </c>
      <c r="AB357" s="3">
        <f t="shared" si="129"/>
        <v>5.2400118858250105E-2</v>
      </c>
    </row>
    <row r="358" spans="1:28" x14ac:dyDescent="0.2">
      <c r="A358" t="s">
        <v>11</v>
      </c>
      <c r="B358">
        <v>1212</v>
      </c>
      <c r="C358">
        <v>7</v>
      </c>
      <c r="D358">
        <v>83</v>
      </c>
      <c r="E358" t="s">
        <v>12</v>
      </c>
      <c r="F358" s="1">
        <v>45155</v>
      </c>
      <c r="G358" t="s">
        <v>8</v>
      </c>
      <c r="H358" s="2">
        <v>15.11</v>
      </c>
      <c r="I358" s="2">
        <v>46.71</v>
      </c>
      <c r="J358" s="2">
        <v>43.39</v>
      </c>
      <c r="K358" s="2">
        <f t="shared" si="118"/>
        <v>319.85999999999996</v>
      </c>
      <c r="L358" s="2">
        <v>7.24</v>
      </c>
      <c r="M358" s="2">
        <v>0.08</v>
      </c>
      <c r="N358" s="6">
        <f t="shared" si="121"/>
        <v>8.8281153402939019</v>
      </c>
      <c r="O358" s="6">
        <f t="shared" si="122"/>
        <v>1.5829519237325991</v>
      </c>
      <c r="P358" s="6">
        <f t="shared" si="123"/>
        <v>97.294733866285981</v>
      </c>
      <c r="Q358" s="6">
        <f t="shared" si="119"/>
        <v>1.3058181278147936</v>
      </c>
      <c r="R358" s="10">
        <f t="shared" si="120"/>
        <v>1.3058181278147935E-3</v>
      </c>
      <c r="S358" s="3">
        <f t="shared" si="124"/>
        <v>2.3504726300666284E-2</v>
      </c>
      <c r="T358" s="4">
        <f t="shared" si="125"/>
        <v>2.3504726300666284E-5</v>
      </c>
      <c r="U358" s="3">
        <f t="shared" si="126"/>
        <v>8.4617014682398628E-2</v>
      </c>
      <c r="V358" s="2">
        <v>7.91</v>
      </c>
      <c r="W358" s="2">
        <v>2.14</v>
      </c>
      <c r="X358" s="2">
        <f t="shared" si="127"/>
        <v>21400</v>
      </c>
      <c r="Y358" s="5">
        <v>-0.34</v>
      </c>
      <c r="Z358" s="5">
        <v>-2.38</v>
      </c>
      <c r="AA358" s="2">
        <f t="shared" si="128"/>
        <v>2.04</v>
      </c>
      <c r="AB358" s="3">
        <f t="shared" si="129"/>
        <v>4.1478928765881683E-2</v>
      </c>
    </row>
    <row r="359" spans="1:28" x14ac:dyDescent="0.2">
      <c r="A359" t="s">
        <v>11</v>
      </c>
      <c r="B359">
        <v>1212</v>
      </c>
      <c r="C359">
        <v>8</v>
      </c>
      <c r="D359">
        <v>38</v>
      </c>
      <c r="E359" t="s">
        <v>12</v>
      </c>
      <c r="F359" s="1">
        <v>45155</v>
      </c>
      <c r="G359" t="s">
        <v>8</v>
      </c>
      <c r="H359" s="2">
        <v>14.24</v>
      </c>
      <c r="I359" s="2">
        <v>46.81</v>
      </c>
      <c r="J359" s="2">
        <v>41.9</v>
      </c>
      <c r="K359" s="2">
        <f t="shared" si="118"/>
        <v>319.95999999999998</v>
      </c>
      <c r="L359" s="2">
        <v>6.67</v>
      </c>
      <c r="M359" s="2">
        <v>0.14000000000000001</v>
      </c>
      <c r="N359" s="6">
        <f t="shared" si="121"/>
        <v>8.1646844807333121</v>
      </c>
      <c r="O359" s="6">
        <f t="shared" si="122"/>
        <v>1.4994281337475257</v>
      </c>
      <c r="P359" s="6">
        <f t="shared" si="123"/>
        <v>97.295968099820712</v>
      </c>
      <c r="Q359" s="6">
        <f t="shared" si="119"/>
        <v>2.1507142730516633</v>
      </c>
      <c r="R359" s="10">
        <f t="shared" si="120"/>
        <v>2.1507142730516635E-3</v>
      </c>
      <c r="S359" s="3">
        <f t="shared" si="124"/>
        <v>3.8712856914929941E-2</v>
      </c>
      <c r="T359" s="4">
        <f t="shared" si="125"/>
        <v>3.8712856914929942E-5</v>
      </c>
      <c r="U359" s="3">
        <f t="shared" si="126"/>
        <v>0.1393662848937478</v>
      </c>
      <c r="V359" s="2">
        <v>13.38</v>
      </c>
      <c r="W359" s="2">
        <v>3.28</v>
      </c>
      <c r="X359" s="2">
        <f t="shared" si="127"/>
        <v>32800</v>
      </c>
      <c r="Y359" s="5">
        <v>-0.56999999999999995</v>
      </c>
      <c r="Z359" s="5">
        <v>-1.86</v>
      </c>
      <c r="AA359" s="2">
        <f t="shared" si="128"/>
        <v>1.29</v>
      </c>
      <c r="AB359" s="3">
        <f t="shared" si="129"/>
        <v>0.1080358797625952</v>
      </c>
    </row>
    <row r="360" spans="1:28" x14ac:dyDescent="0.2">
      <c r="A360" t="s">
        <v>11</v>
      </c>
      <c r="B360">
        <v>1212</v>
      </c>
      <c r="C360">
        <v>8</v>
      </c>
      <c r="D360">
        <v>39</v>
      </c>
      <c r="E360" t="s">
        <v>12</v>
      </c>
      <c r="F360" s="1">
        <v>45154</v>
      </c>
      <c r="G360" t="s">
        <v>8</v>
      </c>
      <c r="H360" s="2">
        <v>16.91</v>
      </c>
      <c r="I360" s="2">
        <v>46.17</v>
      </c>
      <c r="J360" s="2">
        <v>40.36</v>
      </c>
      <c r="K360" s="2">
        <f t="shared" si="118"/>
        <v>319.32</v>
      </c>
      <c r="L360" s="2">
        <v>5.81</v>
      </c>
      <c r="M360" s="2">
        <v>0.12</v>
      </c>
      <c r="N360" s="6">
        <f t="shared" si="121"/>
        <v>7.5247935336027387</v>
      </c>
      <c r="O360" s="6">
        <f t="shared" si="122"/>
        <v>1.7233490585638482</v>
      </c>
      <c r="P360" s="6">
        <f t="shared" si="123"/>
        <v>97.288055918633447</v>
      </c>
      <c r="Q360" s="6">
        <f t="shared" si="119"/>
        <v>2.1151129199706502</v>
      </c>
      <c r="R360" s="10">
        <f t="shared" si="120"/>
        <v>2.1151129199706502E-3</v>
      </c>
      <c r="S360" s="3">
        <f t="shared" si="124"/>
        <v>3.8072032559471704E-2</v>
      </c>
      <c r="T360" s="4">
        <f t="shared" si="125"/>
        <v>3.8072032559471704E-5</v>
      </c>
      <c r="U360" s="3">
        <f t="shared" si="126"/>
        <v>0.13705931721409814</v>
      </c>
      <c r="V360" s="2">
        <v>3.71</v>
      </c>
      <c r="W360" s="2">
        <v>1.36</v>
      </c>
      <c r="X360" s="2">
        <f t="shared" si="127"/>
        <v>13600.000000000002</v>
      </c>
      <c r="Y360" s="5">
        <v>-0.27</v>
      </c>
      <c r="Z360" s="5">
        <v>-2.15</v>
      </c>
      <c r="AA360" s="2">
        <f t="shared" si="128"/>
        <v>1.88</v>
      </c>
      <c r="AB360" s="3">
        <f t="shared" si="129"/>
        <v>7.2903892135158591E-2</v>
      </c>
    </row>
    <row r="361" spans="1:28" x14ac:dyDescent="0.2">
      <c r="A361" t="s">
        <v>11</v>
      </c>
      <c r="B361">
        <v>1212</v>
      </c>
      <c r="C361">
        <v>8</v>
      </c>
      <c r="D361">
        <v>40</v>
      </c>
      <c r="E361" t="s">
        <v>12</v>
      </c>
      <c r="F361" s="1">
        <v>45154</v>
      </c>
      <c r="G361" t="s">
        <v>8</v>
      </c>
      <c r="H361" s="2">
        <v>17.690000000000001</v>
      </c>
      <c r="I361" s="2">
        <v>45.77</v>
      </c>
      <c r="J361" s="2">
        <v>41.57</v>
      </c>
      <c r="K361" s="2">
        <f t="shared" si="118"/>
        <v>318.91999999999996</v>
      </c>
      <c r="L361" s="2">
        <v>6.27</v>
      </c>
      <c r="M361" s="2">
        <v>0.1</v>
      </c>
      <c r="N361" s="6">
        <f t="shared" si="121"/>
        <v>8.0237357192086378</v>
      </c>
      <c r="O361" s="6">
        <f t="shared" si="122"/>
        <v>1.7662779808209614</v>
      </c>
      <c r="P361" s="6">
        <f t="shared" si="123"/>
        <v>97.283095007566956</v>
      </c>
      <c r="Q361" s="6">
        <f t="shared" si="119"/>
        <v>1.80271373877674</v>
      </c>
      <c r="R361" s="10">
        <f t="shared" si="120"/>
        <v>1.8027137387767399E-3</v>
      </c>
      <c r="S361" s="3">
        <f t="shared" si="124"/>
        <v>3.2448847297981316E-2</v>
      </c>
      <c r="T361" s="4">
        <f t="shared" si="125"/>
        <v>3.2448847297981314E-5</v>
      </c>
      <c r="U361" s="3">
        <f t="shared" si="126"/>
        <v>0.11681585027273272</v>
      </c>
      <c r="V361" s="2">
        <v>4.62</v>
      </c>
      <c r="W361" s="2">
        <v>1.66</v>
      </c>
      <c r="X361" s="2">
        <f t="shared" si="127"/>
        <v>16600</v>
      </c>
      <c r="Y361" s="5">
        <v>-0.48</v>
      </c>
      <c r="Z361" s="5">
        <v>-2.1</v>
      </c>
      <c r="AA361" s="2">
        <f t="shared" si="128"/>
        <v>1.62</v>
      </c>
      <c r="AB361" s="3">
        <f t="shared" si="129"/>
        <v>7.2108549551069573E-2</v>
      </c>
    </row>
    <row r="362" spans="1:28" x14ac:dyDescent="0.2">
      <c r="A362" t="s">
        <v>11</v>
      </c>
      <c r="B362">
        <v>1212</v>
      </c>
      <c r="C362">
        <v>10</v>
      </c>
      <c r="D362">
        <v>21</v>
      </c>
      <c r="E362" t="s">
        <v>12</v>
      </c>
      <c r="F362" s="1">
        <v>45155</v>
      </c>
      <c r="G362" t="s">
        <v>8</v>
      </c>
      <c r="H362" s="2">
        <v>14.57</v>
      </c>
      <c r="I362" s="2">
        <v>46.73</v>
      </c>
      <c r="J362" s="2">
        <v>42.27</v>
      </c>
      <c r="K362" s="2">
        <f t="shared" si="118"/>
        <v>319.88</v>
      </c>
      <c r="L362" s="2">
        <v>6.79</v>
      </c>
      <c r="M362" s="2">
        <v>0.1</v>
      </c>
      <c r="N362" s="6">
        <f t="shared" si="121"/>
        <v>8.3252626283838289</v>
      </c>
      <c r="O362" s="6">
        <f t="shared" si="122"/>
        <v>1.5279368901136621</v>
      </c>
      <c r="P362" s="6">
        <f t="shared" si="123"/>
        <v>97.294980773474975</v>
      </c>
      <c r="Q362" s="6">
        <f t="shared" si="119"/>
        <v>1.5779463813845365</v>
      </c>
      <c r="R362" s="10">
        <f t="shared" si="120"/>
        <v>1.5779463813845366E-3</v>
      </c>
      <c r="S362" s="3">
        <f t="shared" si="124"/>
        <v>2.8403034864921659E-2</v>
      </c>
      <c r="T362" s="4">
        <f t="shared" si="125"/>
        <v>2.8403034864921658E-5</v>
      </c>
      <c r="U362" s="3">
        <f t="shared" si="126"/>
        <v>0.10225092551371796</v>
      </c>
      <c r="V362" s="2">
        <v>4.78</v>
      </c>
      <c r="W362" s="2">
        <v>1.38</v>
      </c>
      <c r="X362" s="2">
        <f t="shared" si="127"/>
        <v>13799.999999999998</v>
      </c>
      <c r="Y362" s="5">
        <v>-0.41</v>
      </c>
      <c r="Z362" s="5">
        <v>-2.0299999999999998</v>
      </c>
      <c r="AA362" s="2">
        <f t="shared" si="128"/>
        <v>1.6199999999999999</v>
      </c>
      <c r="AB362" s="3">
        <f t="shared" si="129"/>
        <v>6.3117855255381466E-2</v>
      </c>
    </row>
    <row r="363" spans="1:28" x14ac:dyDescent="0.2">
      <c r="A363" t="s">
        <v>11</v>
      </c>
      <c r="B363">
        <v>1212</v>
      </c>
      <c r="C363">
        <v>10</v>
      </c>
      <c r="D363">
        <v>41</v>
      </c>
      <c r="E363" t="s">
        <v>12</v>
      </c>
      <c r="F363" s="1">
        <v>45154</v>
      </c>
      <c r="G363" t="s">
        <v>8</v>
      </c>
      <c r="H363" s="2">
        <v>15.77</v>
      </c>
      <c r="I363" s="2">
        <v>46.46</v>
      </c>
      <c r="J363" s="2">
        <v>40.630000000000003</v>
      </c>
      <c r="K363" s="2">
        <f t="shared" si="118"/>
        <v>319.60999999999996</v>
      </c>
      <c r="L363" s="2">
        <v>6</v>
      </c>
      <c r="M363" s="2">
        <v>0.13</v>
      </c>
      <c r="N363" s="6">
        <f t="shared" si="121"/>
        <v>7.6337329991210687</v>
      </c>
      <c r="O363" s="6">
        <f t="shared" si="122"/>
        <v>1.6311624140300878</v>
      </c>
      <c r="P363" s="6">
        <f t="shared" si="123"/>
        <v>97.291644972099931</v>
      </c>
      <c r="Q363" s="6">
        <f t="shared" si="119"/>
        <v>2.1829756290650049</v>
      </c>
      <c r="R363" s="10">
        <f t="shared" si="120"/>
        <v>2.1829756290650047E-3</v>
      </c>
      <c r="S363" s="3">
        <f t="shared" si="124"/>
        <v>3.9293561323170086E-2</v>
      </c>
      <c r="T363" s="4">
        <f t="shared" si="125"/>
        <v>3.9293561323170086E-5</v>
      </c>
      <c r="U363" s="3">
        <f t="shared" si="126"/>
        <v>0.14145682076341232</v>
      </c>
      <c r="V363" s="2">
        <v>15.53</v>
      </c>
      <c r="W363" s="2">
        <v>3.35</v>
      </c>
      <c r="X363" s="2">
        <f t="shared" si="127"/>
        <v>33500</v>
      </c>
      <c r="Y363" s="5">
        <v>-0.51</v>
      </c>
      <c r="Z363" s="5">
        <v>-1.8</v>
      </c>
      <c r="AA363" s="2">
        <f t="shared" si="128"/>
        <v>1.29</v>
      </c>
      <c r="AB363" s="3">
        <f t="shared" si="129"/>
        <v>0.10965645020419559</v>
      </c>
    </row>
    <row r="364" spans="1:28" x14ac:dyDescent="0.2">
      <c r="A364" t="s">
        <v>11</v>
      </c>
      <c r="B364">
        <v>1212</v>
      </c>
      <c r="C364">
        <v>10</v>
      </c>
      <c r="D364">
        <v>42</v>
      </c>
      <c r="E364" t="s">
        <v>12</v>
      </c>
      <c r="F364" s="1">
        <v>45154</v>
      </c>
      <c r="G364" t="s">
        <v>8</v>
      </c>
      <c r="H364" s="2">
        <v>16.649999999999999</v>
      </c>
      <c r="I364" s="2">
        <v>46.01</v>
      </c>
      <c r="J364" s="2">
        <v>39.28</v>
      </c>
      <c r="K364" s="2">
        <f t="shared" si="118"/>
        <v>319.15999999999997</v>
      </c>
      <c r="L364" s="2">
        <v>5.42</v>
      </c>
      <c r="M364" s="2">
        <v>0.24</v>
      </c>
      <c r="N364" s="6">
        <f t="shared" si="121"/>
        <v>7.1023945830943118</v>
      </c>
      <c r="O364" s="6">
        <f t="shared" si="122"/>
        <v>1.6830130732942052</v>
      </c>
      <c r="P364" s="6">
        <f t="shared" si="123"/>
        <v>97.286073016047965</v>
      </c>
      <c r="Q364" s="6">
        <f t="shared" si="119"/>
        <v>4.1503854295365539</v>
      </c>
      <c r="R364" s="10">
        <f t="shared" si="120"/>
        <v>4.1503854295365543E-3</v>
      </c>
      <c r="S364" s="3">
        <f t="shared" si="124"/>
        <v>7.4706937731657971E-2</v>
      </c>
      <c r="T364" s="4">
        <f t="shared" si="125"/>
        <v>7.4706937731657975E-5</v>
      </c>
      <c r="U364" s="3">
        <f t="shared" si="126"/>
        <v>0.2689449758339687</v>
      </c>
      <c r="V364" s="2">
        <v>14.52</v>
      </c>
      <c r="W364" s="2">
        <v>3.06</v>
      </c>
      <c r="X364" s="2">
        <f t="shared" si="127"/>
        <v>30600</v>
      </c>
      <c r="Y364" s="5">
        <v>-0.78</v>
      </c>
      <c r="Z364" s="5">
        <v>-2.06</v>
      </c>
      <c r="AA364" s="2">
        <f t="shared" si="128"/>
        <v>1.28</v>
      </c>
      <c r="AB364" s="3">
        <f t="shared" si="129"/>
        <v>0.21011326237028805</v>
      </c>
    </row>
    <row r="365" spans="1:28" x14ac:dyDescent="0.2">
      <c r="F365" s="1"/>
      <c r="N365" s="6"/>
      <c r="O365" s="6"/>
      <c r="P365" s="6"/>
      <c r="Q365" s="6"/>
      <c r="R365" s="10"/>
      <c r="S365" s="3"/>
      <c r="T365" s="4"/>
      <c r="U365" s="3"/>
      <c r="Z365" s="5"/>
      <c r="AB365" s="3"/>
    </row>
    <row r="366" spans="1:28" x14ac:dyDescent="0.2">
      <c r="A366" t="s">
        <v>6</v>
      </c>
      <c r="B366">
        <v>72</v>
      </c>
      <c r="C366">
        <v>156</v>
      </c>
      <c r="D366">
        <v>43</v>
      </c>
      <c r="E366" t="s">
        <v>7</v>
      </c>
      <c r="F366" s="1">
        <v>45161</v>
      </c>
      <c r="G366" t="s">
        <v>8</v>
      </c>
      <c r="H366" s="2">
        <v>42</v>
      </c>
      <c r="I366" s="2">
        <v>33.14</v>
      </c>
      <c r="J366" s="2">
        <v>31.93</v>
      </c>
      <c r="K366" s="2">
        <f t="shared" si="118"/>
        <v>306.28999999999996</v>
      </c>
      <c r="L366" s="2">
        <v>2.61</v>
      </c>
      <c r="M366" s="2">
        <v>0.18</v>
      </c>
      <c r="N366" s="6">
        <f t="shared" ref="N366:N397" si="130">0.611*EXP((17.502*J366)/(240.97+J366))</f>
        <v>4.7356574858051133</v>
      </c>
      <c r="O366" s="6">
        <f t="shared" ref="O366:O397" si="131">(0.611*EXP((17.502*I366)/(240.97+I366)))*(H366/100)</f>
        <v>2.129398107953461</v>
      </c>
      <c r="P366" s="6">
        <f t="shared" ref="P366:P397" si="132">101.325*EXP(-380/(29.27*K366))</f>
        <v>97.119931671632898</v>
      </c>
      <c r="Q366" s="6">
        <f t="shared" si="119"/>
        <v>3.9396480295988177</v>
      </c>
      <c r="R366" s="10">
        <f t="shared" ref="R366:R387" si="133">Q366/1000</f>
        <v>3.9396480295988178E-3</v>
      </c>
      <c r="S366" s="3">
        <f t="shared" ref="S366:S397" si="134">R366*18</f>
        <v>7.0913664532778725E-2</v>
      </c>
      <c r="T366" s="4">
        <f t="shared" ref="T366:T397" si="135">S366/1000</f>
        <v>7.091366453277873E-5</v>
      </c>
      <c r="U366" s="3">
        <f t="shared" ref="U366:U397" si="136">T366*3600</f>
        <v>0.2552891923180034</v>
      </c>
      <c r="V366" s="2">
        <v>18.53</v>
      </c>
      <c r="W366" s="2">
        <v>3.87</v>
      </c>
      <c r="X366" s="2">
        <f t="shared" ref="X366:X397" si="137">W366*10000</f>
        <v>38700</v>
      </c>
      <c r="Y366" s="5">
        <v>-0.22</v>
      </c>
      <c r="Z366" s="5">
        <v>-1.85</v>
      </c>
      <c r="AA366" s="2">
        <f t="shared" ref="AA366:AA397" si="138">Y366-Z366</f>
        <v>1.6300000000000001</v>
      </c>
      <c r="AB366" s="3">
        <f t="shared" ref="AB366:AB397" si="139">U366/AA366</f>
        <v>0.15661913639141312</v>
      </c>
    </row>
    <row r="367" spans="1:28" x14ac:dyDescent="0.2">
      <c r="A367" t="s">
        <v>6</v>
      </c>
      <c r="B367">
        <v>72</v>
      </c>
      <c r="C367">
        <v>156</v>
      </c>
      <c r="D367">
        <v>44</v>
      </c>
      <c r="E367" t="s">
        <v>7</v>
      </c>
      <c r="F367" s="1">
        <v>45162</v>
      </c>
      <c r="G367" t="s">
        <v>8</v>
      </c>
      <c r="H367" s="2">
        <v>34.1</v>
      </c>
      <c r="I367" s="2">
        <v>34.51</v>
      </c>
      <c r="J367" s="2">
        <v>29.81</v>
      </c>
      <c r="K367" s="2">
        <f t="shared" si="118"/>
        <v>307.65999999999997</v>
      </c>
      <c r="L367" s="2">
        <v>2.33</v>
      </c>
      <c r="M367" s="2">
        <v>0.26</v>
      </c>
      <c r="N367" s="6">
        <f t="shared" si="130"/>
        <v>4.1959755319102792</v>
      </c>
      <c r="O367" s="6">
        <f t="shared" si="131"/>
        <v>1.8663484740348417</v>
      </c>
      <c r="P367" s="6">
        <f t="shared" si="132"/>
        <v>97.138264393189147</v>
      </c>
      <c r="Q367" s="6">
        <f t="shared" si="119"/>
        <v>4.9944647593548019</v>
      </c>
      <c r="R367" s="10">
        <f t="shared" si="133"/>
        <v>4.9944647593548018E-3</v>
      </c>
      <c r="S367" s="3">
        <f t="shared" si="134"/>
        <v>8.9900365668386439E-2</v>
      </c>
      <c r="T367" s="4">
        <f t="shared" si="135"/>
        <v>8.9900365668386443E-5</v>
      </c>
      <c r="U367" s="3">
        <f t="shared" si="136"/>
        <v>0.3236413164061912</v>
      </c>
      <c r="V367" s="2">
        <v>5.08</v>
      </c>
      <c r="W367" s="2">
        <v>1.59</v>
      </c>
      <c r="X367" s="2">
        <f t="shared" si="137"/>
        <v>15900</v>
      </c>
      <c r="Y367" s="5">
        <v>-0.27</v>
      </c>
      <c r="Z367" s="5">
        <v>-1.87</v>
      </c>
      <c r="AA367" s="2">
        <f t="shared" si="138"/>
        <v>1.6</v>
      </c>
      <c r="AB367" s="3">
        <f t="shared" si="139"/>
        <v>0.20227582275386949</v>
      </c>
    </row>
    <row r="368" spans="1:28" x14ac:dyDescent="0.2">
      <c r="A368" t="s">
        <v>6</v>
      </c>
      <c r="B368">
        <v>72</v>
      </c>
      <c r="C368">
        <v>156</v>
      </c>
      <c r="D368">
        <v>45</v>
      </c>
      <c r="E368" t="s">
        <v>7</v>
      </c>
      <c r="F368" s="1">
        <v>45161</v>
      </c>
      <c r="G368" t="s">
        <v>8</v>
      </c>
      <c r="H368" s="2">
        <v>37.700000000000003</v>
      </c>
      <c r="I368" s="2">
        <v>35.130000000000003</v>
      </c>
      <c r="J368" s="2">
        <v>32.700000000000003</v>
      </c>
      <c r="K368" s="2">
        <f t="shared" si="118"/>
        <v>308.27999999999997</v>
      </c>
      <c r="L368" s="2">
        <v>2.81</v>
      </c>
      <c r="M368" s="2">
        <v>0.31</v>
      </c>
      <c r="N368" s="6">
        <f t="shared" si="130"/>
        <v>4.9461163257154119</v>
      </c>
      <c r="O368" s="6">
        <f t="shared" si="131"/>
        <v>2.1355515715011752</v>
      </c>
      <c r="P368" s="6">
        <f t="shared" si="132"/>
        <v>97.146508525359835</v>
      </c>
      <c r="Q368" s="6">
        <f t="shared" si="119"/>
        <v>6.816467941294186</v>
      </c>
      <c r="R368" s="10">
        <f t="shared" si="133"/>
        <v>6.8164679412941864E-3</v>
      </c>
      <c r="S368" s="3">
        <f t="shared" si="134"/>
        <v>0.12269642294329536</v>
      </c>
      <c r="T368" s="4">
        <f t="shared" si="135"/>
        <v>1.2269642294329537E-4</v>
      </c>
      <c r="U368" s="3">
        <f t="shared" si="136"/>
        <v>0.44170712259586331</v>
      </c>
      <c r="V368" s="2">
        <v>13.38</v>
      </c>
      <c r="W368" s="2">
        <v>3.64</v>
      </c>
      <c r="X368" s="2">
        <f t="shared" si="137"/>
        <v>36400</v>
      </c>
      <c r="Y368" s="5">
        <v>-0.48</v>
      </c>
      <c r="Z368" s="5">
        <v>-1.9</v>
      </c>
      <c r="AA368" s="2">
        <f t="shared" si="138"/>
        <v>1.42</v>
      </c>
      <c r="AB368" s="3">
        <f t="shared" si="139"/>
        <v>0.31106135394074885</v>
      </c>
    </row>
    <row r="369" spans="1:28" x14ac:dyDescent="0.2">
      <c r="A369" t="s">
        <v>6</v>
      </c>
      <c r="B369">
        <v>72</v>
      </c>
      <c r="C369">
        <v>149</v>
      </c>
      <c r="D369">
        <v>46</v>
      </c>
      <c r="E369" t="s">
        <v>7</v>
      </c>
      <c r="F369" s="1">
        <v>45161</v>
      </c>
      <c r="G369" t="s">
        <v>8</v>
      </c>
      <c r="H369" s="2">
        <v>40.47</v>
      </c>
      <c r="I369" s="2">
        <v>33.89</v>
      </c>
      <c r="J369" s="2">
        <v>31.21</v>
      </c>
      <c r="K369" s="2">
        <f t="shared" si="118"/>
        <v>307.03999999999996</v>
      </c>
      <c r="L369" s="2">
        <v>2.41</v>
      </c>
      <c r="M369" s="2">
        <v>0.4</v>
      </c>
      <c r="N369" s="6">
        <f t="shared" si="130"/>
        <v>4.5459621297351962</v>
      </c>
      <c r="O369" s="6">
        <f t="shared" si="131"/>
        <v>2.1398032770336592</v>
      </c>
      <c r="P369" s="6">
        <f t="shared" si="132"/>
        <v>97.129987670446198</v>
      </c>
      <c r="Q369" s="6">
        <f t="shared" si="119"/>
        <v>8.7963035143475334</v>
      </c>
      <c r="R369" s="10">
        <f t="shared" si="133"/>
        <v>8.7963035143475334E-3</v>
      </c>
      <c r="S369" s="3">
        <f t="shared" si="134"/>
        <v>0.15833346325825559</v>
      </c>
      <c r="T369" s="4">
        <f t="shared" si="135"/>
        <v>1.583334632582556E-4</v>
      </c>
      <c r="U369" s="3">
        <f t="shared" si="136"/>
        <v>0.57000046772972013</v>
      </c>
      <c r="V369" s="2">
        <v>10.99</v>
      </c>
      <c r="W369" s="2">
        <v>2.0499999999999998</v>
      </c>
      <c r="X369" s="2">
        <f t="shared" si="137"/>
        <v>20500</v>
      </c>
      <c r="Y369" s="5">
        <v>-0.3</v>
      </c>
      <c r="Z369" s="5">
        <v>-2.0699999999999998</v>
      </c>
      <c r="AA369" s="2">
        <f t="shared" si="138"/>
        <v>1.7699999999999998</v>
      </c>
      <c r="AB369" s="3">
        <f t="shared" si="139"/>
        <v>0.32203416255916395</v>
      </c>
    </row>
    <row r="370" spans="1:28" x14ac:dyDescent="0.2">
      <c r="A370" t="s">
        <v>6</v>
      </c>
      <c r="B370">
        <v>72</v>
      </c>
      <c r="C370">
        <v>149</v>
      </c>
      <c r="D370">
        <v>47</v>
      </c>
      <c r="E370" t="s">
        <v>7</v>
      </c>
      <c r="F370" s="1">
        <v>45162</v>
      </c>
      <c r="G370" t="s">
        <v>8</v>
      </c>
      <c r="H370" s="2">
        <v>32.54</v>
      </c>
      <c r="I370" s="2">
        <v>34.92</v>
      </c>
      <c r="J370" s="2">
        <v>32.28</v>
      </c>
      <c r="K370" s="2">
        <f t="shared" si="118"/>
        <v>308.07</v>
      </c>
      <c r="L370" s="2">
        <v>3.02</v>
      </c>
      <c r="M370" s="2">
        <v>0.24</v>
      </c>
      <c r="N370" s="6">
        <f t="shared" si="130"/>
        <v>4.8303336805189776</v>
      </c>
      <c r="O370" s="6">
        <f t="shared" si="131"/>
        <v>1.8219511190086299</v>
      </c>
      <c r="P370" s="6">
        <f t="shared" si="132"/>
        <v>97.143719795974306</v>
      </c>
      <c r="Q370" s="6">
        <f t="shared" si="119"/>
        <v>4.4725493756783212</v>
      </c>
      <c r="R370" s="10">
        <f t="shared" si="133"/>
        <v>4.4725493756783211E-3</v>
      </c>
      <c r="S370" s="3">
        <f t="shared" si="134"/>
        <v>8.0505888762209779E-2</v>
      </c>
      <c r="T370" s="4">
        <f t="shared" si="135"/>
        <v>8.0505888762209785E-5</v>
      </c>
      <c r="U370" s="3">
        <f t="shared" si="136"/>
        <v>0.28982119954395524</v>
      </c>
      <c r="V370" s="2">
        <v>10.98</v>
      </c>
      <c r="W370" s="2">
        <v>2.5099999999999998</v>
      </c>
      <c r="X370" s="2">
        <f t="shared" si="137"/>
        <v>25099.999999999996</v>
      </c>
      <c r="Y370" s="5">
        <v>-0.32</v>
      </c>
      <c r="Z370" s="5">
        <v>-2.4700000000000002</v>
      </c>
      <c r="AA370" s="2">
        <f t="shared" si="138"/>
        <v>2.1500000000000004</v>
      </c>
      <c r="AB370" s="3">
        <f t="shared" si="139"/>
        <v>0.13480055792742102</v>
      </c>
    </row>
    <row r="371" spans="1:28" x14ac:dyDescent="0.2">
      <c r="A371" t="s">
        <v>6</v>
      </c>
      <c r="B371">
        <v>72</v>
      </c>
      <c r="C371">
        <v>149</v>
      </c>
      <c r="D371">
        <v>48</v>
      </c>
      <c r="E371" t="s">
        <v>7</v>
      </c>
      <c r="F371" s="1">
        <v>45162</v>
      </c>
      <c r="G371" t="s">
        <v>8</v>
      </c>
      <c r="H371" s="2">
        <v>34.06</v>
      </c>
      <c r="I371" s="2">
        <v>34.04</v>
      </c>
      <c r="J371" s="2">
        <v>30.02</v>
      </c>
      <c r="K371" s="2">
        <f t="shared" si="118"/>
        <v>307.19</v>
      </c>
      <c r="L371" s="2">
        <v>2.4300000000000002</v>
      </c>
      <c r="M371" s="2">
        <v>0.2</v>
      </c>
      <c r="N371" s="6">
        <f t="shared" si="130"/>
        <v>4.2469269892188573</v>
      </c>
      <c r="O371" s="6">
        <f t="shared" si="131"/>
        <v>1.8160172424376917</v>
      </c>
      <c r="P371" s="6">
        <f t="shared" si="132"/>
        <v>97.131993102346186</v>
      </c>
      <c r="Q371" s="6">
        <f t="shared" si="119"/>
        <v>3.7411504308459826</v>
      </c>
      <c r="R371" s="10">
        <f t="shared" si="133"/>
        <v>3.7411504308459825E-3</v>
      </c>
      <c r="S371" s="3">
        <f t="shared" si="134"/>
        <v>6.7340707755227686E-2</v>
      </c>
      <c r="T371" s="4">
        <f t="shared" si="135"/>
        <v>6.7340707755227691E-5</v>
      </c>
      <c r="U371" s="3">
        <f t="shared" si="136"/>
        <v>0.24242654791881968</v>
      </c>
      <c r="V371" s="2">
        <v>17.25</v>
      </c>
      <c r="W371" s="2">
        <v>2.85</v>
      </c>
      <c r="X371" s="2">
        <f t="shared" si="137"/>
        <v>28500</v>
      </c>
      <c r="Y371" s="5">
        <v>-0.56999999999999995</v>
      </c>
      <c r="Z371" s="5">
        <v>-1.85</v>
      </c>
      <c r="AA371" s="2">
        <f t="shared" si="138"/>
        <v>1.2800000000000002</v>
      </c>
      <c r="AB371" s="3">
        <f t="shared" si="139"/>
        <v>0.18939574056157785</v>
      </c>
    </row>
    <row r="372" spans="1:28" x14ac:dyDescent="0.2">
      <c r="A372" t="s">
        <v>6</v>
      </c>
      <c r="B372">
        <v>72</v>
      </c>
      <c r="C372">
        <v>152</v>
      </c>
      <c r="D372">
        <v>49</v>
      </c>
      <c r="E372" t="s">
        <v>7</v>
      </c>
      <c r="F372" s="1">
        <v>45161</v>
      </c>
      <c r="G372" t="s">
        <v>8</v>
      </c>
      <c r="H372" s="2">
        <v>45.6</v>
      </c>
      <c r="I372" s="2">
        <v>30.72</v>
      </c>
      <c r="J372" s="2">
        <v>27.64</v>
      </c>
      <c r="K372" s="2">
        <f t="shared" si="118"/>
        <v>303.87</v>
      </c>
      <c r="L372" s="2">
        <v>1.69</v>
      </c>
      <c r="M372" s="2">
        <v>0.43</v>
      </c>
      <c r="N372" s="6">
        <f t="shared" si="130"/>
        <v>3.6998767196331759</v>
      </c>
      <c r="O372" s="6">
        <f t="shared" si="131"/>
        <v>2.0158301676513024</v>
      </c>
      <c r="P372" s="6">
        <f t="shared" si="132"/>
        <v>97.087153051621243</v>
      </c>
      <c r="Q372" s="6">
        <f t="shared" si="119"/>
        <v>8.9017646751135597</v>
      </c>
      <c r="R372" s="10">
        <f t="shared" si="133"/>
        <v>8.9017646751135601E-3</v>
      </c>
      <c r="S372" s="3">
        <f t="shared" si="134"/>
        <v>0.16023176415204407</v>
      </c>
      <c r="T372" s="4">
        <f t="shared" si="135"/>
        <v>1.6023176415204407E-4</v>
      </c>
      <c r="U372" s="3">
        <f t="shared" si="136"/>
        <v>0.57683435094735869</v>
      </c>
      <c r="V372" s="2">
        <v>16.68</v>
      </c>
      <c r="W372" s="2">
        <v>2.78</v>
      </c>
      <c r="X372" s="2">
        <f t="shared" si="137"/>
        <v>27799.999999999996</v>
      </c>
      <c r="Y372" s="5">
        <v>-0.44</v>
      </c>
      <c r="Z372" s="5">
        <v>-2.09</v>
      </c>
      <c r="AA372" s="2">
        <f t="shared" si="138"/>
        <v>1.65</v>
      </c>
      <c r="AB372" s="3">
        <f t="shared" si="139"/>
        <v>0.34959657633173258</v>
      </c>
    </row>
    <row r="373" spans="1:28" x14ac:dyDescent="0.2">
      <c r="A373" t="s">
        <v>6</v>
      </c>
      <c r="B373">
        <v>72</v>
      </c>
      <c r="C373">
        <v>152</v>
      </c>
      <c r="D373">
        <v>50</v>
      </c>
      <c r="E373" t="s">
        <v>7</v>
      </c>
      <c r="F373" s="1">
        <v>45162</v>
      </c>
      <c r="G373" t="s">
        <v>8</v>
      </c>
      <c r="H373" s="2">
        <v>33.869999999999997</v>
      </c>
      <c r="I373" s="2">
        <v>33.869999999999997</v>
      </c>
      <c r="J373" s="2">
        <v>31.55</v>
      </c>
      <c r="K373" s="2">
        <f t="shared" si="118"/>
        <v>307.02</v>
      </c>
      <c r="L373" s="2">
        <v>2.85</v>
      </c>
      <c r="M373" s="2">
        <v>0.18</v>
      </c>
      <c r="N373" s="6">
        <f t="shared" si="130"/>
        <v>4.6346992709975199</v>
      </c>
      <c r="O373" s="6">
        <f t="shared" si="131"/>
        <v>1.7888376079190578</v>
      </c>
      <c r="P373" s="6">
        <f t="shared" si="132"/>
        <v>97.129720134599552</v>
      </c>
      <c r="Q373" s="6">
        <f t="shared" si="119"/>
        <v>3.3073900381302486</v>
      </c>
      <c r="R373" s="10">
        <f t="shared" si="133"/>
        <v>3.3073900381302484E-3</v>
      </c>
      <c r="S373" s="3">
        <f t="shared" si="134"/>
        <v>5.9533020686344473E-2</v>
      </c>
      <c r="T373" s="4">
        <f t="shared" si="135"/>
        <v>5.953302068634447E-5</v>
      </c>
      <c r="U373" s="3">
        <f t="shared" si="136"/>
        <v>0.21431887447084008</v>
      </c>
      <c r="V373" s="2">
        <v>29.47</v>
      </c>
      <c r="W373" s="2">
        <v>3.96</v>
      </c>
      <c r="X373" s="2">
        <f t="shared" si="137"/>
        <v>39600</v>
      </c>
      <c r="Y373" s="5">
        <v>-0.36</v>
      </c>
      <c r="Z373" s="5">
        <v>-1.95</v>
      </c>
      <c r="AA373" s="2">
        <f t="shared" si="138"/>
        <v>1.5899999999999999</v>
      </c>
      <c r="AB373" s="3">
        <f t="shared" si="139"/>
        <v>0.1347917449502139</v>
      </c>
    </row>
    <row r="374" spans="1:28" x14ac:dyDescent="0.2">
      <c r="A374" t="s">
        <v>6</v>
      </c>
      <c r="B374">
        <v>72</v>
      </c>
      <c r="C374">
        <v>152</v>
      </c>
      <c r="D374">
        <v>51</v>
      </c>
      <c r="E374" t="s">
        <v>7</v>
      </c>
      <c r="F374" s="1">
        <v>45162</v>
      </c>
      <c r="G374" t="s">
        <v>8</v>
      </c>
      <c r="H374" s="2">
        <v>33.78</v>
      </c>
      <c r="I374" s="2">
        <v>34.51</v>
      </c>
      <c r="J374" s="2">
        <v>30.33</v>
      </c>
      <c r="K374" s="2">
        <f t="shared" si="118"/>
        <v>307.65999999999997</v>
      </c>
      <c r="L374" s="2">
        <v>2.48</v>
      </c>
      <c r="M374" s="2">
        <v>0.32</v>
      </c>
      <c r="N374" s="6">
        <f t="shared" si="130"/>
        <v>4.3231263585782278</v>
      </c>
      <c r="O374" s="6">
        <f t="shared" si="131"/>
        <v>1.8488343534573886</v>
      </c>
      <c r="P374" s="6">
        <f t="shared" si="132"/>
        <v>97.138264393189147</v>
      </c>
      <c r="Q374" s="6">
        <f t="shared" si="119"/>
        <v>6.0717621261759627</v>
      </c>
      <c r="R374" s="10">
        <f t="shared" si="133"/>
        <v>6.0717621261759626E-3</v>
      </c>
      <c r="S374" s="3">
        <f t="shared" si="134"/>
        <v>0.10929171827116732</v>
      </c>
      <c r="T374" s="4">
        <f t="shared" si="135"/>
        <v>1.0929171827116732E-4</v>
      </c>
      <c r="U374" s="3">
        <f t="shared" si="136"/>
        <v>0.39345018577620239</v>
      </c>
      <c r="V374" s="2">
        <v>11.56</v>
      </c>
      <c r="W374" s="2">
        <v>1.91</v>
      </c>
      <c r="X374" s="2">
        <f t="shared" si="137"/>
        <v>19100</v>
      </c>
      <c r="Y374" s="5">
        <v>-0.28000000000000003</v>
      </c>
      <c r="Z374" s="5">
        <v>-1.48</v>
      </c>
      <c r="AA374" s="2">
        <f t="shared" si="138"/>
        <v>1.2</v>
      </c>
      <c r="AB374" s="3">
        <f t="shared" si="139"/>
        <v>0.32787515481350199</v>
      </c>
    </row>
    <row r="375" spans="1:28" x14ac:dyDescent="0.2">
      <c r="A375" t="s">
        <v>6</v>
      </c>
      <c r="B375">
        <v>72</v>
      </c>
      <c r="C375">
        <v>155</v>
      </c>
      <c r="D375">
        <v>58</v>
      </c>
      <c r="E375" t="s">
        <v>7</v>
      </c>
      <c r="F375" s="1">
        <v>45162</v>
      </c>
      <c r="G375" t="s">
        <v>8</v>
      </c>
      <c r="H375" s="2">
        <v>32.26</v>
      </c>
      <c r="I375" s="2">
        <v>35.130000000000003</v>
      </c>
      <c r="J375" s="2">
        <v>32.76</v>
      </c>
      <c r="K375" s="2">
        <f t="shared" si="118"/>
        <v>308.27999999999997</v>
      </c>
      <c r="L375" s="2">
        <v>3.14</v>
      </c>
      <c r="M375" s="2">
        <v>0.17</v>
      </c>
      <c r="N375" s="6">
        <f t="shared" si="130"/>
        <v>4.9628522754020876</v>
      </c>
      <c r="O375" s="6">
        <f t="shared" si="131"/>
        <v>1.8273977107858863</v>
      </c>
      <c r="P375" s="6">
        <f t="shared" si="132"/>
        <v>97.146508525359835</v>
      </c>
      <c r="Q375" s="6">
        <f t="shared" si="119"/>
        <v>3.1898715818228327</v>
      </c>
      <c r="R375" s="10">
        <f t="shared" si="133"/>
        <v>3.1898715818228329E-3</v>
      </c>
      <c r="S375" s="3">
        <f t="shared" si="134"/>
        <v>5.7417688472810993E-2</v>
      </c>
      <c r="T375" s="4">
        <f t="shared" si="135"/>
        <v>5.7417688472810991E-5</v>
      </c>
      <c r="U375" s="3">
        <f t="shared" si="136"/>
        <v>0.20670367850211957</v>
      </c>
      <c r="V375" s="2">
        <v>25.14</v>
      </c>
      <c r="W375" s="2">
        <v>4.53</v>
      </c>
      <c r="X375" s="2">
        <f t="shared" si="137"/>
        <v>45300</v>
      </c>
      <c r="Y375" s="5">
        <v>-0.45</v>
      </c>
      <c r="Z375" s="5">
        <v>-2.11</v>
      </c>
      <c r="AA375" s="2">
        <f t="shared" si="138"/>
        <v>1.66</v>
      </c>
      <c r="AB375" s="3">
        <f t="shared" si="139"/>
        <v>0.1245202882542889</v>
      </c>
    </row>
    <row r="376" spans="1:28" x14ac:dyDescent="0.2">
      <c r="A376" t="s">
        <v>6</v>
      </c>
      <c r="B376">
        <v>72</v>
      </c>
      <c r="C376">
        <v>155</v>
      </c>
      <c r="D376">
        <v>59</v>
      </c>
      <c r="E376" t="s">
        <v>7</v>
      </c>
      <c r="F376" s="1">
        <v>45161</v>
      </c>
      <c r="G376" t="s">
        <v>8</v>
      </c>
      <c r="H376" s="2">
        <v>45.09</v>
      </c>
      <c r="I376" s="2">
        <v>31.42</v>
      </c>
      <c r="J376" s="2">
        <v>30.74</v>
      </c>
      <c r="K376" s="2">
        <f t="shared" si="118"/>
        <v>304.57</v>
      </c>
      <c r="L376" s="2">
        <v>2.35</v>
      </c>
      <c r="M376" s="2">
        <v>0.1</v>
      </c>
      <c r="N376" s="6">
        <f t="shared" si="130"/>
        <v>4.4257342315143458</v>
      </c>
      <c r="O376" s="6">
        <f t="shared" si="131"/>
        <v>2.0744077751182899</v>
      </c>
      <c r="P376" s="6">
        <f t="shared" si="132"/>
        <v>97.096686873943355</v>
      </c>
      <c r="Q376" s="6">
        <f t="shared" si="119"/>
        <v>2.1378012971845131</v>
      </c>
      <c r="R376" s="10">
        <f t="shared" si="133"/>
        <v>2.137801297184513E-3</v>
      </c>
      <c r="S376" s="3">
        <f t="shared" si="134"/>
        <v>3.8480423349321238E-2</v>
      </c>
      <c r="T376" s="4">
        <f t="shared" si="135"/>
        <v>3.8480423349321241E-5</v>
      </c>
      <c r="U376" s="3">
        <f t="shared" si="136"/>
        <v>0.13852952405755647</v>
      </c>
      <c r="V376" s="2">
        <v>16.940000000000001</v>
      </c>
      <c r="W376" s="2">
        <v>3.17</v>
      </c>
      <c r="X376" s="2">
        <f t="shared" si="137"/>
        <v>31700</v>
      </c>
      <c r="Y376" s="5">
        <v>-0.2</v>
      </c>
      <c r="Z376" s="5">
        <v>-2.0699999999999998</v>
      </c>
      <c r="AA376" s="2">
        <f t="shared" si="138"/>
        <v>1.8699999999999999</v>
      </c>
      <c r="AB376" s="3">
        <f t="shared" si="139"/>
        <v>7.407995938906764E-2</v>
      </c>
    </row>
    <row r="377" spans="1:28" x14ac:dyDescent="0.2">
      <c r="A377" t="s">
        <v>6</v>
      </c>
      <c r="B377">
        <v>72</v>
      </c>
      <c r="C377">
        <v>155</v>
      </c>
      <c r="D377">
        <v>60</v>
      </c>
      <c r="E377" t="s">
        <v>7</v>
      </c>
      <c r="F377" s="1">
        <v>45162</v>
      </c>
      <c r="G377" t="s">
        <v>8</v>
      </c>
      <c r="H377" s="2">
        <v>33.19</v>
      </c>
      <c r="I377" s="2">
        <v>34.72</v>
      </c>
      <c r="J377" s="2">
        <v>31.96</v>
      </c>
      <c r="K377" s="2">
        <f t="shared" si="118"/>
        <v>307.87</v>
      </c>
      <c r="L377" s="2">
        <v>2.91</v>
      </c>
      <c r="M377" s="2">
        <v>0.13</v>
      </c>
      <c r="N377" s="6">
        <f t="shared" si="130"/>
        <v>4.7437087912957034</v>
      </c>
      <c r="O377" s="6">
        <f t="shared" si="131"/>
        <v>1.8378505236310114</v>
      </c>
      <c r="P377" s="6">
        <f t="shared" si="132"/>
        <v>97.141060400813018</v>
      </c>
      <c r="Q377" s="6">
        <f t="shared" si="119"/>
        <v>2.4539792121359869</v>
      </c>
      <c r="R377" s="10">
        <f t="shared" si="133"/>
        <v>2.453979212135987E-3</v>
      </c>
      <c r="S377" s="3">
        <f t="shared" si="134"/>
        <v>4.4171625818447767E-2</v>
      </c>
      <c r="T377" s="4">
        <f t="shared" si="135"/>
        <v>4.4171625818447765E-5</v>
      </c>
      <c r="U377" s="3">
        <f t="shared" si="136"/>
        <v>0.15901785294641196</v>
      </c>
      <c r="V377" s="2">
        <v>22.24</v>
      </c>
      <c r="W377" s="2">
        <v>4.22</v>
      </c>
      <c r="X377" s="2">
        <f t="shared" si="137"/>
        <v>42200</v>
      </c>
      <c r="Y377" s="5">
        <v>-0.31</v>
      </c>
      <c r="Z377" s="5">
        <v>-1.89</v>
      </c>
      <c r="AA377" s="2">
        <f t="shared" si="138"/>
        <v>1.5799999999999998</v>
      </c>
      <c r="AB377" s="3">
        <f t="shared" si="139"/>
        <v>0.10064421072557721</v>
      </c>
    </row>
    <row r="378" spans="1:28" x14ac:dyDescent="0.2">
      <c r="A378" t="s">
        <v>6</v>
      </c>
      <c r="B378">
        <v>72</v>
      </c>
      <c r="C378">
        <v>5</v>
      </c>
      <c r="D378">
        <v>61</v>
      </c>
      <c r="E378" t="s">
        <v>7</v>
      </c>
      <c r="F378" s="1">
        <v>45162</v>
      </c>
      <c r="G378" t="s">
        <v>8</v>
      </c>
      <c r="H378" s="2">
        <v>33.9</v>
      </c>
      <c r="I378" s="2">
        <v>34.26</v>
      </c>
      <c r="J378" s="2">
        <v>30.48</v>
      </c>
      <c r="K378" s="2">
        <f t="shared" si="118"/>
        <v>307.40999999999997</v>
      </c>
      <c r="L378" s="2">
        <v>2.5299999999999998</v>
      </c>
      <c r="M378" s="2">
        <v>0.14000000000000001</v>
      </c>
      <c r="N378" s="6">
        <f t="shared" si="130"/>
        <v>4.3604227552493375</v>
      </c>
      <c r="O378" s="6">
        <f t="shared" si="131"/>
        <v>1.8297793414985377</v>
      </c>
      <c r="P378" s="6">
        <f t="shared" si="132"/>
        <v>97.134930937059949</v>
      </c>
      <c r="Q378" s="6">
        <f t="shared" si="119"/>
        <v>2.6381774636866151</v>
      </c>
      <c r="R378" s="10">
        <f t="shared" si="133"/>
        <v>2.6381774636866149E-3</v>
      </c>
      <c r="S378" s="3">
        <f t="shared" si="134"/>
        <v>4.748719434635907E-2</v>
      </c>
      <c r="T378" s="4">
        <f t="shared" si="135"/>
        <v>4.7487194346359069E-5</v>
      </c>
      <c r="U378" s="3">
        <f t="shared" si="136"/>
        <v>0.17095389964689264</v>
      </c>
      <c r="V378" s="2">
        <v>5.59</v>
      </c>
      <c r="W378" s="2">
        <v>1.83</v>
      </c>
      <c r="X378" s="2">
        <f t="shared" si="137"/>
        <v>18300</v>
      </c>
      <c r="Y378" s="5">
        <v>-0.36</v>
      </c>
      <c r="Z378" s="5">
        <v>-1.68</v>
      </c>
      <c r="AA378" s="2">
        <f t="shared" si="138"/>
        <v>1.3199999999999998</v>
      </c>
      <c r="AB378" s="3">
        <f t="shared" si="139"/>
        <v>0.12951053003552473</v>
      </c>
    </row>
    <row r="379" spans="1:28" x14ac:dyDescent="0.2">
      <c r="A379" t="s">
        <v>6</v>
      </c>
      <c r="B379">
        <v>72</v>
      </c>
      <c r="C379">
        <v>5</v>
      </c>
      <c r="D379">
        <v>63</v>
      </c>
      <c r="E379" t="s">
        <v>7</v>
      </c>
      <c r="F379" s="1">
        <v>45161</v>
      </c>
      <c r="G379" t="s">
        <v>8</v>
      </c>
      <c r="H379" s="2">
        <v>47.94</v>
      </c>
      <c r="I379" s="2">
        <v>30.98</v>
      </c>
      <c r="J379" s="2">
        <v>29.45</v>
      </c>
      <c r="K379" s="2">
        <f t="shared" si="118"/>
        <v>304.13</v>
      </c>
      <c r="L379" s="2">
        <v>1.96</v>
      </c>
      <c r="M379" s="2">
        <v>0.28000000000000003</v>
      </c>
      <c r="N379" s="6">
        <f t="shared" si="130"/>
        <v>4.1098690174976253</v>
      </c>
      <c r="O379" s="6">
        <f t="shared" si="131"/>
        <v>2.1509606424080419</v>
      </c>
      <c r="P379" s="6">
        <f t="shared" si="132"/>
        <v>97.090699199414644</v>
      </c>
      <c r="Q379" s="6">
        <f t="shared" si="119"/>
        <v>6.2000101952398383</v>
      </c>
      <c r="R379" s="10">
        <f t="shared" si="133"/>
        <v>6.2000101952398379E-3</v>
      </c>
      <c r="S379" s="3">
        <f t="shared" si="134"/>
        <v>0.11160018351431708</v>
      </c>
      <c r="T379" s="4">
        <f t="shared" si="135"/>
        <v>1.1160018351431708E-4</v>
      </c>
      <c r="U379" s="3">
        <f t="shared" si="136"/>
        <v>0.40176066065154148</v>
      </c>
      <c r="V379" s="2">
        <v>13.53</v>
      </c>
      <c r="W379" s="2">
        <v>2.78</v>
      </c>
      <c r="X379" s="2">
        <f t="shared" si="137"/>
        <v>27799.999999999996</v>
      </c>
      <c r="Y379" s="5">
        <v>-0.36</v>
      </c>
      <c r="Z379" s="5">
        <v>-2.1800000000000002</v>
      </c>
      <c r="AA379" s="2">
        <f t="shared" si="138"/>
        <v>1.8200000000000003</v>
      </c>
      <c r="AB379" s="3">
        <f t="shared" si="139"/>
        <v>0.22074761574260518</v>
      </c>
    </row>
    <row r="380" spans="1:28" x14ac:dyDescent="0.2">
      <c r="A380" t="s">
        <v>6</v>
      </c>
      <c r="B380">
        <v>72</v>
      </c>
      <c r="C380">
        <v>5</v>
      </c>
      <c r="D380">
        <v>85</v>
      </c>
      <c r="E380" t="s">
        <v>7</v>
      </c>
      <c r="F380" s="1">
        <v>45162</v>
      </c>
      <c r="G380" t="s">
        <v>8</v>
      </c>
      <c r="H380" s="2">
        <v>33.119999999999997</v>
      </c>
      <c r="I380" s="2">
        <v>34.619999999999997</v>
      </c>
      <c r="J380" s="2">
        <v>31.28</v>
      </c>
      <c r="K380" s="2">
        <f t="shared" si="118"/>
        <v>307.77</v>
      </c>
      <c r="L380" s="2">
        <v>2.74</v>
      </c>
      <c r="M380" s="2">
        <v>0.18</v>
      </c>
      <c r="N380" s="6">
        <f t="shared" si="130"/>
        <v>4.5641095887749064</v>
      </c>
      <c r="O380" s="6">
        <f t="shared" si="131"/>
        <v>1.8238222992610718</v>
      </c>
      <c r="P380" s="6">
        <f t="shared" si="132"/>
        <v>97.13972943444135</v>
      </c>
      <c r="Q380" s="6">
        <f t="shared" si="119"/>
        <v>3.3800765957565932</v>
      </c>
      <c r="R380" s="10">
        <f t="shared" si="133"/>
        <v>3.3800765957565935E-3</v>
      </c>
      <c r="S380" s="3">
        <f t="shared" si="134"/>
        <v>6.084137872361868E-2</v>
      </c>
      <c r="T380" s="4">
        <f t="shared" si="135"/>
        <v>6.0841378723618678E-5</v>
      </c>
      <c r="U380" s="3">
        <f t="shared" si="136"/>
        <v>0.21902896340502723</v>
      </c>
      <c r="V380" s="2">
        <v>8.26</v>
      </c>
      <c r="W380" s="2">
        <v>2.33</v>
      </c>
      <c r="X380" s="2">
        <f t="shared" si="137"/>
        <v>23300</v>
      </c>
      <c r="Y380" s="5">
        <v>-0.36</v>
      </c>
      <c r="Z380" s="5">
        <v>-1.93</v>
      </c>
      <c r="AA380" s="2">
        <f t="shared" si="138"/>
        <v>1.5699999999999998</v>
      </c>
      <c r="AB380" s="3">
        <f t="shared" si="139"/>
        <v>0.13950889388855239</v>
      </c>
    </row>
    <row r="381" spans="1:28" x14ac:dyDescent="0.2">
      <c r="A381" t="s">
        <v>9</v>
      </c>
      <c r="B381">
        <v>1521</v>
      </c>
      <c r="C381">
        <v>153</v>
      </c>
      <c r="D381">
        <v>69</v>
      </c>
      <c r="E381" t="s">
        <v>7</v>
      </c>
      <c r="F381" s="1">
        <v>45162</v>
      </c>
      <c r="G381" t="s">
        <v>8</v>
      </c>
      <c r="H381" s="2">
        <v>33.950000000000003</v>
      </c>
      <c r="I381" s="2">
        <v>34.14</v>
      </c>
      <c r="J381" s="2">
        <v>29.54</v>
      </c>
      <c r="K381" s="2">
        <f t="shared" si="118"/>
        <v>307.28999999999996</v>
      </c>
      <c r="L381" s="2">
        <v>2.31</v>
      </c>
      <c r="M381" s="2">
        <v>0.21</v>
      </c>
      <c r="N381" s="6">
        <f t="shared" si="130"/>
        <v>4.1312499304917791</v>
      </c>
      <c r="O381" s="6">
        <f t="shared" si="131"/>
        <v>1.8202708772545708</v>
      </c>
      <c r="P381" s="6">
        <f t="shared" si="132"/>
        <v>97.133328992225444</v>
      </c>
      <c r="Q381" s="6">
        <f t="shared" si="119"/>
        <v>3.937500025700611</v>
      </c>
      <c r="R381" s="10">
        <f t="shared" si="133"/>
        <v>3.9375000257006109E-3</v>
      </c>
      <c r="S381" s="3">
        <f t="shared" si="134"/>
        <v>7.0875000462610999E-2</v>
      </c>
      <c r="T381" s="4">
        <f t="shared" si="135"/>
        <v>7.0875000462611003E-5</v>
      </c>
      <c r="U381" s="3">
        <f t="shared" si="136"/>
        <v>0.25515000166539958</v>
      </c>
      <c r="V381" s="2">
        <v>1.89</v>
      </c>
      <c r="W381" s="2">
        <v>0.42</v>
      </c>
      <c r="X381" s="2">
        <f t="shared" si="137"/>
        <v>4200</v>
      </c>
      <c r="Y381" s="5">
        <v>-0.35</v>
      </c>
      <c r="Z381" s="5">
        <v>-1.99</v>
      </c>
      <c r="AA381" s="2">
        <f t="shared" si="138"/>
        <v>1.6400000000000001</v>
      </c>
      <c r="AB381" s="3">
        <f t="shared" si="139"/>
        <v>0.15557926930817045</v>
      </c>
    </row>
    <row r="382" spans="1:28" x14ac:dyDescent="0.2">
      <c r="A382" t="s">
        <v>9</v>
      </c>
      <c r="B382">
        <v>1521</v>
      </c>
      <c r="C382">
        <v>153</v>
      </c>
      <c r="D382">
        <v>76</v>
      </c>
      <c r="E382" t="s">
        <v>7</v>
      </c>
      <c r="F382" s="1">
        <v>45162</v>
      </c>
      <c r="G382" t="s">
        <v>8</v>
      </c>
      <c r="H382" s="2">
        <v>33.99</v>
      </c>
      <c r="I382" s="2">
        <v>33.869999999999997</v>
      </c>
      <c r="J382" s="2">
        <v>30.27</v>
      </c>
      <c r="K382" s="2">
        <f t="shared" si="118"/>
        <v>307.02</v>
      </c>
      <c r="L382" s="2">
        <v>2.52</v>
      </c>
      <c r="M382" s="2">
        <v>0.17</v>
      </c>
      <c r="N382" s="6">
        <f t="shared" si="130"/>
        <v>4.3082858149393779</v>
      </c>
      <c r="O382" s="6">
        <f t="shared" si="131"/>
        <v>1.7951753850950334</v>
      </c>
      <c r="P382" s="6">
        <f t="shared" si="132"/>
        <v>97.129720134599552</v>
      </c>
      <c r="Q382" s="6">
        <f t="shared" si="119"/>
        <v>3.1299234479251865</v>
      </c>
      <c r="R382" s="10">
        <f t="shared" si="133"/>
        <v>3.1299234479251867E-3</v>
      </c>
      <c r="S382" s="3">
        <f t="shared" si="134"/>
        <v>5.633862206265336E-2</v>
      </c>
      <c r="T382" s="4">
        <f t="shared" si="135"/>
        <v>5.6338622062653357E-5</v>
      </c>
      <c r="U382" s="3">
        <f t="shared" si="136"/>
        <v>0.20281903942555207</v>
      </c>
      <c r="V382" s="2">
        <v>1.63</v>
      </c>
      <c r="W382" s="2">
        <v>0.4</v>
      </c>
      <c r="X382" s="2">
        <f t="shared" si="137"/>
        <v>4000</v>
      </c>
      <c r="Y382" s="5">
        <v>-0.34</v>
      </c>
      <c r="Z382" s="5">
        <v>-1.83</v>
      </c>
      <c r="AA382" s="2">
        <f t="shared" si="138"/>
        <v>1.49</v>
      </c>
      <c r="AB382" s="3">
        <f t="shared" si="139"/>
        <v>0.13612016068828997</v>
      </c>
    </row>
    <row r="383" spans="1:28" x14ac:dyDescent="0.2">
      <c r="A383" t="s">
        <v>9</v>
      </c>
      <c r="B383">
        <v>1521</v>
      </c>
      <c r="C383">
        <v>153</v>
      </c>
      <c r="D383">
        <v>90</v>
      </c>
      <c r="E383" t="s">
        <v>7</v>
      </c>
      <c r="F383" s="1">
        <v>45161</v>
      </c>
      <c r="G383" t="s">
        <v>8</v>
      </c>
      <c r="H383" s="2">
        <v>37.89</v>
      </c>
      <c r="I383" s="2">
        <v>34.26</v>
      </c>
      <c r="J383" s="2">
        <v>30.7</v>
      </c>
      <c r="K383" s="2">
        <f t="shared" si="118"/>
        <v>307.40999999999997</v>
      </c>
      <c r="L383" s="2">
        <v>2.37</v>
      </c>
      <c r="M383" s="2">
        <v>0.3</v>
      </c>
      <c r="N383" s="6">
        <f t="shared" si="130"/>
        <v>4.4156311815942146</v>
      </c>
      <c r="O383" s="6">
        <f t="shared" si="131"/>
        <v>2.0451427507191626</v>
      </c>
      <c r="P383" s="6">
        <f t="shared" si="132"/>
        <v>97.134930937059949</v>
      </c>
      <c r="Q383" s="6">
        <f t="shared" si="119"/>
        <v>6.3179059125075581</v>
      </c>
      <c r="R383" s="10">
        <f t="shared" si="133"/>
        <v>6.3179059125075578E-3</v>
      </c>
      <c r="S383" s="3">
        <f t="shared" si="134"/>
        <v>0.11372230642513603</v>
      </c>
      <c r="T383" s="4">
        <f t="shared" si="135"/>
        <v>1.1372230642513603E-4</v>
      </c>
      <c r="U383" s="3">
        <f t="shared" si="136"/>
        <v>0.4094003031304897</v>
      </c>
      <c r="V383" s="2">
        <v>3.81</v>
      </c>
      <c r="W383" s="2">
        <v>0.53</v>
      </c>
      <c r="X383" s="2">
        <f t="shared" si="137"/>
        <v>5300</v>
      </c>
      <c r="Y383" s="5">
        <v>-0.38</v>
      </c>
      <c r="Z383" s="5">
        <v>-1.98</v>
      </c>
      <c r="AA383" s="2">
        <f t="shared" si="138"/>
        <v>1.6</v>
      </c>
      <c r="AB383" s="3">
        <f t="shared" si="139"/>
        <v>0.25587518945655602</v>
      </c>
    </row>
    <row r="384" spans="1:28" x14ac:dyDescent="0.2">
      <c r="A384" t="s">
        <v>9</v>
      </c>
      <c r="B384">
        <v>1521</v>
      </c>
      <c r="C384">
        <v>155</v>
      </c>
      <c r="D384">
        <v>62</v>
      </c>
      <c r="E384" t="s">
        <v>7</v>
      </c>
      <c r="F384" s="1">
        <v>45161</v>
      </c>
      <c r="G384" t="s">
        <v>8</v>
      </c>
      <c r="H384" s="2">
        <v>43.71</v>
      </c>
      <c r="I384" s="2">
        <v>32.619999999999997</v>
      </c>
      <c r="J384" s="2">
        <v>30.71</v>
      </c>
      <c r="K384" s="2">
        <f t="shared" si="118"/>
        <v>305.77</v>
      </c>
      <c r="L384" s="2">
        <v>2.27</v>
      </c>
      <c r="M384" s="2">
        <v>0.26</v>
      </c>
      <c r="N384" s="6">
        <f t="shared" si="130"/>
        <v>4.4181550585850182</v>
      </c>
      <c r="O384" s="6">
        <f t="shared" si="131"/>
        <v>2.1522271336911531</v>
      </c>
      <c r="P384" s="6">
        <f t="shared" si="132"/>
        <v>97.112931168694274</v>
      </c>
      <c r="Q384" s="6">
        <f t="shared" si="119"/>
        <v>5.7512455706017418</v>
      </c>
      <c r="R384" s="10">
        <f t="shared" si="133"/>
        <v>5.7512455706017415E-3</v>
      </c>
      <c r="S384" s="3">
        <f t="shared" si="134"/>
        <v>0.10352242027083135</v>
      </c>
      <c r="T384" s="4">
        <f t="shared" si="135"/>
        <v>1.0352242027083135E-4</v>
      </c>
      <c r="U384" s="3">
        <f t="shared" si="136"/>
        <v>0.37268071297499283</v>
      </c>
      <c r="V384" s="2">
        <v>1.17</v>
      </c>
      <c r="W384" s="2">
        <v>0.44</v>
      </c>
      <c r="X384" s="2">
        <f t="shared" si="137"/>
        <v>4400</v>
      </c>
      <c r="Y384" s="5">
        <v>-0.41</v>
      </c>
      <c r="Z384" s="5">
        <v>-1.73</v>
      </c>
      <c r="AA384" s="2">
        <f t="shared" si="138"/>
        <v>1.32</v>
      </c>
      <c r="AB384" s="3">
        <f t="shared" si="139"/>
        <v>0.28233387346590366</v>
      </c>
    </row>
    <row r="385" spans="1:28" x14ac:dyDescent="0.2">
      <c r="A385" t="s">
        <v>9</v>
      </c>
      <c r="B385">
        <v>1521</v>
      </c>
      <c r="C385">
        <v>155</v>
      </c>
      <c r="D385">
        <v>64</v>
      </c>
      <c r="E385" t="s">
        <v>7</v>
      </c>
      <c r="F385" s="1">
        <v>45161</v>
      </c>
      <c r="G385" t="s">
        <v>8</v>
      </c>
      <c r="H385" s="2">
        <v>47.52</v>
      </c>
      <c r="I385" s="2">
        <v>30.16</v>
      </c>
      <c r="J385" s="2">
        <v>28.64</v>
      </c>
      <c r="K385" s="2">
        <f t="shared" si="118"/>
        <v>303.31</v>
      </c>
      <c r="L385" s="2">
        <v>1.89</v>
      </c>
      <c r="M385" s="2">
        <v>0.28999999999999998</v>
      </c>
      <c r="N385" s="6">
        <f t="shared" si="130"/>
        <v>3.9217407613377597</v>
      </c>
      <c r="O385" s="6">
        <f t="shared" si="131"/>
        <v>2.0344231122123428</v>
      </c>
      <c r="P385" s="6">
        <f t="shared" si="132"/>
        <v>97.079494987758807</v>
      </c>
      <c r="Q385" s="6">
        <f t="shared" si="119"/>
        <v>6.0693024913473836</v>
      </c>
      <c r="R385" s="10">
        <f t="shared" si="133"/>
        <v>6.0693024913473833E-3</v>
      </c>
      <c r="S385" s="3">
        <f t="shared" si="134"/>
        <v>0.1092474448442529</v>
      </c>
      <c r="T385" s="4">
        <f t="shared" si="135"/>
        <v>1.092474448442529E-4</v>
      </c>
      <c r="U385" s="3">
        <f t="shared" si="136"/>
        <v>0.39329080143931044</v>
      </c>
      <c r="V385" s="2">
        <v>1.37</v>
      </c>
      <c r="W385" s="2">
        <v>0.45</v>
      </c>
      <c r="X385" s="2">
        <f t="shared" si="137"/>
        <v>4500</v>
      </c>
      <c r="Y385" s="5">
        <v>-0.84</v>
      </c>
      <c r="Z385" s="5">
        <v>-1.76</v>
      </c>
      <c r="AA385" s="2">
        <f t="shared" si="138"/>
        <v>0.92</v>
      </c>
      <c r="AB385" s="3">
        <f t="shared" si="139"/>
        <v>0.42749000156446787</v>
      </c>
    </row>
    <row r="386" spans="1:28" x14ac:dyDescent="0.2">
      <c r="A386" t="s">
        <v>9</v>
      </c>
      <c r="B386">
        <v>1521</v>
      </c>
      <c r="C386">
        <v>155</v>
      </c>
      <c r="D386">
        <v>66</v>
      </c>
      <c r="E386" t="s">
        <v>7</v>
      </c>
      <c r="F386" s="1">
        <v>45162</v>
      </c>
      <c r="G386" t="s">
        <v>8</v>
      </c>
      <c r="H386" s="2">
        <v>33.74</v>
      </c>
      <c r="I386" s="2">
        <v>34.630000000000003</v>
      </c>
      <c r="J386" s="2">
        <v>30.25</v>
      </c>
      <c r="K386" s="2">
        <f t="shared" si="118"/>
        <v>307.77999999999997</v>
      </c>
      <c r="L386" s="2">
        <v>2.4500000000000002</v>
      </c>
      <c r="M386" s="2">
        <v>0.23</v>
      </c>
      <c r="N386" s="6">
        <f t="shared" si="130"/>
        <v>4.3033488418595551</v>
      </c>
      <c r="O386" s="6">
        <f t="shared" si="131"/>
        <v>1.8589958673519147</v>
      </c>
      <c r="P386" s="6">
        <f t="shared" si="132"/>
        <v>97.139862569177353</v>
      </c>
      <c r="Q386" s="6">
        <f t="shared" si="119"/>
        <v>4.3882112075681885</v>
      </c>
      <c r="R386" s="10">
        <f t="shared" si="133"/>
        <v>4.3882112075681887E-3</v>
      </c>
      <c r="S386" s="3">
        <f t="shared" si="134"/>
        <v>7.8987801736227395E-2</v>
      </c>
      <c r="T386" s="4">
        <f t="shared" si="135"/>
        <v>7.8987801736227396E-5</v>
      </c>
      <c r="U386" s="3">
        <f t="shared" si="136"/>
        <v>0.28435608625041864</v>
      </c>
      <c r="V386" s="2">
        <v>3.21</v>
      </c>
      <c r="W386" s="2">
        <v>0.68</v>
      </c>
      <c r="X386" s="2">
        <f t="shared" si="137"/>
        <v>6800.0000000000009</v>
      </c>
      <c r="Y386" s="5">
        <v>-0.62</v>
      </c>
      <c r="Z386" s="5">
        <v>-2.04</v>
      </c>
      <c r="AA386" s="2">
        <f t="shared" si="138"/>
        <v>1.42</v>
      </c>
      <c r="AB386" s="3">
        <f t="shared" si="139"/>
        <v>0.20025076496508357</v>
      </c>
    </row>
    <row r="387" spans="1:28" x14ac:dyDescent="0.2">
      <c r="A387" t="s">
        <v>9</v>
      </c>
      <c r="B387">
        <v>1521</v>
      </c>
      <c r="C387">
        <v>156</v>
      </c>
      <c r="D387">
        <v>71</v>
      </c>
      <c r="E387" t="s">
        <v>7</v>
      </c>
      <c r="F387" s="1">
        <v>45161</v>
      </c>
      <c r="G387" t="s">
        <v>8</v>
      </c>
      <c r="H387" s="2">
        <v>41.23</v>
      </c>
      <c r="I387" s="2">
        <v>32.85</v>
      </c>
      <c r="J387" s="2">
        <v>30.51</v>
      </c>
      <c r="K387" s="2">
        <f t="shared" si="118"/>
        <v>306</v>
      </c>
      <c r="L387" s="2">
        <v>2.31</v>
      </c>
      <c r="M387" s="2">
        <v>0.27</v>
      </c>
      <c r="N387" s="6">
        <f t="shared" si="130"/>
        <v>4.3679155820789983</v>
      </c>
      <c r="O387" s="6">
        <f t="shared" si="131"/>
        <v>2.0565724350158261</v>
      </c>
      <c r="P387" s="6">
        <f t="shared" si="132"/>
        <v>97.116030417218354</v>
      </c>
      <c r="Q387" s="6">
        <f t="shared" si="119"/>
        <v>5.7213747799850037</v>
      </c>
      <c r="R387" s="10">
        <f t="shared" si="133"/>
        <v>5.7213747799850032E-3</v>
      </c>
      <c r="S387" s="3">
        <f t="shared" si="134"/>
        <v>0.10298474603973005</v>
      </c>
      <c r="T387" s="4">
        <f t="shared" si="135"/>
        <v>1.0298474603973005E-4</v>
      </c>
      <c r="U387" s="3">
        <f t="shared" si="136"/>
        <v>0.37074508574302817</v>
      </c>
      <c r="V387" s="2">
        <v>3.35</v>
      </c>
      <c r="W387" s="2">
        <v>0.65</v>
      </c>
      <c r="X387" s="2">
        <f t="shared" si="137"/>
        <v>6500</v>
      </c>
      <c r="Y387" s="5">
        <v>-0.46</v>
      </c>
      <c r="Z387" s="5">
        <v>-1.73</v>
      </c>
      <c r="AA387" s="2">
        <f t="shared" si="138"/>
        <v>1.27</v>
      </c>
      <c r="AB387" s="3">
        <f t="shared" si="139"/>
        <v>0.2919252643645891</v>
      </c>
    </row>
    <row r="388" spans="1:28" x14ac:dyDescent="0.2">
      <c r="A388" t="s">
        <v>9</v>
      </c>
      <c r="B388">
        <v>1521</v>
      </c>
      <c r="C388">
        <v>156</v>
      </c>
      <c r="D388">
        <v>74</v>
      </c>
      <c r="E388" t="s">
        <v>7</v>
      </c>
      <c r="F388" s="1">
        <v>45162</v>
      </c>
      <c r="G388" t="s">
        <v>8</v>
      </c>
      <c r="H388" s="2">
        <v>34.32</v>
      </c>
      <c r="I388" s="2">
        <v>33.82</v>
      </c>
      <c r="J388" s="2">
        <v>31.32</v>
      </c>
      <c r="K388" s="2">
        <f t="shared" ref="K388:K451" si="140">273.15+I388</f>
        <v>306.96999999999997</v>
      </c>
      <c r="L388" s="2">
        <v>2.78</v>
      </c>
      <c r="M388" s="2">
        <v>0.11</v>
      </c>
      <c r="N388" s="6">
        <f t="shared" si="130"/>
        <v>4.574507865789549</v>
      </c>
      <c r="O388" s="6">
        <f t="shared" si="131"/>
        <v>1.8075502561391883</v>
      </c>
      <c r="P388" s="6">
        <f t="shared" si="132"/>
        <v>97.12905114568909</v>
      </c>
      <c r="Q388" s="6">
        <f t="shared" ref="Q388:Q451" si="141">(M388*(N388-L388)/P388)*1000</f>
        <v>2.0323050921270274</v>
      </c>
      <c r="R388" s="10">
        <f t="shared" ref="R388:R451" si="142">Q388/1000</f>
        <v>2.0323050921270272E-3</v>
      </c>
      <c r="S388" s="3">
        <f t="shared" si="134"/>
        <v>3.6581491658286489E-2</v>
      </c>
      <c r="T388" s="4">
        <f t="shared" si="135"/>
        <v>3.6581491658286486E-5</v>
      </c>
      <c r="U388" s="3">
        <f t="shared" si="136"/>
        <v>0.13169336996983136</v>
      </c>
      <c r="V388" s="2">
        <v>2.92</v>
      </c>
      <c r="W388" s="2">
        <v>0.64</v>
      </c>
      <c r="X388" s="2">
        <f t="shared" si="137"/>
        <v>6400</v>
      </c>
      <c r="Y388" s="5">
        <v>-0.63</v>
      </c>
      <c r="Z388" s="5">
        <v>-1.81</v>
      </c>
      <c r="AA388" s="2">
        <f t="shared" si="138"/>
        <v>1.1800000000000002</v>
      </c>
      <c r="AB388" s="3">
        <f t="shared" si="139"/>
        <v>0.11160455082189097</v>
      </c>
    </row>
    <row r="389" spans="1:28" x14ac:dyDescent="0.2">
      <c r="A389" t="s">
        <v>9</v>
      </c>
      <c r="B389">
        <v>1521</v>
      </c>
      <c r="C389">
        <v>156</v>
      </c>
      <c r="D389">
        <v>75</v>
      </c>
      <c r="E389" t="s">
        <v>7</v>
      </c>
      <c r="F389" s="1">
        <v>45162</v>
      </c>
      <c r="G389" t="s">
        <v>8</v>
      </c>
      <c r="H389" s="2">
        <v>33.07</v>
      </c>
      <c r="I389" s="2">
        <v>34.65</v>
      </c>
      <c r="J389" s="2">
        <v>30.78</v>
      </c>
      <c r="K389" s="2">
        <f t="shared" si="140"/>
        <v>307.79999999999995</v>
      </c>
      <c r="L389" s="2">
        <v>2.61</v>
      </c>
      <c r="M389" s="2">
        <v>0.19</v>
      </c>
      <c r="N389" s="6">
        <f t="shared" si="130"/>
        <v>4.435857412978236</v>
      </c>
      <c r="O389" s="6">
        <f t="shared" si="131"/>
        <v>1.8241048332109935</v>
      </c>
      <c r="P389" s="6">
        <f t="shared" si="132"/>
        <v>97.140128813244473</v>
      </c>
      <c r="Q389" s="6">
        <f t="shared" si="141"/>
        <v>3.5712625946051388</v>
      </c>
      <c r="R389" s="10">
        <f t="shared" si="142"/>
        <v>3.571262594605139E-3</v>
      </c>
      <c r="S389" s="3">
        <f t="shared" si="134"/>
        <v>6.4282726702892506E-2</v>
      </c>
      <c r="T389" s="4">
        <f t="shared" si="135"/>
        <v>6.4282726702892502E-5</v>
      </c>
      <c r="U389" s="3">
        <f t="shared" si="136"/>
        <v>0.23141781613041301</v>
      </c>
      <c r="V389" s="2">
        <v>2.78</v>
      </c>
      <c r="W389" s="2">
        <v>0.57999999999999996</v>
      </c>
      <c r="X389" s="2">
        <f t="shared" si="137"/>
        <v>5800</v>
      </c>
      <c r="Y389" s="5">
        <v>-0.35</v>
      </c>
      <c r="Z389" s="5">
        <v>-1.48</v>
      </c>
      <c r="AA389" s="2">
        <f t="shared" si="138"/>
        <v>1.1299999999999999</v>
      </c>
      <c r="AB389" s="3">
        <f t="shared" si="139"/>
        <v>0.2047945275490381</v>
      </c>
    </row>
    <row r="390" spans="1:28" x14ac:dyDescent="0.2">
      <c r="A390" t="s">
        <v>9</v>
      </c>
      <c r="B390">
        <v>1521</v>
      </c>
      <c r="C390">
        <v>157</v>
      </c>
      <c r="D390">
        <v>67</v>
      </c>
      <c r="E390" t="s">
        <v>7</v>
      </c>
      <c r="F390" s="1">
        <v>45162</v>
      </c>
      <c r="G390" t="s">
        <v>8</v>
      </c>
      <c r="H390" s="2">
        <v>33.5</v>
      </c>
      <c r="I390" s="2">
        <v>34.53</v>
      </c>
      <c r="J390" s="2">
        <v>31.67</v>
      </c>
      <c r="K390" s="2">
        <f t="shared" si="140"/>
        <v>307.67999999999995</v>
      </c>
      <c r="L390" s="2">
        <v>2.83</v>
      </c>
      <c r="M390" s="2">
        <v>0.2</v>
      </c>
      <c r="N390" s="6">
        <f t="shared" si="130"/>
        <v>4.666376373615484</v>
      </c>
      <c r="O390" s="6">
        <f t="shared" si="131"/>
        <v>1.835548386555659</v>
      </c>
      <c r="P390" s="6">
        <f t="shared" si="132"/>
        <v>97.138530840598747</v>
      </c>
      <c r="Q390" s="6">
        <f t="shared" si="141"/>
        <v>3.7809432729200307</v>
      </c>
      <c r="R390" s="10">
        <f t="shared" si="142"/>
        <v>3.7809432729200309E-3</v>
      </c>
      <c r="S390" s="3">
        <f t="shared" si="134"/>
        <v>6.8056978912560559E-2</v>
      </c>
      <c r="T390" s="4">
        <f t="shared" si="135"/>
        <v>6.8056978912560564E-5</v>
      </c>
      <c r="U390" s="3">
        <f t="shared" si="136"/>
        <v>0.24500512408521802</v>
      </c>
      <c r="V390" s="2">
        <v>2.46</v>
      </c>
      <c r="W390" s="2">
        <v>0.65</v>
      </c>
      <c r="X390" s="2">
        <f t="shared" si="137"/>
        <v>6500</v>
      </c>
      <c r="Y390" s="5">
        <v>-0.52</v>
      </c>
      <c r="Z390" s="5">
        <v>-1.61</v>
      </c>
      <c r="AA390" s="2">
        <f t="shared" si="138"/>
        <v>1.0900000000000001</v>
      </c>
      <c r="AB390" s="3">
        <f t="shared" si="139"/>
        <v>0.22477534319744771</v>
      </c>
    </row>
    <row r="391" spans="1:28" x14ac:dyDescent="0.2">
      <c r="A391" t="s">
        <v>9</v>
      </c>
      <c r="B391">
        <v>1521</v>
      </c>
      <c r="C391">
        <v>157</v>
      </c>
      <c r="D391">
        <v>68</v>
      </c>
      <c r="E391" t="s">
        <v>7</v>
      </c>
      <c r="F391" s="1">
        <v>45162</v>
      </c>
      <c r="G391" t="s">
        <v>8</v>
      </c>
      <c r="H391" s="2">
        <v>32.880000000000003</v>
      </c>
      <c r="I391" s="2">
        <v>34.770000000000003</v>
      </c>
      <c r="J391" s="2">
        <v>31.95</v>
      </c>
      <c r="K391" s="2">
        <f t="shared" si="140"/>
        <v>307.91999999999996</v>
      </c>
      <c r="L391" s="2">
        <v>2.92</v>
      </c>
      <c r="M391" s="2">
        <v>0.21</v>
      </c>
      <c r="N391" s="6">
        <f t="shared" si="130"/>
        <v>4.7410236997412563</v>
      </c>
      <c r="O391" s="6">
        <f t="shared" si="131"/>
        <v>1.8257422149860367</v>
      </c>
      <c r="P391" s="6">
        <f t="shared" si="132"/>
        <v>97.141725566649853</v>
      </c>
      <c r="Q391" s="6">
        <f t="shared" si="141"/>
        <v>3.9366706192931002</v>
      </c>
      <c r="R391" s="10">
        <f t="shared" si="142"/>
        <v>3.9366706192931001E-3</v>
      </c>
      <c r="S391" s="3">
        <f t="shared" si="134"/>
        <v>7.0860071147275799E-2</v>
      </c>
      <c r="T391" s="4">
        <f t="shared" si="135"/>
        <v>7.0860071147275797E-5</v>
      </c>
      <c r="U391" s="3">
        <f t="shared" si="136"/>
        <v>0.25509625613019288</v>
      </c>
      <c r="V391" s="2">
        <v>2.9</v>
      </c>
      <c r="W391" s="2">
        <v>0.85</v>
      </c>
      <c r="X391" s="2">
        <f t="shared" si="137"/>
        <v>8500</v>
      </c>
      <c r="Y391" s="5">
        <v>-0.68</v>
      </c>
      <c r="Z391" s="5">
        <v>-1.79</v>
      </c>
      <c r="AA391" s="2">
        <f t="shared" si="138"/>
        <v>1.1099999999999999</v>
      </c>
      <c r="AB391" s="3">
        <f t="shared" si="139"/>
        <v>0.22981644696413775</v>
      </c>
    </row>
    <row r="392" spans="1:28" x14ac:dyDescent="0.2">
      <c r="A392" t="s">
        <v>9</v>
      </c>
      <c r="B392">
        <v>1521</v>
      </c>
      <c r="C392">
        <v>157</v>
      </c>
      <c r="D392">
        <v>72</v>
      </c>
      <c r="E392" t="s">
        <v>7</v>
      </c>
      <c r="F392" s="1">
        <v>45161</v>
      </c>
      <c r="G392" t="s">
        <v>8</v>
      </c>
      <c r="H392" s="2">
        <v>42.92</v>
      </c>
      <c r="I392" s="2">
        <v>31.79</v>
      </c>
      <c r="J392" s="2">
        <v>29.41</v>
      </c>
      <c r="K392" s="2">
        <f t="shared" si="140"/>
        <v>304.94</v>
      </c>
      <c r="L392" s="2">
        <v>2.09</v>
      </c>
      <c r="M392" s="2">
        <v>0.31</v>
      </c>
      <c r="N392" s="6">
        <f t="shared" si="130"/>
        <v>4.1003973959319007</v>
      </c>
      <c r="O392" s="6">
        <f t="shared" si="131"/>
        <v>2.016485390573278</v>
      </c>
      <c r="P392" s="6">
        <f t="shared" si="132"/>
        <v>97.101708874091017</v>
      </c>
      <c r="Q392" s="6">
        <f t="shared" si="141"/>
        <v>6.4182515422772299</v>
      </c>
      <c r="R392" s="10">
        <f t="shared" si="142"/>
        <v>6.4182515422772299E-3</v>
      </c>
      <c r="S392" s="3">
        <f t="shared" si="134"/>
        <v>0.11552852776099014</v>
      </c>
      <c r="T392" s="4">
        <f t="shared" si="135"/>
        <v>1.1552852776099014E-4</v>
      </c>
      <c r="U392" s="3">
        <f t="shared" si="136"/>
        <v>0.41590269993956452</v>
      </c>
      <c r="V392" s="2">
        <v>1.89</v>
      </c>
      <c r="W392" s="2">
        <v>1.52</v>
      </c>
      <c r="X392" s="2">
        <f t="shared" si="137"/>
        <v>15200</v>
      </c>
      <c r="Y392" s="5">
        <v>-0.68</v>
      </c>
      <c r="Z392" s="5">
        <v>-1.48</v>
      </c>
      <c r="AA392" s="2">
        <f t="shared" si="138"/>
        <v>0.79999999999999993</v>
      </c>
      <c r="AB392" s="3">
        <f t="shared" si="139"/>
        <v>0.51987837492445566</v>
      </c>
    </row>
    <row r="393" spans="1:28" x14ac:dyDescent="0.2">
      <c r="A393" t="s">
        <v>9</v>
      </c>
      <c r="B393">
        <v>1521</v>
      </c>
      <c r="C393">
        <v>158</v>
      </c>
      <c r="D393">
        <v>70</v>
      </c>
      <c r="E393" t="s">
        <v>7</v>
      </c>
      <c r="F393" s="1">
        <v>45162</v>
      </c>
      <c r="G393" t="s">
        <v>8</v>
      </c>
      <c r="H393" s="2">
        <v>33.479999999999997</v>
      </c>
      <c r="I393" s="2">
        <v>34.51</v>
      </c>
      <c r="J393" s="2">
        <v>29.92</v>
      </c>
      <c r="K393" s="2">
        <f t="shared" si="140"/>
        <v>307.65999999999997</v>
      </c>
      <c r="L393" s="2">
        <v>2.39</v>
      </c>
      <c r="M393" s="2">
        <v>0.28999999999999998</v>
      </c>
      <c r="N393" s="6">
        <f t="shared" si="130"/>
        <v>4.222597541025281</v>
      </c>
      <c r="O393" s="6">
        <f t="shared" si="131"/>
        <v>1.8324148654160262</v>
      </c>
      <c r="P393" s="6">
        <f t="shared" si="132"/>
        <v>97.138264393189147</v>
      </c>
      <c r="Q393" s="6">
        <f t="shared" si="141"/>
        <v>5.4711013236365202</v>
      </c>
      <c r="R393" s="10">
        <f t="shared" si="142"/>
        <v>5.4711013236365203E-3</v>
      </c>
      <c r="S393" s="3">
        <f t="shared" si="134"/>
        <v>9.8479823825457363E-2</v>
      </c>
      <c r="T393" s="4">
        <f t="shared" si="135"/>
        <v>9.8479823825457359E-5</v>
      </c>
      <c r="U393" s="3">
        <f t="shared" si="136"/>
        <v>0.35452736577164651</v>
      </c>
      <c r="V393" s="2">
        <v>1.25</v>
      </c>
      <c r="W393" s="2">
        <v>0.24</v>
      </c>
      <c r="X393" s="2">
        <f t="shared" si="137"/>
        <v>2400</v>
      </c>
      <c r="Y393" s="5">
        <v>-0.41</v>
      </c>
      <c r="Z393" s="5">
        <v>-1.93</v>
      </c>
      <c r="AA393" s="2">
        <f t="shared" si="138"/>
        <v>1.52</v>
      </c>
      <c r="AB393" s="3">
        <f t="shared" si="139"/>
        <v>0.23324168800766218</v>
      </c>
    </row>
    <row r="394" spans="1:28" x14ac:dyDescent="0.2">
      <c r="A394" t="s">
        <v>9</v>
      </c>
      <c r="B394">
        <v>1521</v>
      </c>
      <c r="C394">
        <v>158</v>
      </c>
      <c r="D394">
        <v>73</v>
      </c>
      <c r="E394" t="s">
        <v>7</v>
      </c>
      <c r="F394" s="1">
        <v>45162</v>
      </c>
      <c r="G394" t="s">
        <v>8</v>
      </c>
      <c r="H394" s="2">
        <v>34.36</v>
      </c>
      <c r="I394" s="2">
        <v>33.81</v>
      </c>
      <c r="J394" s="2">
        <v>30.58</v>
      </c>
      <c r="K394" s="2">
        <f t="shared" si="140"/>
        <v>306.95999999999998</v>
      </c>
      <c r="L394" s="2">
        <v>2.58</v>
      </c>
      <c r="M394" s="2">
        <v>0.13</v>
      </c>
      <c r="N394" s="6">
        <f t="shared" si="130"/>
        <v>4.3854424844534474</v>
      </c>
      <c r="O394" s="6">
        <f t="shared" si="131"/>
        <v>1.8086464504600017</v>
      </c>
      <c r="P394" s="6">
        <f t="shared" si="132"/>
        <v>97.128917322307245</v>
      </c>
      <c r="Q394" s="6">
        <f t="shared" si="141"/>
        <v>2.4164536108243406</v>
      </c>
      <c r="R394" s="10">
        <f t="shared" si="142"/>
        <v>2.4164536108243406E-3</v>
      </c>
      <c r="S394" s="3">
        <f t="shared" si="134"/>
        <v>4.3496164994838132E-2</v>
      </c>
      <c r="T394" s="4">
        <f t="shared" si="135"/>
        <v>4.349616499483813E-5</v>
      </c>
      <c r="U394" s="3">
        <f t="shared" si="136"/>
        <v>0.15658619398141727</v>
      </c>
      <c r="V394" s="2">
        <v>1.75</v>
      </c>
      <c r="W394" s="2">
        <v>0.39</v>
      </c>
      <c r="X394" s="2">
        <f t="shared" si="137"/>
        <v>3900</v>
      </c>
      <c r="Y394" s="5">
        <v>-0.46</v>
      </c>
      <c r="Z394" s="5">
        <v>-1.92</v>
      </c>
      <c r="AA394" s="2">
        <f t="shared" si="138"/>
        <v>1.46</v>
      </c>
      <c r="AB394" s="3">
        <f t="shared" si="139"/>
        <v>0.10725081779549128</v>
      </c>
    </row>
    <row r="395" spans="1:28" x14ac:dyDescent="0.2">
      <c r="A395" t="s">
        <v>9</v>
      </c>
      <c r="B395">
        <v>1521</v>
      </c>
      <c r="C395">
        <v>158</v>
      </c>
      <c r="D395">
        <v>81</v>
      </c>
      <c r="E395" t="s">
        <v>7</v>
      </c>
      <c r="F395" s="1">
        <v>45162</v>
      </c>
      <c r="G395" t="s">
        <v>8</v>
      </c>
      <c r="H395" s="2">
        <v>33.54</v>
      </c>
      <c r="I395" s="2">
        <v>34.5</v>
      </c>
      <c r="J395" s="2">
        <v>31.59</v>
      </c>
      <c r="K395" s="2">
        <f t="shared" si="140"/>
        <v>307.64999999999998</v>
      </c>
      <c r="L395" s="2">
        <v>2.81</v>
      </c>
      <c r="M395" s="2">
        <v>0.19</v>
      </c>
      <c r="N395" s="6">
        <f t="shared" si="130"/>
        <v>4.6452374356398192</v>
      </c>
      <c r="O395" s="6">
        <f t="shared" si="131"/>
        <v>1.8346788408986971</v>
      </c>
      <c r="P395" s="6">
        <f t="shared" si="132"/>
        <v>97.138131156767372</v>
      </c>
      <c r="Q395" s="6">
        <f t="shared" si="141"/>
        <v>3.5896831513962359</v>
      </c>
      <c r="R395" s="10">
        <f t="shared" si="142"/>
        <v>3.589683151396236E-3</v>
      </c>
      <c r="S395" s="3">
        <f t="shared" si="134"/>
        <v>6.4614296725132248E-2</v>
      </c>
      <c r="T395" s="4">
        <f t="shared" si="135"/>
        <v>6.4614296725132246E-5</v>
      </c>
      <c r="U395" s="3">
        <f t="shared" si="136"/>
        <v>0.2326114682104761</v>
      </c>
      <c r="V395" s="2">
        <v>0.53</v>
      </c>
      <c r="W395" s="2">
        <v>0.2</v>
      </c>
      <c r="X395" s="2">
        <f t="shared" si="137"/>
        <v>2000</v>
      </c>
      <c r="Y395" s="5">
        <v>-0.49</v>
      </c>
      <c r="Z395" s="5">
        <v>-1.71</v>
      </c>
      <c r="AA395" s="2">
        <f t="shared" si="138"/>
        <v>1.22</v>
      </c>
      <c r="AB395" s="3">
        <f t="shared" si="139"/>
        <v>0.19066513787743944</v>
      </c>
    </row>
    <row r="396" spans="1:28" x14ac:dyDescent="0.2">
      <c r="A396" t="s">
        <v>10</v>
      </c>
      <c r="B396">
        <v>666</v>
      </c>
      <c r="C396">
        <v>101</v>
      </c>
      <c r="D396">
        <v>1</v>
      </c>
      <c r="E396" t="s">
        <v>7</v>
      </c>
      <c r="F396" s="1">
        <v>45161</v>
      </c>
      <c r="G396" t="s">
        <v>8</v>
      </c>
      <c r="H396" s="2">
        <v>38.6</v>
      </c>
      <c r="I396" s="2">
        <v>35.369999999999997</v>
      </c>
      <c r="J396" s="2">
        <v>31.35</v>
      </c>
      <c r="K396" s="2">
        <f t="shared" si="140"/>
        <v>308.52</v>
      </c>
      <c r="L396" s="2">
        <v>2.37</v>
      </c>
      <c r="M396" s="2">
        <v>0.52</v>
      </c>
      <c r="N396" s="6">
        <f t="shared" si="130"/>
        <v>4.582320106850621</v>
      </c>
      <c r="O396" s="6">
        <f t="shared" si="131"/>
        <v>2.215733503364449</v>
      </c>
      <c r="P396" s="6">
        <f t="shared" si="132"/>
        <v>97.149691093810205</v>
      </c>
      <c r="Q396" s="6">
        <f t="shared" si="141"/>
        <v>11.841586345873823</v>
      </c>
      <c r="R396" s="10">
        <f t="shared" si="142"/>
        <v>1.1841586345873824E-2</v>
      </c>
      <c r="S396" s="3">
        <f t="shared" si="134"/>
        <v>0.21314855422572881</v>
      </c>
      <c r="T396" s="4">
        <f t="shared" si="135"/>
        <v>2.1314855422572881E-4</v>
      </c>
      <c r="U396" s="3">
        <f t="shared" si="136"/>
        <v>0.76733479521262371</v>
      </c>
      <c r="V396" s="2">
        <v>5.47</v>
      </c>
      <c r="W396" s="2">
        <v>1.21</v>
      </c>
      <c r="X396" s="2">
        <f t="shared" si="137"/>
        <v>12100</v>
      </c>
      <c r="Y396" s="5">
        <v>-0.42</v>
      </c>
      <c r="Z396" s="5">
        <v>-1.79</v>
      </c>
      <c r="AA396" s="2">
        <f t="shared" si="138"/>
        <v>1.37</v>
      </c>
      <c r="AB396" s="3">
        <f t="shared" si="139"/>
        <v>0.56009839066614864</v>
      </c>
    </row>
    <row r="397" spans="1:28" x14ac:dyDescent="0.2">
      <c r="A397" t="s">
        <v>10</v>
      </c>
      <c r="B397">
        <v>666</v>
      </c>
      <c r="C397">
        <v>101</v>
      </c>
      <c r="D397">
        <v>2</v>
      </c>
      <c r="E397" t="s">
        <v>7</v>
      </c>
      <c r="F397" s="1">
        <v>45161</v>
      </c>
      <c r="G397" t="s">
        <v>8</v>
      </c>
      <c r="H397" s="2">
        <v>38.99</v>
      </c>
      <c r="I397" s="2">
        <v>35.14</v>
      </c>
      <c r="J397" s="2">
        <v>32.19</v>
      </c>
      <c r="K397" s="2">
        <f t="shared" si="140"/>
        <v>308.28999999999996</v>
      </c>
      <c r="L397" s="2">
        <v>2.6</v>
      </c>
      <c r="M397" s="2">
        <v>0.35</v>
      </c>
      <c r="N397" s="6">
        <f t="shared" si="130"/>
        <v>4.8058323744391975</v>
      </c>
      <c r="O397" s="6">
        <f t="shared" si="131"/>
        <v>2.2098470269659138</v>
      </c>
      <c r="P397" s="6">
        <f t="shared" si="132"/>
        <v>97.1466412292271</v>
      </c>
      <c r="Q397" s="6">
        <f t="shared" si="141"/>
        <v>7.9471747173637359</v>
      </c>
      <c r="R397" s="10">
        <f t="shared" si="142"/>
        <v>7.9471747173637357E-3</v>
      </c>
      <c r="S397" s="3">
        <f t="shared" si="134"/>
        <v>0.14304914491254725</v>
      </c>
      <c r="T397" s="4">
        <f t="shared" si="135"/>
        <v>1.4304914491254726E-4</v>
      </c>
      <c r="U397" s="3">
        <f t="shared" si="136"/>
        <v>0.51497692168517017</v>
      </c>
      <c r="V397" s="2">
        <v>6.42</v>
      </c>
      <c r="W397" s="2">
        <v>1.41</v>
      </c>
      <c r="X397" s="2">
        <f t="shared" si="137"/>
        <v>14100</v>
      </c>
      <c r="Y397" s="5">
        <v>-0.49</v>
      </c>
      <c r="Z397" s="5">
        <v>-1.84</v>
      </c>
      <c r="AA397" s="2">
        <f t="shared" si="138"/>
        <v>1.35</v>
      </c>
      <c r="AB397" s="3">
        <f t="shared" si="139"/>
        <v>0.38146438643345937</v>
      </c>
    </row>
    <row r="398" spans="1:28" x14ac:dyDescent="0.2">
      <c r="A398" t="s">
        <v>10</v>
      </c>
      <c r="B398">
        <v>666</v>
      </c>
      <c r="C398">
        <v>101</v>
      </c>
      <c r="D398">
        <v>3</v>
      </c>
      <c r="E398" t="s">
        <v>7</v>
      </c>
      <c r="F398" s="1">
        <v>45161</v>
      </c>
      <c r="G398" t="s">
        <v>8</v>
      </c>
      <c r="H398" s="2">
        <v>38.04</v>
      </c>
      <c r="I398" s="2">
        <v>34.43</v>
      </c>
      <c r="J398" s="2">
        <v>30.97</v>
      </c>
      <c r="K398" s="2">
        <f t="shared" si="140"/>
        <v>307.58</v>
      </c>
      <c r="L398" s="2">
        <v>2.41</v>
      </c>
      <c r="M398" s="2">
        <v>0.47</v>
      </c>
      <c r="N398" s="6">
        <f t="shared" ref="N398:N429" si="143">0.611*EXP((17.502*J398)/(240.97+J398))</f>
        <v>4.4842184840581858</v>
      </c>
      <c r="O398" s="6">
        <f t="shared" ref="O398:O429" si="144">(0.611*EXP((17.502*I398)/(240.97+I398)))*(H398/100)</f>
        <v>2.0727526113674455</v>
      </c>
      <c r="P398" s="6">
        <f t="shared" ref="P398:P429" si="145">101.325*EXP(-380/(29.27*K398))</f>
        <v>97.137198264355504</v>
      </c>
      <c r="Q398" s="6">
        <f t="shared" si="141"/>
        <v>10.036141714261079</v>
      </c>
      <c r="R398" s="10">
        <f t="shared" si="142"/>
        <v>1.0036141714261079E-2</v>
      </c>
      <c r="S398" s="3">
        <f t="shared" ref="S398:S429" si="146">R398*18</f>
        <v>0.18065055085669943</v>
      </c>
      <c r="T398" s="4">
        <f t="shared" ref="T398:T429" si="147">S398/1000</f>
        <v>1.8065055085669942E-4</v>
      </c>
      <c r="U398" s="3">
        <f t="shared" ref="U398:U429" si="148">T398*3600</f>
        <v>0.65034198308411795</v>
      </c>
      <c r="V398" s="2">
        <v>5.07</v>
      </c>
      <c r="W398" s="2">
        <v>1.03</v>
      </c>
      <c r="X398" s="2">
        <f t="shared" ref="X398:X429" si="149">W398*10000</f>
        <v>10300</v>
      </c>
      <c r="Y398" s="5">
        <v>-0.33</v>
      </c>
      <c r="Z398" s="5">
        <v>-1.7</v>
      </c>
      <c r="AA398" s="2">
        <f t="shared" ref="AA398:AA429" si="150">Y398-Z398</f>
        <v>1.3699999999999999</v>
      </c>
      <c r="AB398" s="3">
        <f t="shared" ref="AB398:AB429" si="151">U398/AA398</f>
        <v>0.47470217743366278</v>
      </c>
    </row>
    <row r="399" spans="1:28" x14ac:dyDescent="0.2">
      <c r="A399" t="s">
        <v>10</v>
      </c>
      <c r="B399">
        <v>666</v>
      </c>
      <c r="C399">
        <v>105</v>
      </c>
      <c r="D399">
        <v>7</v>
      </c>
      <c r="E399" t="s">
        <v>7</v>
      </c>
      <c r="F399" s="1">
        <v>45161</v>
      </c>
      <c r="G399" t="s">
        <v>8</v>
      </c>
      <c r="H399" s="2">
        <v>42.72</v>
      </c>
      <c r="I399" s="2">
        <v>32.99</v>
      </c>
      <c r="J399" s="2">
        <v>31.08</v>
      </c>
      <c r="K399" s="2">
        <f t="shared" si="140"/>
        <v>306.14</v>
      </c>
      <c r="L399" s="2">
        <v>2.37</v>
      </c>
      <c r="M399" s="2">
        <v>0.25</v>
      </c>
      <c r="N399" s="6">
        <f t="shared" si="143"/>
        <v>4.5124263789948946</v>
      </c>
      <c r="O399" s="6">
        <f t="shared" si="144"/>
        <v>2.1477326714267893</v>
      </c>
      <c r="P399" s="6">
        <f t="shared" si="145"/>
        <v>97.117914684647388</v>
      </c>
      <c r="Q399" s="6">
        <f t="shared" si="141"/>
        <v>5.515013337013027</v>
      </c>
      <c r="R399" s="10">
        <f t="shared" si="142"/>
        <v>5.5150133370130269E-3</v>
      </c>
      <c r="S399" s="3">
        <f t="shared" si="146"/>
        <v>9.9270240066234486E-2</v>
      </c>
      <c r="T399" s="4">
        <f t="shared" si="147"/>
        <v>9.9270240066234486E-5</v>
      </c>
      <c r="U399" s="3">
        <f t="shared" si="148"/>
        <v>0.35737286423844417</v>
      </c>
      <c r="V399" s="2">
        <v>3.34</v>
      </c>
      <c r="W399" s="2">
        <v>0.91</v>
      </c>
      <c r="X399" s="2">
        <f t="shared" si="149"/>
        <v>9100</v>
      </c>
      <c r="Y399" s="5">
        <v>-0.28999999999999998</v>
      </c>
      <c r="Z399" s="5">
        <v>-1.86</v>
      </c>
      <c r="AA399" s="2">
        <f t="shared" si="150"/>
        <v>1.57</v>
      </c>
      <c r="AB399" s="3">
        <f t="shared" si="151"/>
        <v>0.22762602817735297</v>
      </c>
    </row>
    <row r="400" spans="1:28" x14ac:dyDescent="0.2">
      <c r="A400" t="s">
        <v>10</v>
      </c>
      <c r="B400">
        <v>666</v>
      </c>
      <c r="C400">
        <v>105</v>
      </c>
      <c r="D400">
        <v>8</v>
      </c>
      <c r="E400" t="s">
        <v>7</v>
      </c>
      <c r="F400" s="1">
        <v>45161</v>
      </c>
      <c r="G400" t="s">
        <v>8</v>
      </c>
      <c r="H400" s="2">
        <v>43.56</v>
      </c>
      <c r="I400" s="2">
        <v>32.15</v>
      </c>
      <c r="J400" s="2">
        <v>30.24</v>
      </c>
      <c r="K400" s="2">
        <f t="shared" si="140"/>
        <v>305.29999999999995</v>
      </c>
      <c r="L400" s="2">
        <v>2.2200000000000002</v>
      </c>
      <c r="M400" s="2">
        <v>0.27</v>
      </c>
      <c r="N400" s="6">
        <f t="shared" si="143"/>
        <v>4.3008822045109367</v>
      </c>
      <c r="O400" s="6">
        <f t="shared" si="144"/>
        <v>2.0886922759400064</v>
      </c>
      <c r="P400" s="6">
        <f t="shared" si="145"/>
        <v>97.106583709410259</v>
      </c>
      <c r="Q400" s="6">
        <f t="shared" si="141"/>
        <v>5.7857889110716094</v>
      </c>
      <c r="R400" s="10">
        <f t="shared" si="142"/>
        <v>5.7857889110716097E-3</v>
      </c>
      <c r="S400" s="3">
        <f t="shared" si="146"/>
        <v>0.10414420039928897</v>
      </c>
      <c r="T400" s="4">
        <f t="shared" si="147"/>
        <v>1.0414420039928897E-4</v>
      </c>
      <c r="U400" s="3">
        <f t="shared" si="148"/>
        <v>0.37491912143744027</v>
      </c>
      <c r="V400" s="2">
        <v>2.64</v>
      </c>
      <c r="W400" s="2">
        <v>0.69</v>
      </c>
      <c r="X400" s="2">
        <f t="shared" si="149"/>
        <v>6899.9999999999991</v>
      </c>
      <c r="Y400" s="5">
        <v>-0.35</v>
      </c>
      <c r="Z400" s="5">
        <v>-1.96</v>
      </c>
      <c r="AA400" s="2">
        <f t="shared" si="150"/>
        <v>1.6099999999999999</v>
      </c>
      <c r="AB400" s="3">
        <f t="shared" si="151"/>
        <v>0.23286901952636044</v>
      </c>
    </row>
    <row r="401" spans="1:28" x14ac:dyDescent="0.2">
      <c r="A401" t="s">
        <v>10</v>
      </c>
      <c r="B401">
        <v>666</v>
      </c>
      <c r="C401">
        <v>105</v>
      </c>
      <c r="D401">
        <v>9</v>
      </c>
      <c r="E401" t="s">
        <v>7</v>
      </c>
      <c r="F401" s="1">
        <v>45162</v>
      </c>
      <c r="G401" t="s">
        <v>8</v>
      </c>
      <c r="H401" s="2">
        <v>34.049999999999997</v>
      </c>
      <c r="I401" s="2">
        <v>34.369999999999997</v>
      </c>
      <c r="J401" s="2">
        <v>32.549999999999997</v>
      </c>
      <c r="K401" s="2">
        <f t="shared" si="140"/>
        <v>307.52</v>
      </c>
      <c r="L401" s="2">
        <v>3.06</v>
      </c>
      <c r="M401" s="2">
        <v>0.13</v>
      </c>
      <c r="N401" s="6">
        <f t="shared" si="143"/>
        <v>4.9044911509971421</v>
      </c>
      <c r="O401" s="6">
        <f t="shared" si="144"/>
        <v>1.8491613039338486</v>
      </c>
      <c r="P401" s="6">
        <f t="shared" si="145"/>
        <v>97.136398311393819</v>
      </c>
      <c r="Q401" s="6">
        <f t="shared" si="141"/>
        <v>2.4685272853224838</v>
      </c>
      <c r="R401" s="10">
        <f t="shared" si="142"/>
        <v>2.4685272853224838E-3</v>
      </c>
      <c r="S401" s="3">
        <f t="shared" si="146"/>
        <v>4.4433491135804706E-2</v>
      </c>
      <c r="T401" s="4">
        <f t="shared" si="147"/>
        <v>4.4433491135804707E-5</v>
      </c>
      <c r="U401" s="3">
        <f t="shared" si="148"/>
        <v>0.15996056808889694</v>
      </c>
      <c r="V401" s="2">
        <v>5.01</v>
      </c>
      <c r="W401" s="2">
        <v>1.0900000000000001</v>
      </c>
      <c r="X401" s="2">
        <f t="shared" si="149"/>
        <v>10900</v>
      </c>
      <c r="Y401" s="5">
        <v>-0.38</v>
      </c>
      <c r="Z401" s="5">
        <v>-1.94</v>
      </c>
      <c r="AA401" s="2">
        <f t="shared" si="150"/>
        <v>1.56</v>
      </c>
      <c r="AB401" s="3">
        <f t="shared" si="151"/>
        <v>0.10253882569801086</v>
      </c>
    </row>
    <row r="402" spans="1:28" x14ac:dyDescent="0.2">
      <c r="A402" t="s">
        <v>10</v>
      </c>
      <c r="B402">
        <v>666</v>
      </c>
      <c r="C402">
        <v>118</v>
      </c>
      <c r="D402">
        <v>10</v>
      </c>
      <c r="E402" t="s">
        <v>7</v>
      </c>
      <c r="F402" s="1">
        <v>45162</v>
      </c>
      <c r="G402" t="s">
        <v>8</v>
      </c>
      <c r="H402" s="2">
        <v>33.409999999999997</v>
      </c>
      <c r="I402" s="2">
        <v>34.590000000000003</v>
      </c>
      <c r="J402" s="2">
        <v>30.99</v>
      </c>
      <c r="K402" s="2">
        <f t="shared" si="140"/>
        <v>307.74</v>
      </c>
      <c r="L402" s="2">
        <v>2.66</v>
      </c>
      <c r="M402" s="2">
        <v>0.18</v>
      </c>
      <c r="N402" s="6">
        <f t="shared" si="143"/>
        <v>4.4893357380767567</v>
      </c>
      <c r="O402" s="6">
        <f t="shared" si="144"/>
        <v>1.8367290947529731</v>
      </c>
      <c r="P402" s="6">
        <f t="shared" si="145"/>
        <v>97.139329979413901</v>
      </c>
      <c r="Q402" s="6">
        <f t="shared" si="141"/>
        <v>3.3897745941175255</v>
      </c>
      <c r="R402" s="10">
        <f t="shared" si="142"/>
        <v>3.3897745941175255E-3</v>
      </c>
      <c r="S402" s="3">
        <f t="shared" si="146"/>
        <v>6.1015942694115456E-2</v>
      </c>
      <c r="T402" s="4">
        <f t="shared" si="147"/>
        <v>6.1015942694115455E-5</v>
      </c>
      <c r="U402" s="3">
        <f t="shared" si="148"/>
        <v>0.21965739369881562</v>
      </c>
      <c r="V402" s="2">
        <v>3.56</v>
      </c>
      <c r="W402" s="6">
        <v>1</v>
      </c>
      <c r="X402" s="2">
        <f t="shared" si="149"/>
        <v>10000</v>
      </c>
      <c r="Y402" s="5">
        <v>-0.35</v>
      </c>
      <c r="Z402" s="5">
        <v>-1.79</v>
      </c>
      <c r="AA402" s="2">
        <f t="shared" si="150"/>
        <v>1.44</v>
      </c>
      <c r="AB402" s="3">
        <f t="shared" si="151"/>
        <v>0.15253985673528864</v>
      </c>
    </row>
    <row r="403" spans="1:28" x14ac:dyDescent="0.2">
      <c r="A403" t="s">
        <v>10</v>
      </c>
      <c r="B403">
        <v>666</v>
      </c>
      <c r="C403">
        <v>118</v>
      </c>
      <c r="D403">
        <v>11</v>
      </c>
      <c r="E403" t="s">
        <v>7</v>
      </c>
      <c r="F403" s="1">
        <v>45162</v>
      </c>
      <c r="G403" t="s">
        <v>8</v>
      </c>
      <c r="H403" s="2">
        <v>34.020000000000003</v>
      </c>
      <c r="I403" s="2">
        <v>33.86</v>
      </c>
      <c r="J403" s="2">
        <v>31.35</v>
      </c>
      <c r="K403" s="2">
        <f t="shared" si="140"/>
        <v>307.01</v>
      </c>
      <c r="L403" s="2">
        <v>2.79</v>
      </c>
      <c r="M403" s="2">
        <v>0.13</v>
      </c>
      <c r="N403" s="6">
        <f t="shared" si="143"/>
        <v>4.582320106850621</v>
      </c>
      <c r="O403" s="6">
        <f t="shared" si="144"/>
        <v>1.7957568884242339</v>
      </c>
      <c r="P403" s="6">
        <f t="shared" si="145"/>
        <v>97.129586353881251</v>
      </c>
      <c r="Q403" s="6">
        <f t="shared" si="141"/>
        <v>2.3988737380355381</v>
      </c>
      <c r="R403" s="10">
        <f t="shared" si="142"/>
        <v>2.3988737380355382E-3</v>
      </c>
      <c r="S403" s="3">
        <f t="shared" si="146"/>
        <v>4.3179727284639688E-2</v>
      </c>
      <c r="T403" s="4">
        <f t="shared" si="147"/>
        <v>4.3179727284639686E-5</v>
      </c>
      <c r="U403" s="3">
        <f t="shared" si="148"/>
        <v>0.15544701822470286</v>
      </c>
      <c r="V403" s="2">
        <v>3.32</v>
      </c>
      <c r="W403" s="2">
        <v>0.91</v>
      </c>
      <c r="X403" s="2">
        <f t="shared" si="149"/>
        <v>9100</v>
      </c>
      <c r="Y403" s="5">
        <v>-0.37</v>
      </c>
      <c r="Z403" s="5">
        <v>-1.64</v>
      </c>
      <c r="AA403" s="2">
        <f t="shared" si="150"/>
        <v>1.27</v>
      </c>
      <c r="AB403" s="3">
        <f t="shared" si="151"/>
        <v>0.12239922694858493</v>
      </c>
    </row>
    <row r="404" spans="1:28" x14ac:dyDescent="0.2">
      <c r="A404" t="s">
        <v>10</v>
      </c>
      <c r="B404">
        <v>666</v>
      </c>
      <c r="C404">
        <v>118</v>
      </c>
      <c r="D404">
        <v>12</v>
      </c>
      <c r="E404" t="s">
        <v>7</v>
      </c>
      <c r="F404" s="1">
        <v>45161</v>
      </c>
      <c r="G404" t="s">
        <v>8</v>
      </c>
      <c r="H404" s="2">
        <v>41.91</v>
      </c>
      <c r="I404" s="2">
        <v>33.76</v>
      </c>
      <c r="J404" s="2">
        <v>31.84</v>
      </c>
      <c r="K404" s="2">
        <f t="shared" si="140"/>
        <v>306.90999999999997</v>
      </c>
      <c r="L404" s="2">
        <v>2.5099999999999998</v>
      </c>
      <c r="M404" s="2">
        <v>0.25</v>
      </c>
      <c r="N404" s="6">
        <f t="shared" si="143"/>
        <v>4.7115749060274554</v>
      </c>
      <c r="O404" s="6">
        <f t="shared" si="144"/>
        <v>2.199910629403937</v>
      </c>
      <c r="P404" s="6">
        <f t="shared" si="145"/>
        <v>97.1282480773543</v>
      </c>
      <c r="Q404" s="6">
        <f t="shared" si="141"/>
        <v>5.6666699688490478</v>
      </c>
      <c r="R404" s="10">
        <f t="shared" si="142"/>
        <v>5.6666699688490479E-3</v>
      </c>
      <c r="S404" s="3">
        <f t="shared" si="146"/>
        <v>0.10200005943928286</v>
      </c>
      <c r="T404" s="4">
        <f t="shared" si="147"/>
        <v>1.0200005943928287E-4</v>
      </c>
      <c r="U404" s="3">
        <f t="shared" si="148"/>
        <v>0.36720021398141833</v>
      </c>
      <c r="V404" s="2">
        <v>1.61</v>
      </c>
      <c r="W404" s="2">
        <v>0.5</v>
      </c>
      <c r="X404" s="2">
        <f t="shared" si="149"/>
        <v>5000</v>
      </c>
      <c r="Y404" s="5">
        <v>-0.32</v>
      </c>
      <c r="Z404" s="5">
        <v>-1.91</v>
      </c>
      <c r="AA404" s="2">
        <f t="shared" si="150"/>
        <v>1.5899999999999999</v>
      </c>
      <c r="AB404" s="3">
        <f t="shared" si="151"/>
        <v>0.2309435308059235</v>
      </c>
    </row>
    <row r="405" spans="1:28" x14ac:dyDescent="0.2">
      <c r="A405" t="s">
        <v>10</v>
      </c>
      <c r="B405">
        <v>666</v>
      </c>
      <c r="C405">
        <v>122</v>
      </c>
      <c r="D405">
        <v>16</v>
      </c>
      <c r="E405" t="s">
        <v>7</v>
      </c>
      <c r="F405" s="1">
        <v>45162</v>
      </c>
      <c r="G405" t="s">
        <v>8</v>
      </c>
      <c r="H405" s="2">
        <v>33.75</v>
      </c>
      <c r="I405" s="2">
        <v>33.96</v>
      </c>
      <c r="J405" s="2">
        <v>30.34</v>
      </c>
      <c r="K405" s="2">
        <f t="shared" si="140"/>
        <v>307.10999999999996</v>
      </c>
      <c r="L405" s="2">
        <v>2.54</v>
      </c>
      <c r="M405" s="2">
        <v>0.16</v>
      </c>
      <c r="N405" s="6">
        <f t="shared" si="143"/>
        <v>4.3256041081927128</v>
      </c>
      <c r="O405" s="6">
        <f t="shared" si="144"/>
        <v>1.7914764302459827</v>
      </c>
      <c r="P405" s="6">
        <f t="shared" si="145"/>
        <v>97.130923777300438</v>
      </c>
      <c r="Q405" s="6">
        <f t="shared" si="141"/>
        <v>2.9413563281439887</v>
      </c>
      <c r="R405" s="10">
        <f t="shared" si="142"/>
        <v>2.9413563281439885E-3</v>
      </c>
      <c r="S405" s="3">
        <f t="shared" si="146"/>
        <v>5.2944413906591797E-2</v>
      </c>
      <c r="T405" s="4">
        <f t="shared" si="147"/>
        <v>5.2944413906591794E-5</v>
      </c>
      <c r="U405" s="3">
        <f t="shared" si="148"/>
        <v>0.19059989006373046</v>
      </c>
      <c r="V405" s="2">
        <v>7.05</v>
      </c>
      <c r="W405" s="2">
        <v>2.21</v>
      </c>
      <c r="X405" s="2">
        <f t="shared" si="149"/>
        <v>22100</v>
      </c>
      <c r="Y405" s="5">
        <v>-0.31</v>
      </c>
      <c r="Z405" s="5">
        <v>-1.54</v>
      </c>
      <c r="AA405" s="2">
        <f t="shared" si="150"/>
        <v>1.23</v>
      </c>
      <c r="AB405" s="3">
        <f t="shared" si="151"/>
        <v>0.154959260214415</v>
      </c>
    </row>
    <row r="406" spans="1:28" x14ac:dyDescent="0.2">
      <c r="A406" t="s">
        <v>10</v>
      </c>
      <c r="B406">
        <v>666</v>
      </c>
      <c r="C406">
        <v>122</v>
      </c>
      <c r="D406">
        <v>17</v>
      </c>
      <c r="E406" t="s">
        <v>7</v>
      </c>
      <c r="F406" s="1">
        <v>45162</v>
      </c>
      <c r="G406" t="s">
        <v>8</v>
      </c>
      <c r="H406" s="2">
        <v>33.57</v>
      </c>
      <c r="I406" s="2">
        <v>34.61</v>
      </c>
      <c r="J406" s="2">
        <v>30.42</v>
      </c>
      <c r="K406" s="2">
        <f t="shared" si="140"/>
        <v>307.76</v>
      </c>
      <c r="L406" s="2">
        <v>2.5</v>
      </c>
      <c r="M406" s="2">
        <v>0.19</v>
      </c>
      <c r="N406" s="6">
        <f t="shared" si="143"/>
        <v>4.3454706913190408</v>
      </c>
      <c r="O406" s="6">
        <f t="shared" si="144"/>
        <v>1.8475762215885032</v>
      </c>
      <c r="P406" s="6">
        <f t="shared" si="145"/>
        <v>97.139596291235975</v>
      </c>
      <c r="Q406" s="6">
        <f t="shared" si="141"/>
        <v>3.6096447250960297</v>
      </c>
      <c r="R406" s="10">
        <f t="shared" si="142"/>
        <v>3.6096447250960296E-3</v>
      </c>
      <c r="S406" s="3">
        <f t="shared" si="146"/>
        <v>6.4973605051728528E-2</v>
      </c>
      <c r="T406" s="4">
        <f t="shared" si="147"/>
        <v>6.497360505172853E-5</v>
      </c>
      <c r="U406" s="3">
        <f t="shared" si="148"/>
        <v>0.23390497818622272</v>
      </c>
      <c r="V406" s="2">
        <v>4.82</v>
      </c>
      <c r="W406" s="2">
        <v>1.19</v>
      </c>
      <c r="X406" s="2">
        <f t="shared" si="149"/>
        <v>11900</v>
      </c>
      <c r="Y406" s="5">
        <v>-0.34</v>
      </c>
      <c r="Z406" s="5">
        <v>-1.66</v>
      </c>
      <c r="AA406" s="2">
        <f t="shared" si="150"/>
        <v>1.3199999999999998</v>
      </c>
      <c r="AB406" s="3">
        <f t="shared" si="151"/>
        <v>0.17720074105016875</v>
      </c>
    </row>
    <row r="407" spans="1:28" x14ac:dyDescent="0.2">
      <c r="A407" t="s">
        <v>10</v>
      </c>
      <c r="B407">
        <v>666</v>
      </c>
      <c r="C407">
        <v>122</v>
      </c>
      <c r="D407">
        <v>18</v>
      </c>
      <c r="E407" t="s">
        <v>7</v>
      </c>
      <c r="F407" s="1">
        <v>45161</v>
      </c>
      <c r="G407" t="s">
        <v>8</v>
      </c>
      <c r="H407" s="2">
        <v>38.25</v>
      </c>
      <c r="I407" s="2">
        <v>34.99</v>
      </c>
      <c r="J407" s="2">
        <v>32.69</v>
      </c>
      <c r="K407" s="2">
        <f t="shared" si="140"/>
        <v>308.14</v>
      </c>
      <c r="L407" s="2">
        <v>2.8</v>
      </c>
      <c r="M407" s="2">
        <v>0.21</v>
      </c>
      <c r="N407" s="6">
        <f t="shared" si="143"/>
        <v>4.943331781033641</v>
      </c>
      <c r="O407" s="6">
        <f t="shared" si="144"/>
        <v>2.1499811203138584</v>
      </c>
      <c r="P407" s="6">
        <f t="shared" si="145"/>
        <v>97.144649785881867</v>
      </c>
      <c r="Q407" s="6">
        <f t="shared" si="141"/>
        <v>4.6332934959273286</v>
      </c>
      <c r="R407" s="10">
        <f t="shared" si="142"/>
        <v>4.6332934959273289E-3</v>
      </c>
      <c r="S407" s="3">
        <f t="shared" si="146"/>
        <v>8.3399282926691923E-2</v>
      </c>
      <c r="T407" s="4">
        <f t="shared" si="147"/>
        <v>8.3399282926691927E-5</v>
      </c>
      <c r="U407" s="3">
        <f t="shared" si="148"/>
        <v>0.30023741853609093</v>
      </c>
      <c r="V407" s="2">
        <v>7.37</v>
      </c>
      <c r="W407" s="2">
        <v>1.96</v>
      </c>
      <c r="X407" s="2">
        <f t="shared" si="149"/>
        <v>19600</v>
      </c>
      <c r="Y407" s="5">
        <v>-0.25</v>
      </c>
      <c r="Z407" s="5">
        <v>-2.12</v>
      </c>
      <c r="AA407" s="2">
        <f t="shared" si="150"/>
        <v>1.87</v>
      </c>
      <c r="AB407" s="3">
        <f t="shared" si="151"/>
        <v>0.16055476927063686</v>
      </c>
    </row>
    <row r="408" spans="1:28" x14ac:dyDescent="0.2">
      <c r="A408" t="s">
        <v>10</v>
      </c>
      <c r="B408">
        <v>666</v>
      </c>
      <c r="C408">
        <v>123</v>
      </c>
      <c r="D408">
        <v>19</v>
      </c>
      <c r="E408" t="s">
        <v>7</v>
      </c>
      <c r="F408" s="1">
        <v>45161</v>
      </c>
      <c r="G408" t="s">
        <v>8</v>
      </c>
      <c r="H408" s="2">
        <v>49.06</v>
      </c>
      <c r="I408" s="2">
        <v>29.67</v>
      </c>
      <c r="J408" s="2">
        <v>27.44</v>
      </c>
      <c r="K408" s="2">
        <f t="shared" si="140"/>
        <v>302.82</v>
      </c>
      <c r="L408" s="2">
        <v>1.62</v>
      </c>
      <c r="M408" s="2">
        <v>0.38</v>
      </c>
      <c r="N408" s="6">
        <f t="shared" si="143"/>
        <v>3.6568429843415595</v>
      </c>
      <c r="O408" s="6">
        <f t="shared" si="144"/>
        <v>2.0420266532280351</v>
      </c>
      <c r="P408" s="6">
        <f t="shared" si="145"/>
        <v>97.072771445499995</v>
      </c>
      <c r="Q408" s="6">
        <f t="shared" si="141"/>
        <v>7.9734030719864952</v>
      </c>
      <c r="R408" s="10">
        <f t="shared" si="142"/>
        <v>7.9734030719864953E-3</v>
      </c>
      <c r="S408" s="3">
        <f t="shared" si="146"/>
        <v>0.14352125529575691</v>
      </c>
      <c r="T408" s="4">
        <f t="shared" si="147"/>
        <v>1.4352125529575692E-4</v>
      </c>
      <c r="U408" s="3">
        <f t="shared" si="148"/>
        <v>0.51667651906472489</v>
      </c>
      <c r="V408" s="2">
        <v>6.06</v>
      </c>
      <c r="W408" s="2">
        <v>1.55</v>
      </c>
      <c r="X408" s="2">
        <f t="shared" si="149"/>
        <v>15500</v>
      </c>
      <c r="Y408" s="5">
        <v>-0.38</v>
      </c>
      <c r="Z408" s="5">
        <v>-2.2599999999999998</v>
      </c>
      <c r="AA408" s="2">
        <f t="shared" si="150"/>
        <v>1.88</v>
      </c>
      <c r="AB408" s="3">
        <f t="shared" si="151"/>
        <v>0.27482793567272601</v>
      </c>
    </row>
    <row r="409" spans="1:28" x14ac:dyDescent="0.2">
      <c r="A409" t="s">
        <v>10</v>
      </c>
      <c r="B409">
        <v>666</v>
      </c>
      <c r="C409">
        <v>123</v>
      </c>
      <c r="D409">
        <v>20</v>
      </c>
      <c r="E409" t="s">
        <v>7</v>
      </c>
      <c r="F409" s="1">
        <v>45161</v>
      </c>
      <c r="G409" t="s">
        <v>8</v>
      </c>
      <c r="H409" s="2">
        <v>46.16</v>
      </c>
      <c r="I409" s="2">
        <v>30.44</v>
      </c>
      <c r="J409" s="2">
        <v>28.1</v>
      </c>
      <c r="K409" s="2">
        <f t="shared" si="140"/>
        <v>303.58999999999997</v>
      </c>
      <c r="L409" s="2">
        <v>1.79</v>
      </c>
      <c r="M409" s="2">
        <v>0.37</v>
      </c>
      <c r="N409" s="6">
        <f t="shared" si="143"/>
        <v>3.8005351314400295</v>
      </c>
      <c r="O409" s="6">
        <f t="shared" si="144"/>
        <v>2.0081676005581621</v>
      </c>
      <c r="P409" s="6">
        <f t="shared" si="145"/>
        <v>97.083327475683106</v>
      </c>
      <c r="Q409" s="6">
        <f t="shared" si="141"/>
        <v>7.6624691177703852</v>
      </c>
      <c r="R409" s="10">
        <f t="shared" si="142"/>
        <v>7.6624691177703853E-3</v>
      </c>
      <c r="S409" s="3">
        <f t="shared" si="146"/>
        <v>0.13792444411986693</v>
      </c>
      <c r="T409" s="4">
        <f t="shared" si="147"/>
        <v>1.3792444411986693E-4</v>
      </c>
      <c r="U409" s="3">
        <f t="shared" si="148"/>
        <v>0.49652799883152093</v>
      </c>
      <c r="V409" s="2">
        <v>5.82</v>
      </c>
      <c r="W409" s="2">
        <v>2.02</v>
      </c>
      <c r="X409" s="2">
        <f t="shared" si="149"/>
        <v>20200</v>
      </c>
      <c r="Y409" s="5">
        <v>-0.71</v>
      </c>
      <c r="Z409" s="5">
        <v>-2.2400000000000002</v>
      </c>
      <c r="AA409" s="2">
        <f t="shared" si="150"/>
        <v>1.5300000000000002</v>
      </c>
      <c r="AB409" s="3">
        <f t="shared" si="151"/>
        <v>0.32452810381145153</v>
      </c>
    </row>
    <row r="410" spans="1:28" x14ac:dyDescent="0.2">
      <c r="A410" t="s">
        <v>10</v>
      </c>
      <c r="B410">
        <v>666</v>
      </c>
      <c r="C410">
        <v>123</v>
      </c>
      <c r="D410">
        <v>22</v>
      </c>
      <c r="E410" t="s">
        <v>7</v>
      </c>
      <c r="F410" s="1">
        <v>45161</v>
      </c>
      <c r="G410" t="s">
        <v>8</v>
      </c>
      <c r="H410" s="2">
        <v>39.51</v>
      </c>
      <c r="I410" s="2">
        <v>35.18</v>
      </c>
      <c r="J410" s="2">
        <v>31.78</v>
      </c>
      <c r="K410" s="2">
        <f t="shared" si="140"/>
        <v>308.33</v>
      </c>
      <c r="L410" s="2">
        <v>2.4500000000000002</v>
      </c>
      <c r="M410" s="2">
        <v>0.41</v>
      </c>
      <c r="N410" s="6">
        <f t="shared" si="143"/>
        <v>4.695579152453595</v>
      </c>
      <c r="O410" s="6">
        <f t="shared" si="144"/>
        <v>2.2442791917917675</v>
      </c>
      <c r="P410" s="6">
        <f t="shared" si="145"/>
        <v>97.14717196042929</v>
      </c>
      <c r="Q410" s="6">
        <f t="shared" si="141"/>
        <v>9.4772439992488415</v>
      </c>
      <c r="R410" s="10">
        <f t="shared" si="142"/>
        <v>9.4772439992488414E-3</v>
      </c>
      <c r="S410" s="3">
        <f t="shared" si="146"/>
        <v>0.17059039198647916</v>
      </c>
      <c r="T410" s="4">
        <f t="shared" si="147"/>
        <v>1.7059039198647917E-4</v>
      </c>
      <c r="U410" s="3">
        <f t="shared" si="148"/>
        <v>0.61412541115132502</v>
      </c>
      <c r="V410" s="2">
        <v>4.78</v>
      </c>
      <c r="W410" s="2">
        <v>1.58</v>
      </c>
      <c r="X410" s="2">
        <f t="shared" si="149"/>
        <v>15800</v>
      </c>
      <c r="Y410" s="5">
        <v>-0.34</v>
      </c>
      <c r="Z410" s="5">
        <v>-2.31</v>
      </c>
      <c r="AA410" s="2">
        <f t="shared" si="150"/>
        <v>1.97</v>
      </c>
      <c r="AB410" s="3">
        <f t="shared" si="151"/>
        <v>0.31173878738645938</v>
      </c>
    </row>
    <row r="411" spans="1:28" x14ac:dyDescent="0.2">
      <c r="A411" t="s">
        <v>11</v>
      </c>
      <c r="B411">
        <v>1212</v>
      </c>
      <c r="C411">
        <v>3</v>
      </c>
      <c r="D411">
        <v>29</v>
      </c>
      <c r="E411" t="s">
        <v>7</v>
      </c>
      <c r="F411" s="1">
        <v>45161</v>
      </c>
      <c r="G411" t="s">
        <v>8</v>
      </c>
      <c r="H411" s="2">
        <v>39.39</v>
      </c>
      <c r="I411" s="2">
        <v>33.950000000000003</v>
      </c>
      <c r="J411" s="2">
        <v>32.43</v>
      </c>
      <c r="K411" s="2">
        <f t="shared" si="140"/>
        <v>307.09999999999997</v>
      </c>
      <c r="L411" s="2">
        <v>2.79</v>
      </c>
      <c r="M411" s="2">
        <v>0.14000000000000001</v>
      </c>
      <c r="N411" s="6">
        <f t="shared" si="143"/>
        <v>4.8714108470651478</v>
      </c>
      <c r="O411" s="6">
        <f t="shared" si="144"/>
        <v>2.0896857092819539</v>
      </c>
      <c r="P411" s="6">
        <f t="shared" si="145"/>
        <v>97.13079007332513</v>
      </c>
      <c r="Q411" s="6">
        <f t="shared" si="141"/>
        <v>3.0000530045018827</v>
      </c>
      <c r="R411" s="10">
        <f t="shared" si="142"/>
        <v>3.0000530045018827E-3</v>
      </c>
      <c r="S411" s="3">
        <f t="shared" si="146"/>
        <v>5.4000954081033892E-2</v>
      </c>
      <c r="T411" s="4">
        <f t="shared" si="147"/>
        <v>5.4000954081033895E-5</v>
      </c>
      <c r="U411" s="3">
        <f t="shared" si="148"/>
        <v>0.19440343469172203</v>
      </c>
      <c r="V411" s="2">
        <v>8.68</v>
      </c>
      <c r="W411" s="2">
        <v>2.3199999999999998</v>
      </c>
      <c r="X411" s="2">
        <f t="shared" si="149"/>
        <v>23200</v>
      </c>
      <c r="Y411" s="5">
        <v>-0.43</v>
      </c>
      <c r="Z411" s="5">
        <v>-1.62</v>
      </c>
      <c r="AA411" s="2">
        <f t="shared" si="150"/>
        <v>1.1900000000000002</v>
      </c>
      <c r="AB411" s="3">
        <f t="shared" si="151"/>
        <v>0.16336423083337984</v>
      </c>
    </row>
    <row r="412" spans="1:28" x14ac:dyDescent="0.2">
      <c r="A412" t="s">
        <v>11</v>
      </c>
      <c r="B412">
        <v>1212</v>
      </c>
      <c r="C412">
        <v>3</v>
      </c>
      <c r="D412">
        <v>30</v>
      </c>
      <c r="E412" t="s">
        <v>7</v>
      </c>
      <c r="F412" s="1">
        <v>45161</v>
      </c>
      <c r="G412" t="s">
        <v>8</v>
      </c>
      <c r="H412" s="2">
        <v>37.82</v>
      </c>
      <c r="I412" s="2">
        <v>35.36</v>
      </c>
      <c r="J412" s="2">
        <v>33.590000000000003</v>
      </c>
      <c r="K412" s="2">
        <f t="shared" si="140"/>
        <v>308.51</v>
      </c>
      <c r="L412" s="2">
        <v>3.03</v>
      </c>
      <c r="M412" s="2">
        <v>0.28999999999999998</v>
      </c>
      <c r="N412" s="6">
        <f t="shared" si="143"/>
        <v>5.1994735014955991</v>
      </c>
      <c r="O412" s="6">
        <f t="shared" si="144"/>
        <v>2.1697609134213978</v>
      </c>
      <c r="P412" s="6">
        <f t="shared" si="145"/>
        <v>97.149558583572343</v>
      </c>
      <c r="Q412" s="6">
        <f t="shared" si="141"/>
        <v>6.4760697280214954</v>
      </c>
      <c r="R412" s="10">
        <f t="shared" si="142"/>
        <v>6.4760697280214956E-3</v>
      </c>
      <c r="S412" s="3">
        <f t="shared" si="146"/>
        <v>0.11656925510438693</v>
      </c>
      <c r="T412" s="4">
        <f t="shared" si="147"/>
        <v>1.1656925510438693E-4</v>
      </c>
      <c r="U412" s="3">
        <f t="shared" si="148"/>
        <v>0.41964931837579295</v>
      </c>
      <c r="V412" s="6">
        <v>7</v>
      </c>
      <c r="W412" s="2">
        <v>2.4300000000000002</v>
      </c>
      <c r="X412" s="2">
        <f t="shared" si="149"/>
        <v>24300</v>
      </c>
      <c r="Y412" s="5">
        <v>-0.44</v>
      </c>
      <c r="Z412" s="5">
        <v>-1.83</v>
      </c>
      <c r="AA412" s="2">
        <f t="shared" si="150"/>
        <v>1.3900000000000001</v>
      </c>
      <c r="AB412" s="3">
        <f t="shared" si="151"/>
        <v>0.30190598444301647</v>
      </c>
    </row>
    <row r="413" spans="1:28" x14ac:dyDescent="0.2">
      <c r="A413" t="s">
        <v>11</v>
      </c>
      <c r="B413">
        <v>1212</v>
      </c>
      <c r="C413">
        <v>3</v>
      </c>
      <c r="D413">
        <v>31</v>
      </c>
      <c r="E413" t="s">
        <v>7</v>
      </c>
      <c r="F413" s="1">
        <v>45162</v>
      </c>
      <c r="G413" t="s">
        <v>8</v>
      </c>
      <c r="H413" s="2">
        <v>34.08</v>
      </c>
      <c r="I413" s="2">
        <v>33.97</v>
      </c>
      <c r="J413" s="2">
        <v>31.13</v>
      </c>
      <c r="K413" s="2">
        <f t="shared" si="140"/>
        <v>307.12</v>
      </c>
      <c r="L413" s="2">
        <v>2.72</v>
      </c>
      <c r="M413" s="2">
        <v>0.15</v>
      </c>
      <c r="N413" s="6">
        <f t="shared" si="143"/>
        <v>4.5252991560672884</v>
      </c>
      <c r="O413" s="6">
        <f t="shared" si="144"/>
        <v>1.8100026871038239</v>
      </c>
      <c r="P413" s="6">
        <f t="shared" si="145"/>
        <v>97.131057472752843</v>
      </c>
      <c r="Q413" s="6">
        <f t="shared" si="141"/>
        <v>2.7879329274887845</v>
      </c>
      <c r="R413" s="10">
        <f t="shared" si="142"/>
        <v>2.7879329274887845E-3</v>
      </c>
      <c r="S413" s="3">
        <f t="shared" si="146"/>
        <v>5.0182792694798119E-2</v>
      </c>
      <c r="T413" s="4">
        <f t="shared" si="147"/>
        <v>5.0182792694798116E-5</v>
      </c>
      <c r="U413" s="3">
        <f t="shared" si="148"/>
        <v>0.18065805370127322</v>
      </c>
      <c r="V413" s="2">
        <v>6.14</v>
      </c>
      <c r="W413" s="2">
        <v>1.8</v>
      </c>
      <c r="X413" s="2">
        <f t="shared" si="149"/>
        <v>18000</v>
      </c>
      <c r="Y413" s="5">
        <v>-0.41</v>
      </c>
      <c r="Z413" s="5">
        <v>-1.81</v>
      </c>
      <c r="AA413" s="2">
        <f t="shared" si="150"/>
        <v>1.4000000000000001</v>
      </c>
      <c r="AB413" s="3">
        <f t="shared" si="151"/>
        <v>0.12904146692948085</v>
      </c>
    </row>
    <row r="414" spans="1:28" x14ac:dyDescent="0.2">
      <c r="A414" t="s">
        <v>11</v>
      </c>
      <c r="B414">
        <v>1212</v>
      </c>
      <c r="C414">
        <v>4</v>
      </c>
      <c r="D414">
        <v>32</v>
      </c>
      <c r="E414" t="s">
        <v>7</v>
      </c>
      <c r="F414" s="1">
        <v>45161</v>
      </c>
      <c r="G414" t="s">
        <v>8</v>
      </c>
      <c r="H414" s="2">
        <v>38.81</v>
      </c>
      <c r="I414" s="2">
        <v>34.08</v>
      </c>
      <c r="J414" s="2">
        <v>32.130000000000003</v>
      </c>
      <c r="K414" s="2">
        <f t="shared" si="140"/>
        <v>307.22999999999996</v>
      </c>
      <c r="L414" s="2">
        <v>2.72</v>
      </c>
      <c r="M414" s="2">
        <v>0.2</v>
      </c>
      <c r="N414" s="6">
        <f t="shared" si="143"/>
        <v>4.7895583353606694</v>
      </c>
      <c r="O414" s="6">
        <f t="shared" si="144"/>
        <v>2.0738987282689201</v>
      </c>
      <c r="P414" s="6">
        <f t="shared" si="145"/>
        <v>97.132527560449219</v>
      </c>
      <c r="Q414" s="6">
        <f t="shared" si="141"/>
        <v>4.2613085180403765</v>
      </c>
      <c r="R414" s="10">
        <f t="shared" si="142"/>
        <v>4.2613085180403763E-3</v>
      </c>
      <c r="S414" s="3">
        <f t="shared" si="146"/>
        <v>7.6703553324726781E-2</v>
      </c>
      <c r="T414" s="4">
        <f t="shared" si="147"/>
        <v>7.6703553324726777E-5</v>
      </c>
      <c r="U414" s="3">
        <f t="shared" si="148"/>
        <v>0.27613279196901641</v>
      </c>
      <c r="V414" s="2">
        <v>6.68</v>
      </c>
      <c r="W414" s="2">
        <v>1.44</v>
      </c>
      <c r="X414" s="2">
        <f t="shared" si="149"/>
        <v>14400</v>
      </c>
      <c r="Y414" s="5">
        <v>-0.36</v>
      </c>
      <c r="Z414" s="5">
        <v>-1.68</v>
      </c>
      <c r="AA414" s="2">
        <f t="shared" si="150"/>
        <v>1.3199999999999998</v>
      </c>
      <c r="AB414" s="3">
        <f t="shared" si="151"/>
        <v>0.20919150906743669</v>
      </c>
    </row>
    <row r="415" spans="1:28" x14ac:dyDescent="0.2">
      <c r="A415" t="s">
        <v>11</v>
      </c>
      <c r="B415">
        <v>1212</v>
      </c>
      <c r="C415">
        <v>4</v>
      </c>
      <c r="D415">
        <v>33</v>
      </c>
      <c r="E415" t="s">
        <v>7</v>
      </c>
      <c r="F415" s="1">
        <v>45162</v>
      </c>
      <c r="G415" t="s">
        <v>8</v>
      </c>
      <c r="H415" s="2">
        <v>33.200000000000003</v>
      </c>
      <c r="I415" s="2">
        <v>34.51</v>
      </c>
      <c r="J415" s="2">
        <v>30.14</v>
      </c>
      <c r="K415" s="2">
        <f t="shared" si="140"/>
        <v>307.65999999999997</v>
      </c>
      <c r="L415" s="2">
        <v>2.46</v>
      </c>
      <c r="M415" s="2">
        <v>0.21</v>
      </c>
      <c r="N415" s="6">
        <f t="shared" si="143"/>
        <v>4.2762835113023279</v>
      </c>
      <c r="O415" s="6">
        <f t="shared" si="144"/>
        <v>1.817090009910755</v>
      </c>
      <c r="P415" s="6">
        <f t="shared" si="145"/>
        <v>97.138264393189147</v>
      </c>
      <c r="Q415" s="6">
        <f t="shared" si="141"/>
        <v>3.9265632318651149</v>
      </c>
      <c r="R415" s="10">
        <f t="shared" si="142"/>
        <v>3.9265632318651149E-3</v>
      </c>
      <c r="S415" s="3">
        <f t="shared" si="146"/>
        <v>7.0678138173572075E-2</v>
      </c>
      <c r="T415" s="4">
        <f t="shared" si="147"/>
        <v>7.0678138173572075E-5</v>
      </c>
      <c r="U415" s="3">
        <f t="shared" si="148"/>
        <v>0.25444129742485949</v>
      </c>
      <c r="V415" s="2">
        <v>14.08</v>
      </c>
      <c r="W415" s="2">
        <v>4.13</v>
      </c>
      <c r="X415" s="2">
        <f t="shared" si="149"/>
        <v>41300</v>
      </c>
      <c r="Y415" s="5">
        <v>-0.51</v>
      </c>
      <c r="Z415" s="5">
        <v>-1.92</v>
      </c>
      <c r="AA415" s="2">
        <f t="shared" si="150"/>
        <v>1.41</v>
      </c>
      <c r="AB415" s="3">
        <f t="shared" si="151"/>
        <v>0.18045482086869469</v>
      </c>
    </row>
    <row r="416" spans="1:28" x14ac:dyDescent="0.2">
      <c r="A416" t="s">
        <v>11</v>
      </c>
      <c r="B416">
        <v>1212</v>
      </c>
      <c r="C416">
        <v>4</v>
      </c>
      <c r="D416">
        <v>34</v>
      </c>
      <c r="E416" t="s">
        <v>7</v>
      </c>
      <c r="F416" s="1">
        <v>45161</v>
      </c>
      <c r="G416" t="s">
        <v>8</v>
      </c>
      <c r="H416" s="2">
        <v>37.26</v>
      </c>
      <c r="I416" s="2">
        <v>35.31</v>
      </c>
      <c r="J416" s="2">
        <v>31.82</v>
      </c>
      <c r="K416" s="2">
        <f t="shared" si="140"/>
        <v>308.45999999999998</v>
      </c>
      <c r="L416" s="2">
        <v>2.58</v>
      </c>
      <c r="M416" s="2">
        <v>0.36</v>
      </c>
      <c r="N416" s="6">
        <f t="shared" si="143"/>
        <v>4.7062377251033825</v>
      </c>
      <c r="O416" s="6">
        <f t="shared" si="144"/>
        <v>2.1317370445471577</v>
      </c>
      <c r="P416" s="6">
        <f t="shared" si="145"/>
        <v>97.148895906219167</v>
      </c>
      <c r="Q416" s="6">
        <f t="shared" si="141"/>
        <v>7.8790970694728841</v>
      </c>
      <c r="R416" s="10">
        <f t="shared" si="142"/>
        <v>7.8790970694728839E-3</v>
      </c>
      <c r="S416" s="3">
        <f t="shared" si="146"/>
        <v>0.14182374725051192</v>
      </c>
      <c r="T416" s="4">
        <f t="shared" si="147"/>
        <v>1.4182374725051192E-4</v>
      </c>
      <c r="U416" s="3">
        <f t="shared" si="148"/>
        <v>0.51056549010184293</v>
      </c>
      <c r="V416" s="2">
        <v>4.71</v>
      </c>
      <c r="W416" s="2">
        <v>1.38</v>
      </c>
      <c r="X416" s="2">
        <f t="shared" si="149"/>
        <v>13799.999999999998</v>
      </c>
      <c r="Y416" s="5">
        <v>-0.55000000000000004</v>
      </c>
      <c r="Z416" s="5">
        <v>-2</v>
      </c>
      <c r="AA416" s="2">
        <f t="shared" si="150"/>
        <v>1.45</v>
      </c>
      <c r="AB416" s="3">
        <f t="shared" si="151"/>
        <v>0.35211413110471929</v>
      </c>
    </row>
    <row r="417" spans="1:28" x14ac:dyDescent="0.2">
      <c r="A417" t="s">
        <v>11</v>
      </c>
      <c r="B417">
        <v>1212</v>
      </c>
      <c r="C417">
        <v>7</v>
      </c>
      <c r="D417">
        <v>36</v>
      </c>
      <c r="E417" t="s">
        <v>7</v>
      </c>
      <c r="F417" s="1">
        <v>45161</v>
      </c>
      <c r="G417" t="s">
        <v>8</v>
      </c>
      <c r="H417" s="2">
        <v>35.270000000000003</v>
      </c>
      <c r="I417" s="2">
        <v>35.54</v>
      </c>
      <c r="J417" s="2">
        <v>33.28</v>
      </c>
      <c r="K417" s="2">
        <f t="shared" si="140"/>
        <v>308.69</v>
      </c>
      <c r="L417" s="2">
        <v>3.08</v>
      </c>
      <c r="M417" s="2">
        <v>0.24</v>
      </c>
      <c r="N417" s="6">
        <f t="shared" si="143"/>
        <v>5.10997352655746</v>
      </c>
      <c r="O417" s="6">
        <f t="shared" si="144"/>
        <v>2.0436696497727542</v>
      </c>
      <c r="P417" s="6">
        <f t="shared" si="145"/>
        <v>97.151942481921097</v>
      </c>
      <c r="Q417" s="6">
        <f t="shared" si="141"/>
        <v>5.0147597045159618</v>
      </c>
      <c r="R417" s="10">
        <f t="shared" si="142"/>
        <v>5.0147597045159618E-3</v>
      </c>
      <c r="S417" s="3">
        <f t="shared" si="146"/>
        <v>9.0265674681287308E-2</v>
      </c>
      <c r="T417" s="4">
        <f t="shared" si="147"/>
        <v>9.026567468128731E-5</v>
      </c>
      <c r="U417" s="3">
        <f t="shared" si="148"/>
        <v>0.32495642885263432</v>
      </c>
      <c r="V417" s="2">
        <v>6.11</v>
      </c>
      <c r="W417" s="2">
        <v>0.97</v>
      </c>
      <c r="X417" s="2">
        <f t="shared" si="149"/>
        <v>9700</v>
      </c>
      <c r="Y417" s="5">
        <v>-0.49</v>
      </c>
      <c r="Z417" s="5">
        <v>-1.95</v>
      </c>
      <c r="AA417" s="2">
        <f t="shared" si="150"/>
        <v>1.46</v>
      </c>
      <c r="AB417" s="3">
        <f t="shared" si="151"/>
        <v>0.22257289647440706</v>
      </c>
    </row>
    <row r="418" spans="1:28" x14ac:dyDescent="0.2">
      <c r="A418" t="s">
        <v>11</v>
      </c>
      <c r="B418">
        <v>1212</v>
      </c>
      <c r="C418">
        <v>7</v>
      </c>
      <c r="D418">
        <v>37</v>
      </c>
      <c r="E418" t="s">
        <v>7</v>
      </c>
      <c r="F418" s="1">
        <v>45161</v>
      </c>
      <c r="G418" t="s">
        <v>8</v>
      </c>
      <c r="H418" s="2">
        <v>36.549999999999997</v>
      </c>
      <c r="I418" s="2">
        <v>35.44</v>
      </c>
      <c r="J418" s="2">
        <v>31.73</v>
      </c>
      <c r="K418" s="2">
        <f t="shared" si="140"/>
        <v>308.58999999999997</v>
      </c>
      <c r="L418" s="2">
        <v>2.58</v>
      </c>
      <c r="M418" s="2">
        <v>0.35</v>
      </c>
      <c r="N418" s="6">
        <f t="shared" si="143"/>
        <v>4.6822854964032716</v>
      </c>
      <c r="O418" s="6">
        <f t="shared" si="144"/>
        <v>2.1061832563691394</v>
      </c>
      <c r="P418" s="6">
        <f t="shared" si="145"/>
        <v>97.150618430066501</v>
      </c>
      <c r="Q418" s="6">
        <f t="shared" si="141"/>
        <v>7.5738058658968574</v>
      </c>
      <c r="R418" s="10">
        <f t="shared" si="142"/>
        <v>7.5738058658968571E-3</v>
      </c>
      <c r="S418" s="3">
        <f t="shared" si="146"/>
        <v>0.13632850558614343</v>
      </c>
      <c r="T418" s="4">
        <f t="shared" si="147"/>
        <v>1.3632850558614344E-4</v>
      </c>
      <c r="U418" s="3">
        <f t="shared" si="148"/>
        <v>0.49078262011011636</v>
      </c>
      <c r="V418" s="2">
        <v>3.68</v>
      </c>
      <c r="W418" s="2">
        <v>0.9</v>
      </c>
      <c r="X418" s="2">
        <f t="shared" si="149"/>
        <v>9000</v>
      </c>
      <c r="Y418" s="5">
        <v>-0.37</v>
      </c>
      <c r="Z418" s="5">
        <v>-2.04</v>
      </c>
      <c r="AA418" s="2">
        <f t="shared" si="150"/>
        <v>1.67</v>
      </c>
      <c r="AB418" s="3">
        <f t="shared" si="151"/>
        <v>0.2938818084491715</v>
      </c>
    </row>
    <row r="419" spans="1:28" x14ac:dyDescent="0.2">
      <c r="A419" t="s">
        <v>11</v>
      </c>
      <c r="B419">
        <v>1212</v>
      </c>
      <c r="C419">
        <v>7</v>
      </c>
      <c r="D419">
        <v>83</v>
      </c>
      <c r="E419" t="s">
        <v>7</v>
      </c>
      <c r="F419" s="1">
        <v>45161</v>
      </c>
      <c r="G419" t="s">
        <v>8</v>
      </c>
      <c r="H419" s="2">
        <v>42.3</v>
      </c>
      <c r="I419" s="2">
        <v>33.4</v>
      </c>
      <c r="J419" s="2">
        <v>31.09</v>
      </c>
      <c r="K419" s="2">
        <f t="shared" si="140"/>
        <v>306.54999999999995</v>
      </c>
      <c r="L419" s="2">
        <v>2.34</v>
      </c>
      <c r="M419" s="2">
        <v>0.26</v>
      </c>
      <c r="N419" s="6">
        <f t="shared" si="143"/>
        <v>4.5149983798175795</v>
      </c>
      <c r="O419" s="6">
        <f t="shared" si="144"/>
        <v>2.1761059025510177</v>
      </c>
      <c r="P419" s="6">
        <f t="shared" si="145"/>
        <v>97.123423205496465</v>
      </c>
      <c r="Q419" s="6">
        <f t="shared" si="141"/>
        <v>5.8224840114631347</v>
      </c>
      <c r="R419" s="10">
        <f t="shared" si="142"/>
        <v>5.8224840114631344E-3</v>
      </c>
      <c r="S419" s="3">
        <f t="shared" si="146"/>
        <v>0.10480471220633641</v>
      </c>
      <c r="T419" s="4">
        <f t="shared" si="147"/>
        <v>1.0480471220633641E-4</v>
      </c>
      <c r="U419" s="3">
        <f t="shared" si="148"/>
        <v>0.37729696394281109</v>
      </c>
      <c r="V419" s="2">
        <v>7.91</v>
      </c>
      <c r="W419" s="2">
        <v>2.14</v>
      </c>
      <c r="X419" s="2">
        <f t="shared" si="149"/>
        <v>21400</v>
      </c>
      <c r="Y419" s="5">
        <v>-0.37</v>
      </c>
      <c r="Z419" s="5">
        <v>-1.77</v>
      </c>
      <c r="AA419" s="2">
        <f t="shared" si="150"/>
        <v>1.4</v>
      </c>
      <c r="AB419" s="3">
        <f t="shared" si="151"/>
        <v>0.26949783138772221</v>
      </c>
    </row>
    <row r="420" spans="1:28" x14ac:dyDescent="0.2">
      <c r="A420" t="s">
        <v>11</v>
      </c>
      <c r="B420">
        <v>1212</v>
      </c>
      <c r="C420">
        <v>8</v>
      </c>
      <c r="D420">
        <v>38</v>
      </c>
      <c r="E420" t="s">
        <v>7</v>
      </c>
      <c r="F420" s="1">
        <v>45161</v>
      </c>
      <c r="G420" t="s">
        <v>8</v>
      </c>
      <c r="H420" s="2">
        <v>44.6</v>
      </c>
      <c r="I420" s="2">
        <v>32.380000000000003</v>
      </c>
      <c r="J420" s="2">
        <v>30.8</v>
      </c>
      <c r="K420" s="2">
        <f t="shared" si="140"/>
        <v>305.52999999999997</v>
      </c>
      <c r="L420" s="2">
        <v>2.2799999999999998</v>
      </c>
      <c r="M420" s="2">
        <v>0.23</v>
      </c>
      <c r="N420" s="6">
        <f t="shared" si="143"/>
        <v>4.440926563578353</v>
      </c>
      <c r="O420" s="6">
        <f t="shared" si="144"/>
        <v>2.1665274239178496</v>
      </c>
      <c r="P420" s="6">
        <f t="shared" si="145"/>
        <v>97.10969230103548</v>
      </c>
      <c r="Q420" s="6">
        <f t="shared" si="141"/>
        <v>5.1180587420903771</v>
      </c>
      <c r="R420" s="10">
        <f t="shared" si="142"/>
        <v>5.118058742090377E-3</v>
      </c>
      <c r="S420" s="3">
        <f t="shared" si="146"/>
        <v>9.2125057357626786E-2</v>
      </c>
      <c r="T420" s="4">
        <f t="shared" si="147"/>
        <v>9.2125057357626789E-5</v>
      </c>
      <c r="U420" s="3">
        <f t="shared" si="148"/>
        <v>0.33165020648745647</v>
      </c>
      <c r="V420" s="2">
        <v>13.38</v>
      </c>
      <c r="W420" s="2">
        <v>3.28</v>
      </c>
      <c r="X420" s="2">
        <f t="shared" si="149"/>
        <v>32800</v>
      </c>
      <c r="Y420" s="5">
        <v>-0.31</v>
      </c>
      <c r="Z420" s="5">
        <v>-1.83</v>
      </c>
      <c r="AA420" s="2">
        <f t="shared" si="150"/>
        <v>1.52</v>
      </c>
      <c r="AB420" s="3">
        <f t="shared" si="151"/>
        <v>0.21819092532069503</v>
      </c>
    </row>
    <row r="421" spans="1:28" x14ac:dyDescent="0.2">
      <c r="A421" t="s">
        <v>11</v>
      </c>
      <c r="B421">
        <v>1212</v>
      </c>
      <c r="C421">
        <v>8</v>
      </c>
      <c r="D421">
        <v>39</v>
      </c>
      <c r="E421" t="s">
        <v>7</v>
      </c>
      <c r="F421" s="1">
        <v>45162</v>
      </c>
      <c r="G421" t="s">
        <v>8</v>
      </c>
      <c r="H421" s="2">
        <v>33.659999999999997</v>
      </c>
      <c r="I421" s="2">
        <v>34.479999999999997</v>
      </c>
      <c r="J421" s="2">
        <v>30.89</v>
      </c>
      <c r="K421" s="2">
        <f t="shared" si="140"/>
        <v>307.63</v>
      </c>
      <c r="L421" s="2">
        <v>2.63</v>
      </c>
      <c r="M421" s="2">
        <v>0.27</v>
      </c>
      <c r="N421" s="6">
        <f t="shared" si="143"/>
        <v>4.4638002408198219</v>
      </c>
      <c r="O421" s="6">
        <f t="shared" si="144"/>
        <v>1.839197327713793</v>
      </c>
      <c r="P421" s="6">
        <f t="shared" si="145"/>
        <v>97.137864658485768</v>
      </c>
      <c r="Q421" s="6">
        <f t="shared" si="141"/>
        <v>5.0971479223071308</v>
      </c>
      <c r="R421" s="10">
        <f t="shared" si="142"/>
        <v>5.0971479223071306E-3</v>
      </c>
      <c r="S421" s="3">
        <f t="shared" si="146"/>
        <v>9.174866260152835E-2</v>
      </c>
      <c r="T421" s="4">
        <f t="shared" si="147"/>
        <v>9.1748662601528349E-5</v>
      </c>
      <c r="U421" s="3">
        <f t="shared" si="148"/>
        <v>0.33029518536550206</v>
      </c>
      <c r="V421" s="2">
        <v>3.71</v>
      </c>
      <c r="W421" s="2">
        <v>1.36</v>
      </c>
      <c r="X421" s="2">
        <f t="shared" si="149"/>
        <v>13600.000000000002</v>
      </c>
      <c r="Y421" s="5">
        <v>-0.31</v>
      </c>
      <c r="Z421" s="5">
        <v>-1.65</v>
      </c>
      <c r="AA421" s="2">
        <f t="shared" si="150"/>
        <v>1.3399999999999999</v>
      </c>
      <c r="AB421" s="3">
        <f t="shared" si="151"/>
        <v>0.24648894430261351</v>
      </c>
    </row>
    <row r="422" spans="1:28" x14ac:dyDescent="0.2">
      <c r="A422" t="s">
        <v>11</v>
      </c>
      <c r="B422">
        <v>1212</v>
      </c>
      <c r="C422">
        <v>8</v>
      </c>
      <c r="D422">
        <v>40</v>
      </c>
      <c r="E422" t="s">
        <v>7</v>
      </c>
      <c r="F422" s="1">
        <v>45162</v>
      </c>
      <c r="G422" t="s">
        <v>8</v>
      </c>
      <c r="H422" s="2">
        <v>34.25</v>
      </c>
      <c r="I422" s="2">
        <v>34.130000000000003</v>
      </c>
      <c r="J422" s="2">
        <v>32.270000000000003</v>
      </c>
      <c r="K422" s="2">
        <f t="shared" si="140"/>
        <v>307.27999999999997</v>
      </c>
      <c r="L422" s="2">
        <v>2.99</v>
      </c>
      <c r="M422" s="2">
        <v>0.15</v>
      </c>
      <c r="N422" s="6">
        <f t="shared" si="143"/>
        <v>4.8276059548582806</v>
      </c>
      <c r="O422" s="6">
        <f t="shared" si="144"/>
        <v>1.8353327124146321</v>
      </c>
      <c r="P422" s="6">
        <f t="shared" si="145"/>
        <v>97.133195441538163</v>
      </c>
      <c r="Q422" s="6">
        <f t="shared" si="141"/>
        <v>2.8377620233305594</v>
      </c>
      <c r="R422" s="10">
        <f t="shared" si="142"/>
        <v>2.8377620233305595E-3</v>
      </c>
      <c r="S422" s="3">
        <f t="shared" si="146"/>
        <v>5.1079716419950072E-2</v>
      </c>
      <c r="T422" s="4">
        <f t="shared" si="147"/>
        <v>5.1079716419950074E-5</v>
      </c>
      <c r="U422" s="3">
        <f t="shared" si="148"/>
        <v>0.18388697911182025</v>
      </c>
      <c r="V422" s="2">
        <v>4.62</v>
      </c>
      <c r="W422" s="2">
        <v>1.66</v>
      </c>
      <c r="X422" s="2">
        <f t="shared" si="149"/>
        <v>16600</v>
      </c>
      <c r="Y422" s="5">
        <v>-0.33</v>
      </c>
      <c r="Z422" s="5">
        <v>-1.88</v>
      </c>
      <c r="AA422" s="2">
        <f t="shared" si="150"/>
        <v>1.5499999999999998</v>
      </c>
      <c r="AB422" s="3">
        <f t="shared" si="151"/>
        <v>0.1186367607173034</v>
      </c>
    </row>
    <row r="423" spans="1:28" x14ac:dyDescent="0.2">
      <c r="A423" t="s">
        <v>11</v>
      </c>
      <c r="B423">
        <v>1212</v>
      </c>
      <c r="C423">
        <v>10</v>
      </c>
      <c r="D423">
        <v>21</v>
      </c>
      <c r="E423" t="s">
        <v>7</v>
      </c>
      <c r="F423" s="1">
        <v>45161</v>
      </c>
      <c r="G423" t="s">
        <v>8</v>
      </c>
      <c r="H423" s="2">
        <v>37.590000000000003</v>
      </c>
      <c r="I423" s="2">
        <v>35.36</v>
      </c>
      <c r="J423" s="2">
        <v>32.33</v>
      </c>
      <c r="K423" s="2">
        <f t="shared" si="140"/>
        <v>308.51</v>
      </c>
      <c r="L423" s="2">
        <v>2.69</v>
      </c>
      <c r="M423" s="2">
        <v>0.36</v>
      </c>
      <c r="N423" s="6">
        <f t="shared" si="143"/>
        <v>4.8439924412827953</v>
      </c>
      <c r="O423" s="6">
        <f t="shared" si="144"/>
        <v>2.1565656461002209</v>
      </c>
      <c r="P423" s="6">
        <f t="shared" si="145"/>
        <v>97.149558583572343</v>
      </c>
      <c r="Q423" s="6">
        <f t="shared" si="141"/>
        <v>7.9818919423575236</v>
      </c>
      <c r="R423" s="10">
        <f t="shared" si="142"/>
        <v>7.9818919423575233E-3</v>
      </c>
      <c r="S423" s="3">
        <f t="shared" si="146"/>
        <v>0.1436740549624354</v>
      </c>
      <c r="T423" s="4">
        <f t="shared" si="147"/>
        <v>1.4367405496243539E-4</v>
      </c>
      <c r="U423" s="3">
        <f t="shared" si="148"/>
        <v>0.51722659786476743</v>
      </c>
      <c r="V423" s="2">
        <v>4.78</v>
      </c>
      <c r="W423" s="2">
        <v>1.38</v>
      </c>
      <c r="X423" s="2">
        <f t="shared" si="149"/>
        <v>13799.999999999998</v>
      </c>
      <c r="Y423" s="5">
        <v>-0.34</v>
      </c>
      <c r="Z423" s="5">
        <v>-2.2599999999999998</v>
      </c>
      <c r="AA423" s="2">
        <f t="shared" si="150"/>
        <v>1.9199999999999997</v>
      </c>
      <c r="AB423" s="3">
        <f t="shared" si="151"/>
        <v>0.26938885305456639</v>
      </c>
    </row>
    <row r="424" spans="1:28" x14ac:dyDescent="0.2">
      <c r="A424" t="s">
        <v>11</v>
      </c>
      <c r="B424">
        <v>1212</v>
      </c>
      <c r="C424">
        <v>10</v>
      </c>
      <c r="D424">
        <v>41</v>
      </c>
      <c r="E424" t="s">
        <v>7</v>
      </c>
      <c r="F424" s="1">
        <v>45162</v>
      </c>
      <c r="G424" t="s">
        <v>8</v>
      </c>
      <c r="H424" s="2">
        <v>33.58</v>
      </c>
      <c r="I424" s="2">
        <v>34.6</v>
      </c>
      <c r="J424" s="2">
        <v>30.68</v>
      </c>
      <c r="K424" s="2">
        <f t="shared" si="140"/>
        <v>307.75</v>
      </c>
      <c r="L424" s="2">
        <v>2.56</v>
      </c>
      <c r="M424" s="2">
        <v>0.23</v>
      </c>
      <c r="N424" s="6">
        <f t="shared" si="143"/>
        <v>4.4105871954342604</v>
      </c>
      <c r="O424" s="6">
        <f t="shared" si="144"/>
        <v>1.8471005046666242</v>
      </c>
      <c r="P424" s="6">
        <f t="shared" si="145"/>
        <v>97.139463139560434</v>
      </c>
      <c r="Q424" s="6">
        <f t="shared" si="141"/>
        <v>4.3816904190459578</v>
      </c>
      <c r="R424" s="10">
        <f t="shared" si="142"/>
        <v>4.3816904190459574E-3</v>
      </c>
      <c r="S424" s="3">
        <f t="shared" si="146"/>
        <v>7.8870427542827234E-2</v>
      </c>
      <c r="T424" s="4">
        <f t="shared" si="147"/>
        <v>7.8870427542827241E-5</v>
      </c>
      <c r="U424" s="3">
        <f t="shared" si="148"/>
        <v>0.28393353915417807</v>
      </c>
      <c r="V424" s="2">
        <v>15.53</v>
      </c>
      <c r="W424" s="2">
        <v>3.35</v>
      </c>
      <c r="X424" s="2">
        <f t="shared" si="149"/>
        <v>33500</v>
      </c>
      <c r="Y424" s="5">
        <v>-0.28999999999999998</v>
      </c>
      <c r="Z424" s="5">
        <v>-1.95</v>
      </c>
      <c r="AA424" s="2">
        <f t="shared" si="150"/>
        <v>1.66</v>
      </c>
      <c r="AB424" s="3">
        <f t="shared" si="151"/>
        <v>0.171044300695288</v>
      </c>
    </row>
    <row r="425" spans="1:28" x14ac:dyDescent="0.2">
      <c r="A425" t="s">
        <v>11</v>
      </c>
      <c r="B425">
        <v>1212</v>
      </c>
      <c r="C425">
        <v>10</v>
      </c>
      <c r="D425">
        <v>42</v>
      </c>
      <c r="E425" t="s">
        <v>7</v>
      </c>
      <c r="F425" s="1">
        <v>45162</v>
      </c>
      <c r="G425" t="s">
        <v>8</v>
      </c>
      <c r="H425" s="2">
        <v>33.450000000000003</v>
      </c>
      <c r="I425" s="2">
        <v>34.39</v>
      </c>
      <c r="J425" s="2">
        <v>30.05</v>
      </c>
      <c r="K425" s="2">
        <f t="shared" si="140"/>
        <v>307.53999999999996</v>
      </c>
      <c r="L425" s="2">
        <v>2.44</v>
      </c>
      <c r="M425" s="2">
        <v>0.24</v>
      </c>
      <c r="N425" s="6">
        <f t="shared" si="143"/>
        <v>4.2542496048905418</v>
      </c>
      <c r="O425" s="6">
        <f t="shared" si="144"/>
        <v>1.8185990790001823</v>
      </c>
      <c r="P425" s="6">
        <f t="shared" si="145"/>
        <v>97.136664996330808</v>
      </c>
      <c r="Q425" s="6">
        <f t="shared" si="141"/>
        <v>4.4825494594670037</v>
      </c>
      <c r="R425" s="10">
        <f t="shared" si="142"/>
        <v>4.4825494594670032E-3</v>
      </c>
      <c r="S425" s="3">
        <f t="shared" si="146"/>
        <v>8.0685890270406055E-2</v>
      </c>
      <c r="T425" s="4">
        <f t="shared" si="147"/>
        <v>8.0685890270406051E-5</v>
      </c>
      <c r="U425" s="3">
        <f t="shared" si="148"/>
        <v>0.29046920497346179</v>
      </c>
      <c r="V425" s="2">
        <v>14.52</v>
      </c>
      <c r="W425" s="2">
        <v>3.06</v>
      </c>
      <c r="X425" s="2">
        <f t="shared" si="149"/>
        <v>30600</v>
      </c>
      <c r="Y425" s="5">
        <v>-0.42</v>
      </c>
      <c r="Z425" s="5">
        <v>-1.72</v>
      </c>
      <c r="AA425" s="2">
        <f t="shared" si="150"/>
        <v>1.3</v>
      </c>
      <c r="AB425" s="3">
        <f t="shared" si="151"/>
        <v>0.22343784997958599</v>
      </c>
    </row>
    <row r="426" spans="1:28" x14ac:dyDescent="0.2">
      <c r="A426" t="s">
        <v>6</v>
      </c>
      <c r="B426">
        <v>72</v>
      </c>
      <c r="C426">
        <v>156</v>
      </c>
      <c r="D426">
        <v>43</v>
      </c>
      <c r="E426" t="s">
        <v>12</v>
      </c>
      <c r="F426" s="1">
        <v>45161</v>
      </c>
      <c r="G426" t="s">
        <v>8</v>
      </c>
      <c r="H426" s="2">
        <v>19.13</v>
      </c>
      <c r="I426" s="2">
        <v>41.4</v>
      </c>
      <c r="J426" s="2">
        <v>39.56</v>
      </c>
      <c r="K426" s="2">
        <f t="shared" si="140"/>
        <v>314.54999999999995</v>
      </c>
      <c r="L426" s="2">
        <v>5.69</v>
      </c>
      <c r="M426" s="2">
        <v>7.0000000000000007E-2</v>
      </c>
      <c r="N426" s="6">
        <f t="shared" si="143"/>
        <v>7.2098811742843454</v>
      </c>
      <c r="O426" s="6">
        <f t="shared" si="144"/>
        <v>1.5212083618165522</v>
      </c>
      <c r="P426" s="6">
        <f t="shared" si="145"/>
        <v>97.228092125886917</v>
      </c>
      <c r="Q426" s="6">
        <f t="shared" si="141"/>
        <v>1.0942483789782957</v>
      </c>
      <c r="R426" s="10">
        <f t="shared" si="142"/>
        <v>1.0942483789782957E-3</v>
      </c>
      <c r="S426" s="3">
        <f t="shared" si="146"/>
        <v>1.9696470821609323E-2</v>
      </c>
      <c r="T426" s="4">
        <f t="shared" si="147"/>
        <v>1.9696470821609323E-5</v>
      </c>
      <c r="U426" s="3">
        <f t="shared" si="148"/>
        <v>7.0907294957793562E-2</v>
      </c>
      <c r="V426" s="2">
        <v>18.53</v>
      </c>
      <c r="W426" s="2">
        <v>3.87</v>
      </c>
      <c r="X426" s="2">
        <f t="shared" si="149"/>
        <v>38700</v>
      </c>
      <c r="Y426" s="5">
        <v>-0.22</v>
      </c>
      <c r="Z426" s="5">
        <v>-1.85</v>
      </c>
      <c r="AA426" s="2">
        <f t="shared" si="150"/>
        <v>1.6300000000000001</v>
      </c>
      <c r="AB426" s="3">
        <f t="shared" si="151"/>
        <v>4.3501407949566598E-2</v>
      </c>
    </row>
    <row r="427" spans="1:28" x14ac:dyDescent="0.2">
      <c r="A427" t="s">
        <v>6</v>
      </c>
      <c r="B427">
        <v>72</v>
      </c>
      <c r="C427">
        <v>156</v>
      </c>
      <c r="D427">
        <v>44</v>
      </c>
      <c r="E427" t="s">
        <v>12</v>
      </c>
      <c r="F427" s="1">
        <v>45162</v>
      </c>
      <c r="G427" t="s">
        <v>8</v>
      </c>
      <c r="H427" s="2">
        <v>20.63</v>
      </c>
      <c r="I427" s="2">
        <v>42.19</v>
      </c>
      <c r="J427" s="2">
        <v>39.119999999999997</v>
      </c>
      <c r="K427" s="2">
        <f t="shared" si="140"/>
        <v>315.33999999999997</v>
      </c>
      <c r="L427" s="2">
        <v>5.33</v>
      </c>
      <c r="M427" s="2">
        <v>0.12</v>
      </c>
      <c r="N427" s="6">
        <f t="shared" si="143"/>
        <v>7.0415997293831261</v>
      </c>
      <c r="O427" s="6">
        <f t="shared" si="144"/>
        <v>1.7102916324047663</v>
      </c>
      <c r="P427" s="6">
        <f t="shared" si="145"/>
        <v>97.238145999690119</v>
      </c>
      <c r="Q427" s="6">
        <f t="shared" si="141"/>
        <v>2.1122571333952589</v>
      </c>
      <c r="R427" s="10">
        <f t="shared" si="142"/>
        <v>2.112257133395259E-3</v>
      </c>
      <c r="S427" s="3">
        <f t="shared" si="146"/>
        <v>3.8020628401114663E-2</v>
      </c>
      <c r="T427" s="4">
        <f t="shared" si="147"/>
        <v>3.8020628401114664E-5</v>
      </c>
      <c r="U427" s="3">
        <f t="shared" si="148"/>
        <v>0.13687426224401278</v>
      </c>
      <c r="V427" s="2">
        <v>5.08</v>
      </c>
      <c r="W427" s="2">
        <v>1.59</v>
      </c>
      <c r="X427" s="2">
        <f t="shared" si="149"/>
        <v>15900</v>
      </c>
      <c r="Y427" s="5">
        <v>-0.27</v>
      </c>
      <c r="Z427" s="5">
        <v>-1.87</v>
      </c>
      <c r="AA427" s="2">
        <f t="shared" si="150"/>
        <v>1.6</v>
      </c>
      <c r="AB427" s="3">
        <f t="shared" si="151"/>
        <v>8.5546413902507987E-2</v>
      </c>
    </row>
    <row r="428" spans="1:28" x14ac:dyDescent="0.2">
      <c r="A428" t="s">
        <v>6</v>
      </c>
      <c r="B428">
        <v>72</v>
      </c>
      <c r="C428">
        <v>156</v>
      </c>
      <c r="D428">
        <v>45</v>
      </c>
      <c r="E428" t="s">
        <v>12</v>
      </c>
      <c r="F428" s="1">
        <v>45161</v>
      </c>
      <c r="G428" t="s">
        <v>8</v>
      </c>
      <c r="H428" s="2">
        <v>19</v>
      </c>
      <c r="I428" s="2">
        <v>40.93</v>
      </c>
      <c r="J428" s="2">
        <v>36.840000000000003</v>
      </c>
      <c r="K428" s="2">
        <f t="shared" si="140"/>
        <v>314.08</v>
      </c>
      <c r="L428" s="2">
        <v>4.75</v>
      </c>
      <c r="M428" s="2">
        <v>0.12</v>
      </c>
      <c r="N428" s="6">
        <f t="shared" si="143"/>
        <v>6.2230348261452608</v>
      </c>
      <c r="O428" s="6">
        <f t="shared" si="144"/>
        <v>1.4737116522090443</v>
      </c>
      <c r="P428" s="6">
        <f t="shared" si="145"/>
        <v>97.222087207454521</v>
      </c>
      <c r="Q428" s="6">
        <f t="shared" si="141"/>
        <v>1.8181483674614822</v>
      </c>
      <c r="R428" s="10">
        <f t="shared" si="142"/>
        <v>1.8181483674614821E-3</v>
      </c>
      <c r="S428" s="3">
        <f t="shared" si="146"/>
        <v>3.2726670614306681E-2</v>
      </c>
      <c r="T428" s="4">
        <f t="shared" si="147"/>
        <v>3.2726670614306678E-5</v>
      </c>
      <c r="U428" s="3">
        <f t="shared" si="148"/>
        <v>0.11781601421150405</v>
      </c>
      <c r="V428" s="2">
        <v>13.38</v>
      </c>
      <c r="W428" s="2">
        <v>3.64</v>
      </c>
      <c r="X428" s="2">
        <f t="shared" si="149"/>
        <v>36400</v>
      </c>
      <c r="Y428" s="5">
        <v>-0.48</v>
      </c>
      <c r="Z428" s="5">
        <v>-1.9</v>
      </c>
      <c r="AA428" s="2">
        <f t="shared" si="150"/>
        <v>1.42</v>
      </c>
      <c r="AB428" s="3">
        <f t="shared" si="151"/>
        <v>8.2969024092608493E-2</v>
      </c>
    </row>
    <row r="429" spans="1:28" x14ac:dyDescent="0.2">
      <c r="A429" t="s">
        <v>6</v>
      </c>
      <c r="B429">
        <v>72</v>
      </c>
      <c r="C429">
        <v>149</v>
      </c>
      <c r="D429">
        <v>46</v>
      </c>
      <c r="E429" t="s">
        <v>12</v>
      </c>
      <c r="F429" s="1">
        <v>45161</v>
      </c>
      <c r="G429" t="s">
        <v>8</v>
      </c>
      <c r="H429" s="2">
        <v>17</v>
      </c>
      <c r="I429" s="2">
        <v>41.98</v>
      </c>
      <c r="J429" s="2">
        <v>38</v>
      </c>
      <c r="K429" s="2">
        <f t="shared" si="140"/>
        <v>315.13</v>
      </c>
      <c r="L429" s="2">
        <v>5.23</v>
      </c>
      <c r="M429" s="2">
        <v>0.11</v>
      </c>
      <c r="N429" s="6">
        <f t="shared" si="143"/>
        <v>6.6285294352159285</v>
      </c>
      <c r="O429" s="6">
        <f t="shared" si="144"/>
        <v>1.3938597422239989</v>
      </c>
      <c r="P429" s="6">
        <f t="shared" si="145"/>
        <v>97.235478268487881</v>
      </c>
      <c r="Q429" s="6">
        <f t="shared" si="141"/>
        <v>1.5821204421802906</v>
      </c>
      <c r="R429" s="10">
        <f t="shared" si="142"/>
        <v>1.5821204421802907E-3</v>
      </c>
      <c r="S429" s="3">
        <f t="shared" si="146"/>
        <v>2.8478167959245231E-2</v>
      </c>
      <c r="T429" s="4">
        <f t="shared" si="147"/>
        <v>2.847816795924523E-5</v>
      </c>
      <c r="U429" s="3">
        <f t="shared" si="148"/>
        <v>0.10252140465328283</v>
      </c>
      <c r="V429" s="2">
        <v>10.99</v>
      </c>
      <c r="W429" s="2">
        <v>2.0499999999999998</v>
      </c>
      <c r="X429" s="2">
        <f t="shared" si="149"/>
        <v>20500</v>
      </c>
      <c r="Y429" s="5">
        <v>-0.3</v>
      </c>
      <c r="Z429" s="5">
        <v>-2.0699999999999998</v>
      </c>
      <c r="AA429" s="2">
        <f t="shared" si="150"/>
        <v>1.7699999999999998</v>
      </c>
      <c r="AB429" s="3">
        <f t="shared" si="151"/>
        <v>5.7921697544227595E-2</v>
      </c>
    </row>
    <row r="430" spans="1:28" x14ac:dyDescent="0.2">
      <c r="A430" t="s">
        <v>6</v>
      </c>
      <c r="B430">
        <v>72</v>
      </c>
      <c r="C430">
        <v>149</v>
      </c>
      <c r="D430">
        <v>47</v>
      </c>
      <c r="E430" t="s">
        <v>12</v>
      </c>
      <c r="F430" s="1">
        <v>45162</v>
      </c>
      <c r="G430" t="s">
        <v>8</v>
      </c>
      <c r="H430" s="2">
        <v>18.89</v>
      </c>
      <c r="I430" s="2">
        <v>42.87</v>
      </c>
      <c r="J430" s="2">
        <v>38.549999999999997</v>
      </c>
      <c r="K430" s="2">
        <f t="shared" si="140"/>
        <v>316.02</v>
      </c>
      <c r="L430" s="2">
        <v>5.21</v>
      </c>
      <c r="M430" s="2">
        <v>0.13</v>
      </c>
      <c r="N430" s="6">
        <f t="shared" ref="N430:N461" si="152">0.611*EXP((17.502*J430)/(240.97+J430))</f>
        <v>6.8286702363642924</v>
      </c>
      <c r="O430" s="6">
        <f t="shared" ref="O430:O461" si="153">(0.611*EXP((17.502*I430)/(240.97+I430)))*(H430/100)</f>
        <v>1.6229291868358182</v>
      </c>
      <c r="P430" s="6">
        <f t="shared" ref="P430:P461" si="154">101.325*EXP(-380/(29.27*K430))</f>
        <v>97.246760539085628</v>
      </c>
      <c r="Q430" s="6">
        <f t="shared" si="141"/>
        <v>2.1638472023217954</v>
      </c>
      <c r="R430" s="10">
        <f t="shared" si="142"/>
        <v>2.1638472023217956E-3</v>
      </c>
      <c r="S430" s="3">
        <f t="shared" ref="S430:S461" si="155">R430*18</f>
        <v>3.8949249641792319E-2</v>
      </c>
      <c r="T430" s="4">
        <f t="shared" ref="T430:T461" si="156">S430/1000</f>
        <v>3.8949249641792321E-5</v>
      </c>
      <c r="U430" s="3">
        <f t="shared" ref="U430:U461" si="157">T430*3600</f>
        <v>0.14021729871045235</v>
      </c>
      <c r="V430" s="2">
        <v>10.98</v>
      </c>
      <c r="W430" s="2">
        <v>2.5099999999999998</v>
      </c>
      <c r="X430" s="2">
        <f t="shared" ref="X430:X461" si="158">W430*10000</f>
        <v>25099.999999999996</v>
      </c>
      <c r="Y430" s="5">
        <v>-0.32</v>
      </c>
      <c r="Z430" s="5">
        <v>-2.4700000000000002</v>
      </c>
      <c r="AA430" s="2">
        <f t="shared" ref="AA430:AA461" si="159">Y430-Z430</f>
        <v>2.1500000000000004</v>
      </c>
      <c r="AB430" s="3">
        <f t="shared" ref="AB430:AB461" si="160">U430/AA430</f>
        <v>6.5217348237419689E-2</v>
      </c>
    </row>
    <row r="431" spans="1:28" x14ac:dyDescent="0.2">
      <c r="A431" t="s">
        <v>6</v>
      </c>
      <c r="B431">
        <v>72</v>
      </c>
      <c r="C431">
        <v>149</v>
      </c>
      <c r="D431">
        <v>48</v>
      </c>
      <c r="E431" t="s">
        <v>12</v>
      </c>
      <c r="F431" s="1">
        <v>45162</v>
      </c>
      <c r="G431" t="s">
        <v>8</v>
      </c>
      <c r="H431" s="2">
        <v>19.32</v>
      </c>
      <c r="I431" s="2">
        <v>42.72</v>
      </c>
      <c r="J431" s="2">
        <v>38.14</v>
      </c>
      <c r="K431" s="2">
        <f t="shared" si="140"/>
        <v>315.87</v>
      </c>
      <c r="L431" s="2">
        <v>5.03</v>
      </c>
      <c r="M431" s="2">
        <v>0.12</v>
      </c>
      <c r="N431" s="6">
        <f t="shared" si="152"/>
        <v>6.678985185537174</v>
      </c>
      <c r="O431" s="6">
        <f t="shared" si="153"/>
        <v>1.6468829681615422</v>
      </c>
      <c r="P431" s="6">
        <f t="shared" si="154"/>
        <v>97.24486339598414</v>
      </c>
      <c r="Q431" s="6">
        <f t="shared" si="141"/>
        <v>2.0348449815667333</v>
      </c>
      <c r="R431" s="10">
        <f t="shared" si="142"/>
        <v>2.0348449815667333E-3</v>
      </c>
      <c r="S431" s="3">
        <f t="shared" si="155"/>
        <v>3.6627209668201197E-2</v>
      </c>
      <c r="T431" s="4">
        <f t="shared" si="156"/>
        <v>3.6627209668201197E-5</v>
      </c>
      <c r="U431" s="3">
        <f t="shared" si="157"/>
        <v>0.13185795480552431</v>
      </c>
      <c r="V431" s="2">
        <v>17.25</v>
      </c>
      <c r="W431" s="2">
        <v>2.85</v>
      </c>
      <c r="X431" s="2">
        <f t="shared" si="158"/>
        <v>28500</v>
      </c>
      <c r="Y431" s="5">
        <v>-0.56999999999999995</v>
      </c>
      <c r="Z431" s="5">
        <v>-1.85</v>
      </c>
      <c r="AA431" s="2">
        <f t="shared" si="159"/>
        <v>1.2800000000000002</v>
      </c>
      <c r="AB431" s="3">
        <f t="shared" si="160"/>
        <v>0.10301402719181585</v>
      </c>
    </row>
    <row r="432" spans="1:28" x14ac:dyDescent="0.2">
      <c r="A432" t="s">
        <v>6</v>
      </c>
      <c r="B432">
        <v>72</v>
      </c>
      <c r="C432">
        <v>152</v>
      </c>
      <c r="D432">
        <v>49</v>
      </c>
      <c r="E432" t="s">
        <v>12</v>
      </c>
      <c r="F432" s="1">
        <v>45161</v>
      </c>
      <c r="G432" t="s">
        <v>8</v>
      </c>
      <c r="H432" s="2">
        <v>17.86</v>
      </c>
      <c r="I432" s="2">
        <v>41.28</v>
      </c>
      <c r="J432" s="2">
        <v>36.32</v>
      </c>
      <c r="K432" s="2">
        <f t="shared" si="140"/>
        <v>314.42999999999995</v>
      </c>
      <c r="L432" s="2">
        <v>4.6500000000000004</v>
      </c>
      <c r="M432" s="2">
        <v>0.15</v>
      </c>
      <c r="N432" s="6">
        <f t="shared" si="152"/>
        <v>6.0483694371314787</v>
      </c>
      <c r="O432" s="6">
        <f t="shared" si="153"/>
        <v>1.4112286429699223</v>
      </c>
      <c r="P432" s="6">
        <f t="shared" si="154"/>
        <v>97.226560626601923</v>
      </c>
      <c r="Q432" s="6">
        <f t="shared" si="141"/>
        <v>2.1573880040381792</v>
      </c>
      <c r="R432" s="10">
        <f t="shared" si="142"/>
        <v>2.1573880040381792E-3</v>
      </c>
      <c r="S432" s="3">
        <f t="shared" si="155"/>
        <v>3.8832984072687225E-2</v>
      </c>
      <c r="T432" s="4">
        <f t="shared" si="156"/>
        <v>3.8832984072687226E-5</v>
      </c>
      <c r="U432" s="3">
        <f t="shared" si="157"/>
        <v>0.13979874266167402</v>
      </c>
      <c r="V432" s="2">
        <v>16.68</v>
      </c>
      <c r="W432" s="2">
        <v>2.78</v>
      </c>
      <c r="X432" s="2">
        <f t="shared" si="158"/>
        <v>27799.999999999996</v>
      </c>
      <c r="Y432" s="5">
        <v>-0.44</v>
      </c>
      <c r="Z432" s="5">
        <v>-2.09</v>
      </c>
      <c r="AA432" s="2">
        <f t="shared" si="159"/>
        <v>1.65</v>
      </c>
      <c r="AB432" s="3">
        <f t="shared" si="160"/>
        <v>8.4726510704044869E-2</v>
      </c>
    </row>
    <row r="433" spans="1:28" x14ac:dyDescent="0.2">
      <c r="A433" t="s">
        <v>6</v>
      </c>
      <c r="B433">
        <v>72</v>
      </c>
      <c r="C433">
        <v>152</v>
      </c>
      <c r="D433">
        <v>50</v>
      </c>
      <c r="E433" t="s">
        <v>12</v>
      </c>
      <c r="F433" s="1">
        <v>45162</v>
      </c>
      <c r="G433" t="s">
        <v>8</v>
      </c>
      <c r="H433" s="2">
        <v>19.87</v>
      </c>
      <c r="I433" s="2">
        <v>42.92</v>
      </c>
      <c r="J433" s="2">
        <v>38.04</v>
      </c>
      <c r="K433" s="2">
        <f t="shared" si="140"/>
        <v>316.07</v>
      </c>
      <c r="L433" s="2">
        <v>4.96</v>
      </c>
      <c r="M433" s="2">
        <v>0.17</v>
      </c>
      <c r="N433" s="6">
        <f t="shared" si="152"/>
        <v>6.6429115016294089</v>
      </c>
      <c r="O433" s="6">
        <f t="shared" si="153"/>
        <v>1.711598947947979</v>
      </c>
      <c r="P433" s="6">
        <f t="shared" si="154"/>
        <v>97.247392528185117</v>
      </c>
      <c r="Q433" s="6">
        <f t="shared" si="141"/>
        <v>2.9419293190208764</v>
      </c>
      <c r="R433" s="10">
        <f t="shared" si="142"/>
        <v>2.9419293190208764E-3</v>
      </c>
      <c r="S433" s="3">
        <f t="shared" si="155"/>
        <v>5.2954727742375772E-2</v>
      </c>
      <c r="T433" s="4">
        <f t="shared" si="156"/>
        <v>5.2954727742375769E-5</v>
      </c>
      <c r="U433" s="3">
        <f t="shared" si="157"/>
        <v>0.19063701987255277</v>
      </c>
      <c r="V433" s="2">
        <v>29.47</v>
      </c>
      <c r="W433" s="2">
        <v>3.96</v>
      </c>
      <c r="X433" s="2">
        <f t="shared" si="158"/>
        <v>39600</v>
      </c>
      <c r="Y433" s="5">
        <v>-0.36</v>
      </c>
      <c r="Z433" s="5">
        <v>-1.95</v>
      </c>
      <c r="AA433" s="2">
        <f t="shared" si="159"/>
        <v>1.5899999999999999</v>
      </c>
      <c r="AB433" s="3">
        <f t="shared" si="160"/>
        <v>0.11989749677519043</v>
      </c>
    </row>
    <row r="434" spans="1:28" x14ac:dyDescent="0.2">
      <c r="A434" t="s">
        <v>6</v>
      </c>
      <c r="B434">
        <v>72</v>
      </c>
      <c r="C434">
        <v>152</v>
      </c>
      <c r="D434">
        <v>51</v>
      </c>
      <c r="E434" t="s">
        <v>12</v>
      </c>
      <c r="F434" s="1">
        <v>45162</v>
      </c>
      <c r="G434" t="s">
        <v>8</v>
      </c>
      <c r="H434" s="2">
        <v>21.22</v>
      </c>
      <c r="I434" s="2">
        <v>42.12</v>
      </c>
      <c r="J434" s="2">
        <v>35.81</v>
      </c>
      <c r="K434" s="2">
        <f t="shared" si="140"/>
        <v>315.27</v>
      </c>
      <c r="L434" s="2">
        <v>4.13</v>
      </c>
      <c r="M434" s="2">
        <v>0.37</v>
      </c>
      <c r="N434" s="6">
        <f t="shared" si="152"/>
        <v>5.881214655846672</v>
      </c>
      <c r="O434" s="6">
        <f t="shared" si="153"/>
        <v>1.7527373879715307</v>
      </c>
      <c r="P434" s="6">
        <f t="shared" si="154"/>
        <v>97.23725714270654</v>
      </c>
      <c r="Q434" s="6">
        <f t="shared" si="141"/>
        <v>6.6635921425912965</v>
      </c>
      <c r="R434" s="10">
        <f t="shared" si="142"/>
        <v>6.6635921425912967E-3</v>
      </c>
      <c r="S434" s="3">
        <f t="shared" si="155"/>
        <v>0.11994465856664334</v>
      </c>
      <c r="T434" s="4">
        <f t="shared" si="156"/>
        <v>1.1994465856664333E-4</v>
      </c>
      <c r="U434" s="3">
        <f t="shared" si="157"/>
        <v>0.43180077083991597</v>
      </c>
      <c r="V434" s="2">
        <v>11.56</v>
      </c>
      <c r="W434" s="2">
        <v>1.91</v>
      </c>
      <c r="X434" s="2">
        <f t="shared" si="158"/>
        <v>19100</v>
      </c>
      <c r="Y434" s="5">
        <v>-0.28000000000000003</v>
      </c>
      <c r="Z434" s="5">
        <v>-1.48</v>
      </c>
      <c r="AA434" s="2">
        <f t="shared" si="159"/>
        <v>1.2</v>
      </c>
      <c r="AB434" s="3">
        <f t="shared" si="160"/>
        <v>0.35983397569992998</v>
      </c>
    </row>
    <row r="435" spans="1:28" x14ac:dyDescent="0.2">
      <c r="A435" t="s">
        <v>6</v>
      </c>
      <c r="B435">
        <v>72</v>
      </c>
      <c r="C435">
        <v>155</v>
      </c>
      <c r="D435">
        <v>58</v>
      </c>
      <c r="E435" t="s">
        <v>12</v>
      </c>
      <c r="F435" s="1">
        <v>45162</v>
      </c>
      <c r="G435" t="s">
        <v>8</v>
      </c>
      <c r="H435" s="2">
        <v>18.68</v>
      </c>
      <c r="I435" s="2">
        <v>42.85</v>
      </c>
      <c r="J435" s="2">
        <v>39.32</v>
      </c>
      <c r="K435" s="2">
        <f t="shared" si="140"/>
        <v>316</v>
      </c>
      <c r="L435" s="2">
        <v>5.51</v>
      </c>
      <c r="M435" s="2">
        <v>0.09</v>
      </c>
      <c r="N435" s="6">
        <f t="shared" si="152"/>
        <v>7.1176642180011438</v>
      </c>
      <c r="O435" s="6">
        <f t="shared" si="153"/>
        <v>1.6032075896209979</v>
      </c>
      <c r="P435" s="6">
        <f t="shared" si="154"/>
        <v>97.246507688597134</v>
      </c>
      <c r="Q435" s="6">
        <f t="shared" si="141"/>
        <v>1.4878660741569119</v>
      </c>
      <c r="R435" s="10">
        <f t="shared" si="142"/>
        <v>1.487866074156912E-3</v>
      </c>
      <c r="S435" s="3">
        <f t="shared" si="155"/>
        <v>2.6781589334824416E-2</v>
      </c>
      <c r="T435" s="4">
        <f t="shared" si="156"/>
        <v>2.6781589334824417E-5</v>
      </c>
      <c r="U435" s="3">
        <f t="shared" si="157"/>
        <v>9.6413721605367902E-2</v>
      </c>
      <c r="V435" s="2">
        <v>25.14</v>
      </c>
      <c r="W435" s="2">
        <v>4.53</v>
      </c>
      <c r="X435" s="2">
        <f t="shared" si="158"/>
        <v>45300</v>
      </c>
      <c r="Y435" s="5">
        <v>-0.45</v>
      </c>
      <c r="Z435" s="5">
        <v>-2.11</v>
      </c>
      <c r="AA435" s="2">
        <f t="shared" si="159"/>
        <v>1.66</v>
      </c>
      <c r="AB435" s="3">
        <f t="shared" si="160"/>
        <v>5.8080555183956571E-2</v>
      </c>
    </row>
    <row r="436" spans="1:28" x14ac:dyDescent="0.2">
      <c r="A436" t="s">
        <v>6</v>
      </c>
      <c r="B436">
        <v>72</v>
      </c>
      <c r="C436">
        <v>155</v>
      </c>
      <c r="D436">
        <v>59</v>
      </c>
      <c r="E436" t="s">
        <v>12</v>
      </c>
      <c r="F436" s="1">
        <v>45161</v>
      </c>
      <c r="G436" t="s">
        <v>8</v>
      </c>
      <c r="H436" s="2">
        <v>17.86</v>
      </c>
      <c r="I436" s="2">
        <v>41.08</v>
      </c>
      <c r="J436" s="2">
        <v>39</v>
      </c>
      <c r="K436" s="2">
        <f t="shared" si="140"/>
        <v>314.22999999999996</v>
      </c>
      <c r="L436" s="2">
        <v>5.6</v>
      </c>
      <c r="M436" s="2">
        <v>0.05</v>
      </c>
      <c r="N436" s="6">
        <f t="shared" si="152"/>
        <v>6.9963002258639069</v>
      </c>
      <c r="O436" s="6">
        <f t="shared" si="153"/>
        <v>1.3963549355882363</v>
      </c>
      <c r="P436" s="6">
        <f t="shared" si="154"/>
        <v>97.22400558212145</v>
      </c>
      <c r="Q436" s="6">
        <f t="shared" si="141"/>
        <v>0.7180840871056815</v>
      </c>
      <c r="R436" s="10">
        <f t="shared" si="142"/>
        <v>7.1808408710568152E-4</v>
      </c>
      <c r="S436" s="3">
        <f t="shared" si="155"/>
        <v>1.2925513567902266E-2</v>
      </c>
      <c r="T436" s="4">
        <f t="shared" si="156"/>
        <v>1.2925513567902266E-5</v>
      </c>
      <c r="U436" s="3">
        <f t="shared" si="157"/>
        <v>4.6531848844448158E-2</v>
      </c>
      <c r="V436" s="2">
        <v>16.940000000000001</v>
      </c>
      <c r="W436" s="2">
        <v>3.17</v>
      </c>
      <c r="X436" s="2">
        <f t="shared" si="158"/>
        <v>31700</v>
      </c>
      <c r="Y436" s="5">
        <v>-0.2</v>
      </c>
      <c r="Z436" s="5">
        <v>-2.0699999999999998</v>
      </c>
      <c r="AA436" s="2">
        <f t="shared" si="159"/>
        <v>1.8699999999999999</v>
      </c>
      <c r="AB436" s="3">
        <f t="shared" si="160"/>
        <v>2.4883341628047145E-2</v>
      </c>
    </row>
    <row r="437" spans="1:28" x14ac:dyDescent="0.2">
      <c r="A437" t="s">
        <v>6</v>
      </c>
      <c r="B437">
        <v>72</v>
      </c>
      <c r="C437">
        <v>155</v>
      </c>
      <c r="D437">
        <v>60</v>
      </c>
      <c r="E437" t="s">
        <v>12</v>
      </c>
      <c r="F437" s="1">
        <v>45162</v>
      </c>
      <c r="G437" t="s">
        <v>8</v>
      </c>
      <c r="H437" s="2">
        <v>19.059999999999999</v>
      </c>
      <c r="I437" s="2">
        <v>42.91</v>
      </c>
      <c r="J437" s="2">
        <v>39.75</v>
      </c>
      <c r="K437" s="2">
        <f t="shared" si="140"/>
        <v>316.05999999999995</v>
      </c>
      <c r="L437" s="2">
        <v>5.64</v>
      </c>
      <c r="M437" s="2">
        <v>0.05</v>
      </c>
      <c r="N437" s="6">
        <f t="shared" si="152"/>
        <v>7.2836191366745187</v>
      </c>
      <c r="O437" s="6">
        <f t="shared" si="153"/>
        <v>1.6409666918826706</v>
      </c>
      <c r="P437" s="6">
        <f t="shared" si="154"/>
        <v>97.247266146033368</v>
      </c>
      <c r="Q437" s="6">
        <f t="shared" si="141"/>
        <v>0.84507215565646043</v>
      </c>
      <c r="R437" s="10">
        <f t="shared" si="142"/>
        <v>8.4507215565646047E-4</v>
      </c>
      <c r="S437" s="3">
        <f t="shared" si="155"/>
        <v>1.5211298801816289E-2</v>
      </c>
      <c r="T437" s="4">
        <f t="shared" si="156"/>
        <v>1.5211298801816288E-5</v>
      </c>
      <c r="U437" s="3">
        <f t="shared" si="157"/>
        <v>5.4760675686538633E-2</v>
      </c>
      <c r="V437" s="2">
        <v>22.24</v>
      </c>
      <c r="W437" s="2">
        <v>4.22</v>
      </c>
      <c r="X437" s="2">
        <f t="shared" si="158"/>
        <v>42200</v>
      </c>
      <c r="Y437" s="5">
        <v>-0.31</v>
      </c>
      <c r="Z437" s="5">
        <v>-1.89</v>
      </c>
      <c r="AA437" s="2">
        <f t="shared" si="159"/>
        <v>1.5799999999999998</v>
      </c>
      <c r="AB437" s="3">
        <f t="shared" si="160"/>
        <v>3.4658655497809263E-2</v>
      </c>
    </row>
    <row r="438" spans="1:28" x14ac:dyDescent="0.2">
      <c r="A438" t="s">
        <v>6</v>
      </c>
      <c r="B438">
        <v>72</v>
      </c>
      <c r="C438">
        <v>5</v>
      </c>
      <c r="D438">
        <v>61</v>
      </c>
      <c r="E438" t="s">
        <v>12</v>
      </c>
      <c r="F438" s="1">
        <v>45162</v>
      </c>
      <c r="G438" t="s">
        <v>8</v>
      </c>
      <c r="H438" s="2">
        <v>20.59</v>
      </c>
      <c r="I438" s="2">
        <v>42.72</v>
      </c>
      <c r="J438" s="2">
        <v>39.71</v>
      </c>
      <c r="K438" s="2">
        <f t="shared" si="140"/>
        <v>315.87</v>
      </c>
      <c r="L438" s="2">
        <v>5.51</v>
      </c>
      <c r="M438" s="2">
        <v>0.08</v>
      </c>
      <c r="N438" s="6">
        <f t="shared" si="152"/>
        <v>7.2680412616757737</v>
      </c>
      <c r="O438" s="6">
        <f t="shared" si="153"/>
        <v>1.755140803025163</v>
      </c>
      <c r="P438" s="6">
        <f t="shared" si="154"/>
        <v>97.24486339598414</v>
      </c>
      <c r="Q438" s="6">
        <f t="shared" si="141"/>
        <v>1.4462799989893345</v>
      </c>
      <c r="R438" s="10">
        <f t="shared" si="142"/>
        <v>1.4462799989893344E-3</v>
      </c>
      <c r="S438" s="3">
        <f t="shared" si="155"/>
        <v>2.6033039981808018E-2</v>
      </c>
      <c r="T438" s="4">
        <f t="shared" si="156"/>
        <v>2.6033039981808018E-5</v>
      </c>
      <c r="U438" s="3">
        <f t="shared" si="157"/>
        <v>9.3718943934508872E-2</v>
      </c>
      <c r="V438" s="2">
        <v>5.59</v>
      </c>
      <c r="W438" s="2">
        <v>1.83</v>
      </c>
      <c r="X438" s="2">
        <f t="shared" si="158"/>
        <v>18300</v>
      </c>
      <c r="Y438" s="5">
        <v>-0.36</v>
      </c>
      <c r="Z438" s="5">
        <v>-1.68</v>
      </c>
      <c r="AA438" s="2">
        <f t="shared" si="159"/>
        <v>1.3199999999999998</v>
      </c>
      <c r="AB438" s="3">
        <f t="shared" si="160"/>
        <v>7.0999199950385519E-2</v>
      </c>
    </row>
    <row r="439" spans="1:28" x14ac:dyDescent="0.2">
      <c r="A439" t="s">
        <v>6</v>
      </c>
      <c r="B439">
        <v>72</v>
      </c>
      <c r="C439">
        <v>5</v>
      </c>
      <c r="D439">
        <v>63</v>
      </c>
      <c r="E439" t="s">
        <v>12</v>
      </c>
      <c r="F439" s="1">
        <v>45161</v>
      </c>
      <c r="G439" t="s">
        <v>8</v>
      </c>
      <c r="H439" s="2">
        <v>17.93</v>
      </c>
      <c r="I439" s="2">
        <v>41.13</v>
      </c>
      <c r="J439" s="2">
        <v>37.64</v>
      </c>
      <c r="K439" s="2">
        <f t="shared" si="140"/>
        <v>314.27999999999997</v>
      </c>
      <c r="L439" s="2">
        <v>5.0999999999999996</v>
      </c>
      <c r="M439" s="2">
        <v>0.09</v>
      </c>
      <c r="N439" s="6">
        <f t="shared" si="152"/>
        <v>6.5003019221323184</v>
      </c>
      <c r="O439" s="6">
        <f t="shared" si="153"/>
        <v>1.4055479324779991</v>
      </c>
      <c r="P439" s="6">
        <f t="shared" si="154"/>
        <v>97.224644641813484</v>
      </c>
      <c r="Q439" s="6">
        <f t="shared" si="141"/>
        <v>1.2962471959265776</v>
      </c>
      <c r="R439" s="10">
        <f t="shared" si="142"/>
        <v>1.2962471959265776E-3</v>
      </c>
      <c r="S439" s="3">
        <f t="shared" si="155"/>
        <v>2.3332449526678397E-2</v>
      </c>
      <c r="T439" s="4">
        <f t="shared" si="156"/>
        <v>2.3332449526678396E-5</v>
      </c>
      <c r="U439" s="3">
        <f t="shared" si="157"/>
        <v>8.3996818296042219E-2</v>
      </c>
      <c r="V439" s="2">
        <v>13.53</v>
      </c>
      <c r="W439" s="2">
        <v>2.78</v>
      </c>
      <c r="X439" s="2">
        <f t="shared" si="158"/>
        <v>27799.999999999996</v>
      </c>
      <c r="Y439" s="5">
        <v>-0.36</v>
      </c>
      <c r="Z439" s="5">
        <v>-2.1800000000000002</v>
      </c>
      <c r="AA439" s="2">
        <f t="shared" si="159"/>
        <v>1.8200000000000003</v>
      </c>
      <c r="AB439" s="3">
        <f t="shared" si="160"/>
        <v>4.6152097964858356E-2</v>
      </c>
    </row>
    <row r="440" spans="1:28" x14ac:dyDescent="0.2">
      <c r="A440" t="s">
        <v>6</v>
      </c>
      <c r="B440">
        <v>72</v>
      </c>
      <c r="C440">
        <v>5</v>
      </c>
      <c r="D440">
        <v>85</v>
      </c>
      <c r="E440" t="s">
        <v>12</v>
      </c>
      <c r="F440" s="1">
        <v>45162</v>
      </c>
      <c r="G440" t="s">
        <v>8</v>
      </c>
      <c r="H440" s="2">
        <v>19.2</v>
      </c>
      <c r="I440" s="2">
        <v>42.93</v>
      </c>
      <c r="J440" s="2">
        <v>39.44</v>
      </c>
      <c r="K440" s="2">
        <f t="shared" si="140"/>
        <v>316.08</v>
      </c>
      <c r="L440" s="2">
        <v>5.51</v>
      </c>
      <c r="M440" s="2">
        <v>0.08</v>
      </c>
      <c r="N440" s="6">
        <f t="shared" si="152"/>
        <v>7.1636440414545532</v>
      </c>
      <c r="O440" s="6">
        <f t="shared" si="153"/>
        <v>1.6547509177229096</v>
      </c>
      <c r="P440" s="6">
        <f t="shared" si="154"/>
        <v>97.247518902504268</v>
      </c>
      <c r="Q440" s="6">
        <f t="shared" si="141"/>
        <v>1.3603588534633306</v>
      </c>
      <c r="R440" s="10">
        <f t="shared" si="142"/>
        <v>1.3603588534633307E-3</v>
      </c>
      <c r="S440" s="3">
        <f t="shared" si="155"/>
        <v>2.4486459362339952E-2</v>
      </c>
      <c r="T440" s="4">
        <f t="shared" si="156"/>
        <v>2.4486459362339951E-5</v>
      </c>
      <c r="U440" s="3">
        <f t="shared" si="157"/>
        <v>8.8151253704423824E-2</v>
      </c>
      <c r="V440" s="2">
        <v>8.26</v>
      </c>
      <c r="W440" s="2">
        <v>2.33</v>
      </c>
      <c r="X440" s="2">
        <f t="shared" si="158"/>
        <v>23300</v>
      </c>
      <c r="Y440" s="5">
        <v>-0.36</v>
      </c>
      <c r="Z440" s="5">
        <v>-1.93</v>
      </c>
      <c r="AA440" s="2">
        <f t="shared" si="159"/>
        <v>1.5699999999999998</v>
      </c>
      <c r="AB440" s="3">
        <f t="shared" si="160"/>
        <v>5.6147295353136201E-2</v>
      </c>
    </row>
    <row r="441" spans="1:28" x14ac:dyDescent="0.2">
      <c r="A441" t="s">
        <v>9</v>
      </c>
      <c r="B441">
        <v>1521</v>
      </c>
      <c r="C441">
        <v>153</v>
      </c>
      <c r="D441">
        <v>69</v>
      </c>
      <c r="E441" t="s">
        <v>12</v>
      </c>
      <c r="F441" s="1">
        <v>45162</v>
      </c>
      <c r="G441" t="s">
        <v>8</v>
      </c>
      <c r="H441" s="2">
        <v>19.38</v>
      </c>
      <c r="I441" s="2">
        <v>42.78</v>
      </c>
      <c r="J441" s="2">
        <v>38.229999999999997</v>
      </c>
      <c r="K441" s="2">
        <f t="shared" si="140"/>
        <v>315.92999999999995</v>
      </c>
      <c r="L441" s="2">
        <v>5.07</v>
      </c>
      <c r="M441" s="2">
        <v>0.15</v>
      </c>
      <c r="N441" s="6">
        <f t="shared" si="152"/>
        <v>6.7115966987602018</v>
      </c>
      <c r="O441" s="6">
        <f t="shared" si="153"/>
        <v>1.6571988389641383</v>
      </c>
      <c r="P441" s="6">
        <f t="shared" si="154"/>
        <v>97.24562246496113</v>
      </c>
      <c r="Q441" s="6">
        <f t="shared" si="141"/>
        <v>2.5321397361897038</v>
      </c>
      <c r="R441" s="10">
        <f t="shared" si="142"/>
        <v>2.5321397361897039E-3</v>
      </c>
      <c r="S441" s="3">
        <f t="shared" si="155"/>
        <v>4.5578515251414667E-2</v>
      </c>
      <c r="T441" s="4">
        <f t="shared" si="156"/>
        <v>4.5578515251414664E-5</v>
      </c>
      <c r="U441" s="3">
        <f t="shared" si="157"/>
        <v>0.1640826549050928</v>
      </c>
      <c r="V441" s="2">
        <v>1.89</v>
      </c>
      <c r="W441" s="2">
        <v>0.42</v>
      </c>
      <c r="X441" s="2">
        <f t="shared" si="158"/>
        <v>4200</v>
      </c>
      <c r="Y441" s="5">
        <v>-0.35</v>
      </c>
      <c r="Z441" s="5">
        <v>-1.99</v>
      </c>
      <c r="AA441" s="2">
        <f t="shared" si="159"/>
        <v>1.6400000000000001</v>
      </c>
      <c r="AB441" s="3">
        <f t="shared" si="160"/>
        <v>0.10005039933237365</v>
      </c>
    </row>
    <row r="442" spans="1:28" x14ac:dyDescent="0.2">
      <c r="A442" t="s">
        <v>9</v>
      </c>
      <c r="B442">
        <v>1521</v>
      </c>
      <c r="C442">
        <v>153</v>
      </c>
      <c r="D442">
        <v>76</v>
      </c>
      <c r="E442" t="s">
        <v>12</v>
      </c>
      <c r="F442" s="1">
        <v>45162</v>
      </c>
      <c r="G442" t="s">
        <v>8</v>
      </c>
      <c r="H442" s="2">
        <v>19.739999999999998</v>
      </c>
      <c r="I442" s="2">
        <v>42.67</v>
      </c>
      <c r="J442" s="2">
        <v>40.369999999999997</v>
      </c>
      <c r="K442" s="2">
        <f t="shared" si="140"/>
        <v>315.82</v>
      </c>
      <c r="L442" s="2">
        <v>5.88</v>
      </c>
      <c r="M442" s="2">
        <v>7.0000000000000007E-2</v>
      </c>
      <c r="N442" s="6">
        <f t="shared" si="152"/>
        <v>7.5288041712631655</v>
      </c>
      <c r="O442" s="6">
        <f t="shared" si="153"/>
        <v>1.6782808157379698</v>
      </c>
      <c r="P442" s="6">
        <f t="shared" si="154"/>
        <v>97.244230622712138</v>
      </c>
      <c r="Q442" s="6">
        <f t="shared" si="141"/>
        <v>1.1868703289577494</v>
      </c>
      <c r="R442" s="10">
        <f t="shared" si="142"/>
        <v>1.1868703289577493E-3</v>
      </c>
      <c r="S442" s="3">
        <f t="shared" si="155"/>
        <v>2.1363665921239488E-2</v>
      </c>
      <c r="T442" s="4">
        <f t="shared" si="156"/>
        <v>2.1363665921239489E-5</v>
      </c>
      <c r="U442" s="3">
        <f t="shared" si="157"/>
        <v>7.6909197316462161E-2</v>
      </c>
      <c r="V442" s="2">
        <v>1.63</v>
      </c>
      <c r="W442" s="2">
        <v>0.4</v>
      </c>
      <c r="X442" s="2">
        <f t="shared" si="158"/>
        <v>4000</v>
      </c>
      <c r="Y442" s="5">
        <v>-0.34</v>
      </c>
      <c r="Z442" s="5">
        <v>-1.83</v>
      </c>
      <c r="AA442" s="2">
        <f t="shared" si="159"/>
        <v>1.49</v>
      </c>
      <c r="AB442" s="3">
        <f t="shared" si="160"/>
        <v>5.1616910950645745E-2</v>
      </c>
    </row>
    <row r="443" spans="1:28" x14ac:dyDescent="0.2">
      <c r="A443" t="s">
        <v>9</v>
      </c>
      <c r="B443">
        <v>1521</v>
      </c>
      <c r="C443">
        <v>153</v>
      </c>
      <c r="D443">
        <v>90</v>
      </c>
      <c r="E443" t="s">
        <v>12</v>
      </c>
      <c r="F443" s="1">
        <v>45161</v>
      </c>
      <c r="G443" t="s">
        <v>8</v>
      </c>
      <c r="H443" s="2">
        <v>16.97</v>
      </c>
      <c r="I443" s="2">
        <v>41.83</v>
      </c>
      <c r="J443" s="2">
        <v>38.729999999999997</v>
      </c>
      <c r="K443" s="2">
        <f t="shared" si="140"/>
        <v>314.97999999999996</v>
      </c>
      <c r="L443" s="2">
        <v>5.51</v>
      </c>
      <c r="M443" s="2">
        <v>0.06</v>
      </c>
      <c r="N443" s="6">
        <f t="shared" si="152"/>
        <v>6.8952993671769942</v>
      </c>
      <c r="O443" s="6">
        <f t="shared" si="153"/>
        <v>1.3804430521111031</v>
      </c>
      <c r="P443" s="6">
        <f t="shared" si="154"/>
        <v>97.233570613204989</v>
      </c>
      <c r="Q443" s="6">
        <f t="shared" si="141"/>
        <v>0.85482782856203854</v>
      </c>
      <c r="R443" s="10">
        <f t="shared" si="142"/>
        <v>8.5482782856203848E-4</v>
      </c>
      <c r="S443" s="3">
        <f t="shared" si="155"/>
        <v>1.5386900914116692E-2</v>
      </c>
      <c r="T443" s="4">
        <f t="shared" si="156"/>
        <v>1.5386900914116693E-5</v>
      </c>
      <c r="U443" s="3">
        <f t="shared" si="157"/>
        <v>5.5392843290820094E-2</v>
      </c>
      <c r="V443" s="2">
        <v>3.81</v>
      </c>
      <c r="W443" s="2">
        <v>0.53</v>
      </c>
      <c r="X443" s="2">
        <f t="shared" si="158"/>
        <v>5300</v>
      </c>
      <c r="Y443" s="5">
        <v>-0.38</v>
      </c>
      <c r="Z443" s="5">
        <v>-1.98</v>
      </c>
      <c r="AA443" s="2">
        <f t="shared" si="159"/>
        <v>1.6</v>
      </c>
      <c r="AB443" s="3">
        <f t="shared" si="160"/>
        <v>3.4620527056762558E-2</v>
      </c>
    </row>
    <row r="444" spans="1:28" x14ac:dyDescent="0.2">
      <c r="A444" t="s">
        <v>9</v>
      </c>
      <c r="B444">
        <v>1521</v>
      </c>
      <c r="C444">
        <v>155</v>
      </c>
      <c r="D444">
        <v>62</v>
      </c>
      <c r="E444" t="s">
        <v>12</v>
      </c>
      <c r="F444" s="1">
        <v>45161</v>
      </c>
      <c r="G444" t="s">
        <v>8</v>
      </c>
      <c r="H444" s="2">
        <v>17.86</v>
      </c>
      <c r="I444" s="2">
        <v>40.950000000000003</v>
      </c>
      <c r="J444" s="2">
        <v>37.86</v>
      </c>
      <c r="K444" s="2">
        <f t="shared" si="140"/>
        <v>314.09999999999997</v>
      </c>
      <c r="L444" s="2">
        <v>5.19</v>
      </c>
      <c r="M444" s="2">
        <v>0.11</v>
      </c>
      <c r="N444" s="6">
        <f t="shared" si="152"/>
        <v>6.5784047539018902</v>
      </c>
      <c r="O444" s="6">
        <f t="shared" si="153"/>
        <v>1.386760013634541</v>
      </c>
      <c r="P444" s="6">
        <f t="shared" si="154"/>
        <v>97.222343094419458</v>
      </c>
      <c r="Q444" s="6">
        <f t="shared" si="141"/>
        <v>1.5708788542659002</v>
      </c>
      <c r="R444" s="10">
        <f t="shared" si="142"/>
        <v>1.5708788542659002E-3</v>
      </c>
      <c r="S444" s="3">
        <f t="shared" si="155"/>
        <v>2.8275819376786204E-2</v>
      </c>
      <c r="T444" s="4">
        <f t="shared" si="156"/>
        <v>2.8275819376786205E-5</v>
      </c>
      <c r="U444" s="3">
        <f t="shared" si="157"/>
        <v>0.10179294975643034</v>
      </c>
      <c r="V444" s="2">
        <v>1.17</v>
      </c>
      <c r="W444" s="2">
        <v>0.44</v>
      </c>
      <c r="X444" s="2">
        <f t="shared" si="158"/>
        <v>4400</v>
      </c>
      <c r="Y444" s="5">
        <v>-0.41</v>
      </c>
      <c r="Z444" s="5">
        <v>-1.73</v>
      </c>
      <c r="AA444" s="2">
        <f t="shared" si="159"/>
        <v>1.32</v>
      </c>
      <c r="AB444" s="3">
        <f t="shared" si="160"/>
        <v>7.7115871027598745E-2</v>
      </c>
    </row>
    <row r="445" spans="1:28" x14ac:dyDescent="0.2">
      <c r="A445" t="s">
        <v>9</v>
      </c>
      <c r="B445">
        <v>1521</v>
      </c>
      <c r="C445">
        <v>155</v>
      </c>
      <c r="D445">
        <v>64</v>
      </c>
      <c r="E445" t="s">
        <v>12</v>
      </c>
      <c r="F445" s="1">
        <v>45161</v>
      </c>
      <c r="G445" t="s">
        <v>8</v>
      </c>
      <c r="H445" s="2">
        <v>18.71</v>
      </c>
      <c r="I445" s="2">
        <v>41.56</v>
      </c>
      <c r="J445" s="2">
        <v>36.69</v>
      </c>
      <c r="K445" s="2">
        <f t="shared" si="140"/>
        <v>314.70999999999998</v>
      </c>
      <c r="L445" s="2">
        <v>4.68</v>
      </c>
      <c r="M445" s="2">
        <v>0.14000000000000001</v>
      </c>
      <c r="N445" s="6">
        <f t="shared" si="152"/>
        <v>6.1722067947589689</v>
      </c>
      <c r="O445" s="6">
        <f t="shared" si="153"/>
        <v>1.5004480103196653</v>
      </c>
      <c r="P445" s="6">
        <f t="shared" si="154"/>
        <v>97.230132345624511</v>
      </c>
      <c r="Q445" s="6">
        <f t="shared" si="141"/>
        <v>2.1486029713879833</v>
      </c>
      <c r="R445" s="10">
        <f t="shared" si="142"/>
        <v>2.1486029713879834E-3</v>
      </c>
      <c r="S445" s="3">
        <f t="shared" si="155"/>
        <v>3.8674853484983701E-2</v>
      </c>
      <c r="T445" s="4">
        <f t="shared" si="156"/>
        <v>3.8674853484983699E-5</v>
      </c>
      <c r="U445" s="3">
        <f t="shared" si="157"/>
        <v>0.13922947254594131</v>
      </c>
      <c r="V445" s="2">
        <v>1.37</v>
      </c>
      <c r="W445" s="2">
        <v>0.45</v>
      </c>
      <c r="X445" s="2">
        <f t="shared" si="158"/>
        <v>4500</v>
      </c>
      <c r="Y445" s="5">
        <v>-0.84</v>
      </c>
      <c r="Z445" s="5">
        <v>-1.76</v>
      </c>
      <c r="AA445" s="2">
        <f t="shared" si="159"/>
        <v>0.92</v>
      </c>
      <c r="AB445" s="3">
        <f t="shared" si="160"/>
        <v>0.15133638320211013</v>
      </c>
    </row>
    <row r="446" spans="1:28" x14ac:dyDescent="0.2">
      <c r="A446" t="s">
        <v>9</v>
      </c>
      <c r="B446">
        <v>1521</v>
      </c>
      <c r="C446">
        <v>155</v>
      </c>
      <c r="D446">
        <v>66</v>
      </c>
      <c r="E446" t="s">
        <v>12</v>
      </c>
      <c r="F446" s="1">
        <v>45162</v>
      </c>
      <c r="G446" t="s">
        <v>8</v>
      </c>
      <c r="H446" s="2">
        <v>20.78</v>
      </c>
      <c r="I446" s="2">
        <v>42.31</v>
      </c>
      <c r="J446" s="2">
        <v>38.35</v>
      </c>
      <c r="K446" s="2">
        <f t="shared" si="140"/>
        <v>315.45999999999998</v>
      </c>
      <c r="L446" s="2">
        <v>5.0199999999999996</v>
      </c>
      <c r="M446" s="2">
        <v>0.1</v>
      </c>
      <c r="N446" s="6">
        <f t="shared" si="152"/>
        <v>6.7552935614713236</v>
      </c>
      <c r="O446" s="6">
        <f t="shared" si="153"/>
        <v>1.7336307384386265</v>
      </c>
      <c r="P446" s="6">
        <f t="shared" si="154"/>
        <v>97.239668855653946</v>
      </c>
      <c r="Q446" s="6">
        <f t="shared" si="141"/>
        <v>1.7845531375135144</v>
      </c>
      <c r="R446" s="10">
        <f t="shared" si="142"/>
        <v>1.7845531375135144E-3</v>
      </c>
      <c r="S446" s="3">
        <f t="shared" si="155"/>
        <v>3.2121956475243262E-2</v>
      </c>
      <c r="T446" s="4">
        <f t="shared" si="156"/>
        <v>3.2121956475243259E-5</v>
      </c>
      <c r="U446" s="3">
        <f t="shared" si="157"/>
        <v>0.11563904331087574</v>
      </c>
      <c r="V446" s="2">
        <v>3.21</v>
      </c>
      <c r="W446" s="2">
        <v>0.68</v>
      </c>
      <c r="X446" s="2">
        <f t="shared" si="158"/>
        <v>6800.0000000000009</v>
      </c>
      <c r="Y446" s="5">
        <v>-0.62</v>
      </c>
      <c r="Z446" s="5">
        <v>-2.04</v>
      </c>
      <c r="AA446" s="2">
        <f t="shared" si="159"/>
        <v>1.42</v>
      </c>
      <c r="AB446" s="3">
        <f t="shared" si="160"/>
        <v>8.1435945993574468E-2</v>
      </c>
    </row>
    <row r="447" spans="1:28" x14ac:dyDescent="0.2">
      <c r="A447" t="s">
        <v>9</v>
      </c>
      <c r="B447">
        <v>1521</v>
      </c>
      <c r="C447">
        <v>156</v>
      </c>
      <c r="D447">
        <v>71</v>
      </c>
      <c r="E447" t="s">
        <v>12</v>
      </c>
      <c r="F447" s="1">
        <v>45161</v>
      </c>
      <c r="G447" t="s">
        <v>8</v>
      </c>
      <c r="H447" s="2">
        <v>17.86</v>
      </c>
      <c r="I447" s="2">
        <v>41</v>
      </c>
      <c r="J447" s="2">
        <v>37.130000000000003</v>
      </c>
      <c r="K447" s="2">
        <f t="shared" si="140"/>
        <v>314.14999999999998</v>
      </c>
      <c r="L447" s="2">
        <v>4.93</v>
      </c>
      <c r="M447" s="2">
        <v>0.16</v>
      </c>
      <c r="N447" s="6">
        <f t="shared" si="152"/>
        <v>6.3223336600209183</v>
      </c>
      <c r="O447" s="6">
        <f t="shared" si="153"/>
        <v>1.3904435871330272</v>
      </c>
      <c r="P447" s="6">
        <f t="shared" si="154"/>
        <v>97.222982672233144</v>
      </c>
      <c r="Q447" s="6">
        <f t="shared" si="141"/>
        <v>2.2913654722400425</v>
      </c>
      <c r="R447" s="10">
        <f t="shared" si="142"/>
        <v>2.2913654722400427E-3</v>
      </c>
      <c r="S447" s="3">
        <f t="shared" si="155"/>
        <v>4.1244578500320768E-2</v>
      </c>
      <c r="T447" s="4">
        <f t="shared" si="156"/>
        <v>4.1244578500320767E-5</v>
      </c>
      <c r="U447" s="3">
        <f t="shared" si="157"/>
        <v>0.14848048260115476</v>
      </c>
      <c r="V447" s="2">
        <v>3.35</v>
      </c>
      <c r="W447" s="2">
        <v>0.65</v>
      </c>
      <c r="X447" s="2">
        <f t="shared" si="158"/>
        <v>6500</v>
      </c>
      <c r="Y447" s="5">
        <v>-0.46</v>
      </c>
      <c r="Z447" s="5">
        <v>-1.73</v>
      </c>
      <c r="AA447" s="2">
        <f t="shared" si="159"/>
        <v>1.27</v>
      </c>
      <c r="AB447" s="3">
        <f t="shared" si="160"/>
        <v>0.11691376582768091</v>
      </c>
    </row>
    <row r="448" spans="1:28" x14ac:dyDescent="0.2">
      <c r="A448" t="s">
        <v>9</v>
      </c>
      <c r="B448">
        <v>1521</v>
      </c>
      <c r="C448">
        <v>156</v>
      </c>
      <c r="D448">
        <v>74</v>
      </c>
      <c r="E448" t="s">
        <v>12</v>
      </c>
      <c r="F448" s="1">
        <v>45162</v>
      </c>
      <c r="G448" t="s">
        <v>8</v>
      </c>
      <c r="H448" s="2">
        <v>19.809999999999999</v>
      </c>
      <c r="I448" s="2">
        <v>42.76</v>
      </c>
      <c r="J448" s="2">
        <v>40.24</v>
      </c>
      <c r="K448" s="2">
        <f t="shared" si="140"/>
        <v>315.90999999999997</v>
      </c>
      <c r="L448" s="2">
        <v>5.79</v>
      </c>
      <c r="M448" s="2">
        <v>0.09</v>
      </c>
      <c r="N448" s="6">
        <f t="shared" si="152"/>
        <v>7.4768101017207531</v>
      </c>
      <c r="O448" s="6">
        <f t="shared" si="153"/>
        <v>1.6921946207312839</v>
      </c>
      <c r="P448" s="6">
        <f t="shared" si="154"/>
        <v>97.24536947334785</v>
      </c>
      <c r="Q448" s="6">
        <f t="shared" si="141"/>
        <v>1.561132524633734</v>
      </c>
      <c r="R448" s="10">
        <f t="shared" si="142"/>
        <v>1.561132524633734E-3</v>
      </c>
      <c r="S448" s="3">
        <f t="shared" si="155"/>
        <v>2.8100385443407212E-2</v>
      </c>
      <c r="T448" s="4">
        <f t="shared" si="156"/>
        <v>2.8100385443407211E-5</v>
      </c>
      <c r="U448" s="3">
        <f t="shared" si="157"/>
        <v>0.10116138759626596</v>
      </c>
      <c r="V448" s="2">
        <v>2.92</v>
      </c>
      <c r="W448" s="2">
        <v>0.64</v>
      </c>
      <c r="X448" s="2">
        <f t="shared" si="158"/>
        <v>6400</v>
      </c>
      <c r="Y448" s="5">
        <v>-0.63</v>
      </c>
      <c r="Z448" s="5">
        <v>-1.81</v>
      </c>
      <c r="AA448" s="2">
        <f t="shared" si="159"/>
        <v>1.1800000000000002</v>
      </c>
      <c r="AB448" s="3">
        <f t="shared" si="160"/>
        <v>8.5729989488360969E-2</v>
      </c>
    </row>
    <row r="449" spans="1:28" x14ac:dyDescent="0.2">
      <c r="A449" t="s">
        <v>9</v>
      </c>
      <c r="B449">
        <v>1521</v>
      </c>
      <c r="C449">
        <v>156</v>
      </c>
      <c r="D449">
        <v>75</v>
      </c>
      <c r="E449" t="s">
        <v>12</v>
      </c>
      <c r="F449" s="1">
        <v>45162</v>
      </c>
      <c r="G449" t="s">
        <v>8</v>
      </c>
      <c r="H449" s="2">
        <v>20.190000000000001</v>
      </c>
      <c r="I449" s="2">
        <v>42.33</v>
      </c>
      <c r="J449" s="2">
        <v>37.97</v>
      </c>
      <c r="K449" s="2">
        <f t="shared" si="140"/>
        <v>315.47999999999996</v>
      </c>
      <c r="L449" s="2">
        <v>4.9400000000000004</v>
      </c>
      <c r="M449" s="2">
        <v>0.11</v>
      </c>
      <c r="N449" s="6">
        <f t="shared" si="152"/>
        <v>6.6177606235366451</v>
      </c>
      <c r="O449" s="6">
        <f t="shared" si="153"/>
        <v>1.686179613296082</v>
      </c>
      <c r="P449" s="6">
        <f t="shared" si="154"/>
        <v>97.239922554666265</v>
      </c>
      <c r="Q449" s="6">
        <f t="shared" si="141"/>
        <v>1.8979207689648114</v>
      </c>
      <c r="R449" s="10">
        <f t="shared" si="142"/>
        <v>1.8979207689648115E-3</v>
      </c>
      <c r="S449" s="3">
        <f t="shared" si="155"/>
        <v>3.416257384136661E-2</v>
      </c>
      <c r="T449" s="4">
        <f t="shared" si="156"/>
        <v>3.4162573841366612E-5</v>
      </c>
      <c r="U449" s="3">
        <f t="shared" si="157"/>
        <v>0.1229852658289198</v>
      </c>
      <c r="V449" s="2">
        <v>2.78</v>
      </c>
      <c r="W449" s="2">
        <v>0.57999999999999996</v>
      </c>
      <c r="X449" s="2">
        <f t="shared" si="158"/>
        <v>5800</v>
      </c>
      <c r="Y449" s="5">
        <v>-0.35</v>
      </c>
      <c r="Z449" s="5">
        <v>-1.48</v>
      </c>
      <c r="AA449" s="2">
        <f t="shared" si="159"/>
        <v>1.1299999999999999</v>
      </c>
      <c r="AB449" s="3">
        <f t="shared" si="160"/>
        <v>0.1088365184326724</v>
      </c>
    </row>
    <row r="450" spans="1:28" x14ac:dyDescent="0.2">
      <c r="A450" t="s">
        <v>9</v>
      </c>
      <c r="B450">
        <v>1521</v>
      </c>
      <c r="C450">
        <v>157</v>
      </c>
      <c r="D450">
        <v>67</v>
      </c>
      <c r="E450" t="s">
        <v>12</v>
      </c>
      <c r="F450" s="1">
        <v>45162</v>
      </c>
      <c r="G450" t="s">
        <v>8</v>
      </c>
      <c r="H450" s="2">
        <v>19.03</v>
      </c>
      <c r="I450" s="2">
        <v>42.93</v>
      </c>
      <c r="J450" s="2">
        <v>39.82</v>
      </c>
      <c r="K450" s="2">
        <f t="shared" si="140"/>
        <v>316.08</v>
      </c>
      <c r="L450" s="2">
        <v>5.68</v>
      </c>
      <c r="M450" s="2">
        <v>0.09</v>
      </c>
      <c r="N450" s="6">
        <f t="shared" si="152"/>
        <v>7.3109500712206525</v>
      </c>
      <c r="O450" s="6">
        <f t="shared" si="153"/>
        <v>1.6400994773055717</v>
      </c>
      <c r="P450" s="6">
        <f t="shared" si="154"/>
        <v>97.247518902504268</v>
      </c>
      <c r="Q450" s="6">
        <f t="shared" si="141"/>
        <v>1.5094010424782036</v>
      </c>
      <c r="R450" s="10">
        <f t="shared" si="142"/>
        <v>1.5094010424782035E-3</v>
      </c>
      <c r="S450" s="3">
        <f t="shared" si="155"/>
        <v>2.7169218764607664E-2</v>
      </c>
      <c r="T450" s="4">
        <f t="shared" si="156"/>
        <v>2.7169218764607663E-5</v>
      </c>
      <c r="U450" s="3">
        <f t="shared" si="157"/>
        <v>9.7809187552587593E-2</v>
      </c>
      <c r="V450" s="2">
        <v>2.46</v>
      </c>
      <c r="W450" s="2">
        <v>0.65</v>
      </c>
      <c r="X450" s="2">
        <f t="shared" si="158"/>
        <v>6500</v>
      </c>
      <c r="Y450" s="5">
        <v>-0.52</v>
      </c>
      <c r="Z450" s="5">
        <v>-1.61</v>
      </c>
      <c r="AA450" s="2">
        <f t="shared" si="159"/>
        <v>1.0900000000000001</v>
      </c>
      <c r="AB450" s="3">
        <f t="shared" si="160"/>
        <v>8.9733199589529897E-2</v>
      </c>
    </row>
    <row r="451" spans="1:28" x14ac:dyDescent="0.2">
      <c r="A451" t="s">
        <v>9</v>
      </c>
      <c r="B451">
        <v>1521</v>
      </c>
      <c r="C451">
        <v>157</v>
      </c>
      <c r="D451">
        <v>68</v>
      </c>
      <c r="E451" t="s">
        <v>12</v>
      </c>
      <c r="F451" s="1">
        <v>45162</v>
      </c>
      <c r="G451" t="s">
        <v>8</v>
      </c>
      <c r="H451" s="2">
        <v>19.010000000000002</v>
      </c>
      <c r="I451" s="2">
        <v>42.9</v>
      </c>
      <c r="J451" s="2">
        <v>39.96</v>
      </c>
      <c r="K451" s="2">
        <f t="shared" si="140"/>
        <v>316.04999999999995</v>
      </c>
      <c r="L451" s="2">
        <v>5.73</v>
      </c>
      <c r="M451" s="2">
        <v>0.09</v>
      </c>
      <c r="N451" s="6">
        <f t="shared" si="152"/>
        <v>7.3658787486738504</v>
      </c>
      <c r="O451" s="6">
        <f t="shared" si="153"/>
        <v>1.6358056213123964</v>
      </c>
      <c r="P451" s="6">
        <f t="shared" si="154"/>
        <v>97.247139756048284</v>
      </c>
      <c r="Q451" s="6">
        <f t="shared" si="141"/>
        <v>1.5139683053916202</v>
      </c>
      <c r="R451" s="10">
        <f t="shared" si="142"/>
        <v>1.5139683053916203E-3</v>
      </c>
      <c r="S451" s="3">
        <f t="shared" si="155"/>
        <v>2.7251429497049166E-2</v>
      </c>
      <c r="T451" s="4">
        <f t="shared" si="156"/>
        <v>2.7251429497049166E-5</v>
      </c>
      <c r="U451" s="3">
        <f t="shared" si="157"/>
        <v>9.8105146189377004E-2</v>
      </c>
      <c r="V451" s="2">
        <v>2.9</v>
      </c>
      <c r="W451" s="2">
        <v>0.85</v>
      </c>
      <c r="X451" s="2">
        <f t="shared" si="158"/>
        <v>8500</v>
      </c>
      <c r="Y451" s="5">
        <v>-0.68</v>
      </c>
      <c r="Z451" s="5">
        <v>-1.79</v>
      </c>
      <c r="AA451" s="2">
        <f t="shared" si="159"/>
        <v>1.1099999999999999</v>
      </c>
      <c r="AB451" s="3">
        <f t="shared" si="160"/>
        <v>8.8383014585024344E-2</v>
      </c>
    </row>
    <row r="452" spans="1:28" x14ac:dyDescent="0.2">
      <c r="A452" t="s">
        <v>9</v>
      </c>
      <c r="B452">
        <v>1521</v>
      </c>
      <c r="C452">
        <v>157</v>
      </c>
      <c r="D452">
        <v>72</v>
      </c>
      <c r="E452" t="s">
        <v>12</v>
      </c>
      <c r="F452" s="1">
        <v>45161</v>
      </c>
      <c r="G452" t="s">
        <v>8</v>
      </c>
      <c r="H452" s="2">
        <v>17.670000000000002</v>
      </c>
      <c r="I452" s="2">
        <v>41.02</v>
      </c>
      <c r="J452" s="2">
        <v>37.76</v>
      </c>
      <c r="K452" s="2">
        <f t="shared" ref="K452:K515" si="161">273.15+I452</f>
        <v>314.16999999999996</v>
      </c>
      <c r="L452" s="2">
        <v>5.16</v>
      </c>
      <c r="M452" s="2">
        <v>0.08</v>
      </c>
      <c r="N452" s="6">
        <f t="shared" si="152"/>
        <v>6.5428030980775205</v>
      </c>
      <c r="O452" s="6">
        <f t="shared" si="153"/>
        <v>1.3771117350336759</v>
      </c>
      <c r="P452" s="6">
        <f t="shared" si="154"/>
        <v>97.223238447534811</v>
      </c>
      <c r="Q452" s="6">
        <f t="shared" ref="Q452:Q515" si="162">(M452*(N452-L452)/P452)*1000</f>
        <v>1.1378375130540266</v>
      </c>
      <c r="R452" s="10">
        <f t="shared" ref="R452:R485" si="163">Q452/1000</f>
        <v>1.1378375130540266E-3</v>
      </c>
      <c r="S452" s="3">
        <f t="shared" si="155"/>
        <v>2.048107523497248E-2</v>
      </c>
      <c r="T452" s="4">
        <f t="shared" si="156"/>
        <v>2.048107523497248E-5</v>
      </c>
      <c r="U452" s="3">
        <f t="shared" si="157"/>
        <v>7.3731870845900924E-2</v>
      </c>
      <c r="V452" s="2">
        <v>1.89</v>
      </c>
      <c r="W452" s="2">
        <v>1.52</v>
      </c>
      <c r="X452" s="2">
        <f t="shared" si="158"/>
        <v>15200</v>
      </c>
      <c r="Y452" s="5">
        <v>-0.68</v>
      </c>
      <c r="Z452" s="5">
        <v>-1.48</v>
      </c>
      <c r="AA452" s="2">
        <f t="shared" si="159"/>
        <v>0.79999999999999993</v>
      </c>
      <c r="AB452" s="3">
        <f t="shared" si="160"/>
        <v>9.2164838557376158E-2</v>
      </c>
    </row>
    <row r="453" spans="1:28" x14ac:dyDescent="0.2">
      <c r="A453" t="s">
        <v>9</v>
      </c>
      <c r="B453">
        <v>1521</v>
      </c>
      <c r="C453">
        <v>158</v>
      </c>
      <c r="D453">
        <v>70</v>
      </c>
      <c r="E453" t="s">
        <v>12</v>
      </c>
      <c r="F453" s="1">
        <v>45162</v>
      </c>
      <c r="G453" t="s">
        <v>8</v>
      </c>
      <c r="H453" s="2">
        <v>21.37</v>
      </c>
      <c r="I453" s="2">
        <v>42.03</v>
      </c>
      <c r="J453" s="2">
        <v>38.67</v>
      </c>
      <c r="K453" s="2">
        <f t="shared" si="161"/>
        <v>315.17999999999995</v>
      </c>
      <c r="L453" s="2">
        <v>5.12</v>
      </c>
      <c r="M453" s="2">
        <v>0.09</v>
      </c>
      <c r="N453" s="6">
        <f t="shared" si="152"/>
        <v>6.8730272791666049</v>
      </c>
      <c r="O453" s="6">
        <f t="shared" si="153"/>
        <v>1.7567839983526681</v>
      </c>
      <c r="P453" s="6">
        <f t="shared" si="154"/>
        <v>97.236113758386637</v>
      </c>
      <c r="Q453" s="6">
        <f t="shared" si="162"/>
        <v>1.6225705555965468</v>
      </c>
      <c r="R453" s="10">
        <f t="shared" si="163"/>
        <v>1.6225705555965469E-3</v>
      </c>
      <c r="S453" s="3">
        <f t="shared" si="155"/>
        <v>2.9206270000737843E-2</v>
      </c>
      <c r="T453" s="4">
        <f t="shared" si="156"/>
        <v>2.9206270000737843E-5</v>
      </c>
      <c r="U453" s="3">
        <f t="shared" si="157"/>
        <v>0.10514257200265624</v>
      </c>
      <c r="V453" s="2">
        <v>1.25</v>
      </c>
      <c r="W453" s="2">
        <v>0.24</v>
      </c>
      <c r="X453" s="2">
        <f t="shared" si="158"/>
        <v>2400</v>
      </c>
      <c r="Y453" s="5">
        <v>-0.41</v>
      </c>
      <c r="Z453" s="5">
        <v>-1.93</v>
      </c>
      <c r="AA453" s="2">
        <f t="shared" si="159"/>
        <v>1.52</v>
      </c>
      <c r="AB453" s="3">
        <f t="shared" si="160"/>
        <v>6.9172744738589628E-2</v>
      </c>
    </row>
    <row r="454" spans="1:28" x14ac:dyDescent="0.2">
      <c r="A454" t="s">
        <v>9</v>
      </c>
      <c r="B454">
        <v>1521</v>
      </c>
      <c r="C454">
        <v>158</v>
      </c>
      <c r="D454">
        <v>73</v>
      </c>
      <c r="E454" t="s">
        <v>12</v>
      </c>
      <c r="F454" s="1">
        <v>45162</v>
      </c>
      <c r="G454" t="s">
        <v>8</v>
      </c>
      <c r="H454" s="2">
        <v>19.97</v>
      </c>
      <c r="I454" s="2">
        <v>42.73</v>
      </c>
      <c r="J454" s="2">
        <v>39.42</v>
      </c>
      <c r="K454" s="2">
        <f t="shared" si="161"/>
        <v>315.88</v>
      </c>
      <c r="L454" s="2">
        <v>5.46</v>
      </c>
      <c r="M454" s="2">
        <v>7.0000000000000007E-2</v>
      </c>
      <c r="N454" s="6">
        <f t="shared" si="152"/>
        <v>7.1559629012092456</v>
      </c>
      <c r="O454" s="6">
        <f t="shared" si="153"/>
        <v>1.7031827883112138</v>
      </c>
      <c r="P454" s="6">
        <f t="shared" si="154"/>
        <v>97.244989927094039</v>
      </c>
      <c r="Q454" s="6">
        <f t="shared" si="162"/>
        <v>1.220807397621732</v>
      </c>
      <c r="R454" s="10">
        <f t="shared" si="163"/>
        <v>1.2208073976217319E-3</v>
      </c>
      <c r="S454" s="3">
        <f t="shared" si="155"/>
        <v>2.1974533157191174E-2</v>
      </c>
      <c r="T454" s="4">
        <f t="shared" si="156"/>
        <v>2.1974533157191173E-5</v>
      </c>
      <c r="U454" s="3">
        <f t="shared" si="157"/>
        <v>7.9108319365888219E-2</v>
      </c>
      <c r="V454" s="2">
        <v>1.75</v>
      </c>
      <c r="W454" s="2">
        <v>0.39</v>
      </c>
      <c r="X454" s="2">
        <f t="shared" si="158"/>
        <v>3900</v>
      </c>
      <c r="Y454" s="5">
        <v>-0.46</v>
      </c>
      <c r="Z454" s="5">
        <v>-1.92</v>
      </c>
      <c r="AA454" s="2">
        <f t="shared" si="159"/>
        <v>1.46</v>
      </c>
      <c r="AB454" s="3">
        <f t="shared" si="160"/>
        <v>5.4183780387594672E-2</v>
      </c>
    </row>
    <row r="455" spans="1:28" x14ac:dyDescent="0.2">
      <c r="A455" t="s">
        <v>9</v>
      </c>
      <c r="B455">
        <v>1521</v>
      </c>
      <c r="C455">
        <v>158</v>
      </c>
      <c r="D455">
        <v>81</v>
      </c>
      <c r="E455" t="s">
        <v>12</v>
      </c>
      <c r="F455" s="1">
        <v>45162</v>
      </c>
      <c r="G455" t="s">
        <v>8</v>
      </c>
      <c r="H455" s="2">
        <v>21.96</v>
      </c>
      <c r="I455" s="2">
        <v>41.71</v>
      </c>
      <c r="J455" s="2">
        <v>38.99</v>
      </c>
      <c r="K455" s="2">
        <f t="shared" si="161"/>
        <v>314.85999999999996</v>
      </c>
      <c r="L455" s="2">
        <v>5.22</v>
      </c>
      <c r="M455" s="2">
        <v>0.13</v>
      </c>
      <c r="N455" s="6">
        <f t="shared" si="152"/>
        <v>6.9925367011145134</v>
      </c>
      <c r="O455" s="6">
        <f t="shared" si="153"/>
        <v>1.7750866781008925</v>
      </c>
      <c r="P455" s="6">
        <f t="shared" si="154"/>
        <v>97.23204320727082</v>
      </c>
      <c r="Q455" s="6">
        <f t="shared" si="162"/>
        <v>2.3698953919303802</v>
      </c>
      <c r="R455" s="10">
        <f t="shared" si="163"/>
        <v>2.3698953919303804E-3</v>
      </c>
      <c r="S455" s="3">
        <f t="shared" si="155"/>
        <v>4.2658117054746848E-2</v>
      </c>
      <c r="T455" s="4">
        <f t="shared" si="156"/>
        <v>4.2658117054746847E-5</v>
      </c>
      <c r="U455" s="3">
        <f t="shared" si="157"/>
        <v>0.15356922139708865</v>
      </c>
      <c r="V455" s="2">
        <v>0.53</v>
      </c>
      <c r="W455" s="2">
        <v>0.2</v>
      </c>
      <c r="X455" s="2">
        <f t="shared" si="158"/>
        <v>2000</v>
      </c>
      <c r="Y455" s="5">
        <v>-0.49</v>
      </c>
      <c r="Z455" s="5">
        <v>-1.71</v>
      </c>
      <c r="AA455" s="2">
        <f t="shared" si="159"/>
        <v>1.22</v>
      </c>
      <c r="AB455" s="3">
        <f t="shared" si="160"/>
        <v>0.12587641098122021</v>
      </c>
    </row>
    <row r="456" spans="1:28" x14ac:dyDescent="0.2">
      <c r="A456" t="s">
        <v>10</v>
      </c>
      <c r="B456">
        <v>666</v>
      </c>
      <c r="C456">
        <v>101</v>
      </c>
      <c r="D456">
        <v>1</v>
      </c>
      <c r="E456" t="s">
        <v>12</v>
      </c>
      <c r="F456" s="1">
        <v>45161</v>
      </c>
      <c r="G456" t="s">
        <v>8</v>
      </c>
      <c r="H456" s="2">
        <v>18.82</v>
      </c>
      <c r="I456" s="2">
        <v>40.549999999999997</v>
      </c>
      <c r="J456" s="2">
        <v>36.22</v>
      </c>
      <c r="K456" s="2">
        <f t="shared" si="161"/>
        <v>313.7</v>
      </c>
      <c r="L456" s="2">
        <v>4.59</v>
      </c>
      <c r="M456" s="2">
        <v>0.14000000000000001</v>
      </c>
      <c r="N456" s="6">
        <f t="shared" si="152"/>
        <v>6.015272618636315</v>
      </c>
      <c r="O456" s="6">
        <f t="shared" si="153"/>
        <v>1.4305671225856258</v>
      </c>
      <c r="P456" s="6">
        <f t="shared" si="154"/>
        <v>97.2172192840344</v>
      </c>
      <c r="Q456" s="6">
        <f t="shared" si="162"/>
        <v>2.0524981899153483</v>
      </c>
      <c r="R456" s="10">
        <f t="shared" si="163"/>
        <v>2.0524981899153485E-3</v>
      </c>
      <c r="S456" s="3">
        <f t="shared" si="155"/>
        <v>3.694496741847627E-2</v>
      </c>
      <c r="T456" s="4">
        <f t="shared" si="156"/>
        <v>3.6944967418476271E-5</v>
      </c>
      <c r="U456" s="3">
        <f t="shared" si="157"/>
        <v>0.13300188270651458</v>
      </c>
      <c r="V456" s="2">
        <v>5.47</v>
      </c>
      <c r="W456" s="2">
        <v>1.21</v>
      </c>
      <c r="X456" s="2">
        <f t="shared" si="158"/>
        <v>12100</v>
      </c>
      <c r="Y456" s="5">
        <v>-0.42</v>
      </c>
      <c r="Z456" s="5">
        <v>-1.79</v>
      </c>
      <c r="AA456" s="2">
        <f t="shared" si="159"/>
        <v>1.37</v>
      </c>
      <c r="AB456" s="3">
        <f t="shared" si="160"/>
        <v>9.708166620913472E-2</v>
      </c>
    </row>
    <row r="457" spans="1:28" x14ac:dyDescent="0.2">
      <c r="A457" t="s">
        <v>10</v>
      </c>
      <c r="B457">
        <v>666</v>
      </c>
      <c r="C457">
        <v>101</v>
      </c>
      <c r="D457">
        <v>2</v>
      </c>
      <c r="E457" t="s">
        <v>12</v>
      </c>
      <c r="F457" s="1">
        <v>45161</v>
      </c>
      <c r="G457" t="s">
        <v>8</v>
      </c>
      <c r="H457" s="2">
        <v>18.32</v>
      </c>
      <c r="I457" s="2">
        <v>41.1</v>
      </c>
      <c r="J457" s="2">
        <v>37.61</v>
      </c>
      <c r="K457" s="2">
        <f t="shared" si="161"/>
        <v>314.25</v>
      </c>
      <c r="L457" s="2">
        <v>5.0599999999999996</v>
      </c>
      <c r="M457" s="2">
        <v>0.1</v>
      </c>
      <c r="N457" s="6">
        <f t="shared" si="152"/>
        <v>6.4897141429796665</v>
      </c>
      <c r="O457" s="6">
        <f t="shared" si="153"/>
        <v>1.4338386690831475</v>
      </c>
      <c r="P457" s="6">
        <f t="shared" si="154"/>
        <v>97.224261229897408</v>
      </c>
      <c r="Q457" s="6">
        <f t="shared" si="162"/>
        <v>1.4705322775340524</v>
      </c>
      <c r="R457" s="10">
        <f t="shared" si="163"/>
        <v>1.4705322775340523E-3</v>
      </c>
      <c r="S457" s="3">
        <f t="shared" si="155"/>
        <v>2.6469580995612939E-2</v>
      </c>
      <c r="T457" s="4">
        <f t="shared" si="156"/>
        <v>2.6469580995612938E-5</v>
      </c>
      <c r="U457" s="3">
        <f t="shared" si="157"/>
        <v>9.5290491584206577E-2</v>
      </c>
      <c r="V457" s="2">
        <v>6.42</v>
      </c>
      <c r="W457" s="2">
        <v>1.41</v>
      </c>
      <c r="X457" s="2">
        <f t="shared" si="158"/>
        <v>14100</v>
      </c>
      <c r="Y457" s="5">
        <v>-0.49</v>
      </c>
      <c r="Z457" s="5">
        <v>-1.84</v>
      </c>
      <c r="AA457" s="2">
        <f t="shared" si="159"/>
        <v>1.35</v>
      </c>
      <c r="AB457" s="3">
        <f t="shared" si="160"/>
        <v>7.0585549321634494E-2</v>
      </c>
    </row>
    <row r="458" spans="1:28" x14ac:dyDescent="0.2">
      <c r="A458" t="s">
        <v>10</v>
      </c>
      <c r="B458">
        <v>666</v>
      </c>
      <c r="C458">
        <v>101</v>
      </c>
      <c r="D458">
        <v>3</v>
      </c>
      <c r="E458" t="s">
        <v>12</v>
      </c>
      <c r="F458" s="1">
        <v>45161</v>
      </c>
      <c r="G458" t="s">
        <v>8</v>
      </c>
      <c r="H458" s="2">
        <v>17.489999999999998</v>
      </c>
      <c r="I458" s="2">
        <v>41.66</v>
      </c>
      <c r="J458" s="2">
        <v>36.67</v>
      </c>
      <c r="K458" s="2">
        <f t="shared" si="161"/>
        <v>314.80999999999995</v>
      </c>
      <c r="L458" s="2">
        <v>4.79</v>
      </c>
      <c r="M458" s="2">
        <v>0.19</v>
      </c>
      <c r="N458" s="6">
        <f t="shared" si="152"/>
        <v>6.1654570369268882</v>
      </c>
      <c r="O458" s="6">
        <f t="shared" si="153"/>
        <v>1.4100378021216027</v>
      </c>
      <c r="P458" s="6">
        <f t="shared" si="154"/>
        <v>97.231406451546363</v>
      </c>
      <c r="Q458" s="6">
        <f t="shared" si="162"/>
        <v>2.687782132888735</v>
      </c>
      <c r="R458" s="10">
        <f t="shared" si="163"/>
        <v>2.6877821328887348E-3</v>
      </c>
      <c r="S458" s="3">
        <f t="shared" si="155"/>
        <v>4.8380078391997226E-2</v>
      </c>
      <c r="T458" s="4">
        <f t="shared" si="156"/>
        <v>4.8380078391997227E-5</v>
      </c>
      <c r="U458" s="3">
        <f t="shared" si="157"/>
        <v>0.17416828221119002</v>
      </c>
      <c r="V458" s="2">
        <v>5.07</v>
      </c>
      <c r="W458" s="2">
        <v>1.03</v>
      </c>
      <c r="X458" s="2">
        <f t="shared" si="158"/>
        <v>10300</v>
      </c>
      <c r="Y458" s="5">
        <v>-0.33</v>
      </c>
      <c r="Z458" s="5">
        <v>-1.7</v>
      </c>
      <c r="AA458" s="2">
        <f t="shared" si="159"/>
        <v>1.3699999999999999</v>
      </c>
      <c r="AB458" s="3">
        <f t="shared" si="160"/>
        <v>0.12713013300086864</v>
      </c>
    </row>
    <row r="459" spans="1:28" x14ac:dyDescent="0.2">
      <c r="A459" t="s">
        <v>10</v>
      </c>
      <c r="B459">
        <v>666</v>
      </c>
      <c r="C459">
        <v>105</v>
      </c>
      <c r="D459">
        <v>7</v>
      </c>
      <c r="E459" t="s">
        <v>12</v>
      </c>
      <c r="F459" s="1">
        <v>45161</v>
      </c>
      <c r="G459" t="s">
        <v>8</v>
      </c>
      <c r="H459" s="2">
        <v>18.48</v>
      </c>
      <c r="I459" s="2">
        <v>41.16</v>
      </c>
      <c r="J459" s="2">
        <v>36.99</v>
      </c>
      <c r="K459" s="2">
        <f t="shared" si="161"/>
        <v>314.30999999999995</v>
      </c>
      <c r="L459" s="2">
        <v>4.83</v>
      </c>
      <c r="M459" s="2">
        <v>0.16</v>
      </c>
      <c r="N459" s="6">
        <f t="shared" si="152"/>
        <v>6.2742258887015936</v>
      </c>
      <c r="O459" s="6">
        <f t="shared" si="153"/>
        <v>1.4509676938823033</v>
      </c>
      <c r="P459" s="6">
        <f t="shared" si="154"/>
        <v>97.225027982049966</v>
      </c>
      <c r="Q459" s="6">
        <f t="shared" si="162"/>
        <v>2.376714586648585</v>
      </c>
      <c r="R459" s="10">
        <f t="shared" si="163"/>
        <v>2.376714586648585E-3</v>
      </c>
      <c r="S459" s="3">
        <f t="shared" si="155"/>
        <v>4.2780862559674532E-2</v>
      </c>
      <c r="T459" s="4">
        <f t="shared" si="156"/>
        <v>4.2780862559674531E-5</v>
      </c>
      <c r="U459" s="3">
        <f t="shared" si="157"/>
        <v>0.1540111052148283</v>
      </c>
      <c r="V459" s="2">
        <v>3.34</v>
      </c>
      <c r="W459" s="2">
        <v>0.91</v>
      </c>
      <c r="X459" s="2">
        <f t="shared" si="158"/>
        <v>9100</v>
      </c>
      <c r="Y459" s="5">
        <v>-0.28999999999999998</v>
      </c>
      <c r="Z459" s="5">
        <v>-1.86</v>
      </c>
      <c r="AA459" s="2">
        <f t="shared" si="159"/>
        <v>1.57</v>
      </c>
      <c r="AB459" s="3">
        <f t="shared" si="160"/>
        <v>9.8096245359763246E-2</v>
      </c>
    </row>
    <row r="460" spans="1:28" x14ac:dyDescent="0.2">
      <c r="A460" t="s">
        <v>10</v>
      </c>
      <c r="B460">
        <v>666</v>
      </c>
      <c r="C460">
        <v>105</v>
      </c>
      <c r="D460">
        <v>8</v>
      </c>
      <c r="E460" t="s">
        <v>12</v>
      </c>
      <c r="F460" s="1">
        <v>45161</v>
      </c>
      <c r="G460" t="s">
        <v>8</v>
      </c>
      <c r="H460" s="2">
        <v>17.420000000000002</v>
      </c>
      <c r="I460" s="2">
        <v>40.950000000000003</v>
      </c>
      <c r="J460" s="2">
        <v>38.590000000000003</v>
      </c>
      <c r="K460" s="2">
        <f t="shared" si="161"/>
        <v>314.09999999999997</v>
      </c>
      <c r="L460" s="2">
        <v>5.49</v>
      </c>
      <c r="M460" s="2">
        <v>0.08</v>
      </c>
      <c r="N460" s="6">
        <f t="shared" si="152"/>
        <v>6.8434282444066863</v>
      </c>
      <c r="O460" s="6">
        <f t="shared" si="153"/>
        <v>1.3525957131866579</v>
      </c>
      <c r="P460" s="6">
        <f t="shared" si="154"/>
        <v>97.222343094419458</v>
      </c>
      <c r="Q460" s="6">
        <f t="shared" si="162"/>
        <v>1.1136767136684018</v>
      </c>
      <c r="R460" s="10">
        <f t="shared" si="163"/>
        <v>1.1136767136684018E-3</v>
      </c>
      <c r="S460" s="3">
        <f t="shared" si="155"/>
        <v>2.0046180846031231E-2</v>
      </c>
      <c r="T460" s="4">
        <f t="shared" si="156"/>
        <v>2.0046180846031232E-5</v>
      </c>
      <c r="U460" s="3">
        <f t="shared" si="157"/>
        <v>7.2166251045712435E-2</v>
      </c>
      <c r="V460" s="2">
        <v>2.64</v>
      </c>
      <c r="W460" s="2">
        <v>0.69</v>
      </c>
      <c r="X460" s="2">
        <f t="shared" si="158"/>
        <v>6899.9999999999991</v>
      </c>
      <c r="Y460" s="5">
        <v>-0.35</v>
      </c>
      <c r="Z460" s="5">
        <v>-1.96</v>
      </c>
      <c r="AA460" s="2">
        <f t="shared" si="159"/>
        <v>1.6099999999999999</v>
      </c>
      <c r="AB460" s="3">
        <f t="shared" si="160"/>
        <v>4.4823758413485987E-2</v>
      </c>
    </row>
    <row r="461" spans="1:28" x14ac:dyDescent="0.2">
      <c r="A461" t="s">
        <v>10</v>
      </c>
      <c r="B461">
        <v>666</v>
      </c>
      <c r="C461">
        <v>105</v>
      </c>
      <c r="D461">
        <v>9</v>
      </c>
      <c r="E461" t="s">
        <v>12</v>
      </c>
      <c r="F461" s="1">
        <v>45162</v>
      </c>
      <c r="G461" t="s">
        <v>8</v>
      </c>
      <c r="H461" s="2">
        <v>19.489999999999998</v>
      </c>
      <c r="I461" s="2">
        <v>42.9</v>
      </c>
      <c r="J461" s="2">
        <v>39.92</v>
      </c>
      <c r="K461" s="2">
        <f t="shared" si="161"/>
        <v>316.04999999999995</v>
      </c>
      <c r="L461" s="2">
        <v>5.67</v>
      </c>
      <c r="M461" s="2">
        <v>0.08</v>
      </c>
      <c r="N461" s="6">
        <f t="shared" si="152"/>
        <v>7.3501484607374019</v>
      </c>
      <c r="O461" s="6">
        <f t="shared" si="153"/>
        <v>1.6771094981261758</v>
      </c>
      <c r="P461" s="6">
        <f t="shared" si="154"/>
        <v>97.247139756048284</v>
      </c>
      <c r="Q461" s="6">
        <f t="shared" si="162"/>
        <v>1.3821679197575827</v>
      </c>
      <c r="R461" s="10">
        <f t="shared" si="163"/>
        <v>1.3821679197575827E-3</v>
      </c>
      <c r="S461" s="3">
        <f t="shared" si="155"/>
        <v>2.4879022555636489E-2</v>
      </c>
      <c r="T461" s="4">
        <f t="shared" si="156"/>
        <v>2.487902255563649E-5</v>
      </c>
      <c r="U461" s="3">
        <f t="shared" si="157"/>
        <v>8.9564481200291368E-2</v>
      </c>
      <c r="V461" s="2">
        <v>5.01</v>
      </c>
      <c r="W461" s="2">
        <v>1.0900000000000001</v>
      </c>
      <c r="X461" s="2">
        <f t="shared" si="158"/>
        <v>10900</v>
      </c>
      <c r="Y461" s="5">
        <v>-0.38</v>
      </c>
      <c r="Z461" s="5">
        <v>-1.94</v>
      </c>
      <c r="AA461" s="2">
        <f t="shared" si="159"/>
        <v>1.56</v>
      </c>
      <c r="AB461" s="3">
        <f t="shared" si="160"/>
        <v>5.7413128974545743E-2</v>
      </c>
    </row>
    <row r="462" spans="1:28" x14ac:dyDescent="0.2">
      <c r="A462" t="s">
        <v>10</v>
      </c>
      <c r="B462">
        <v>666</v>
      </c>
      <c r="C462">
        <v>118</v>
      </c>
      <c r="D462">
        <v>10</v>
      </c>
      <c r="E462" t="s">
        <v>12</v>
      </c>
      <c r="F462" s="1">
        <v>45162</v>
      </c>
      <c r="G462" t="s">
        <v>8</v>
      </c>
      <c r="H462" s="2">
        <v>21.37</v>
      </c>
      <c r="I462" s="2">
        <v>41.91</v>
      </c>
      <c r="J462" s="2">
        <v>37.9</v>
      </c>
      <c r="K462" s="2">
        <f t="shared" si="161"/>
        <v>315.05999999999995</v>
      </c>
      <c r="L462" s="2">
        <v>4.8499999999999996</v>
      </c>
      <c r="M462" s="2">
        <v>0.16</v>
      </c>
      <c r="N462" s="6">
        <f t="shared" ref="N462:N485" si="164">0.611*EXP((17.502*J462)/(240.97+J462))</f>
        <v>6.5926924150182034</v>
      </c>
      <c r="O462" s="6">
        <f t="shared" ref="O462:O485" si="165">(0.611*EXP((17.502*I462)/(240.97+I462)))*(H462/100)</f>
        <v>1.7457129296628136</v>
      </c>
      <c r="P462" s="6">
        <f t="shared" ref="P462:P485" si="166">101.325*EXP(-380/(29.27*K462))</f>
        <v>97.234588250747919</v>
      </c>
      <c r="Q462" s="6">
        <f t="shared" si="162"/>
        <v>2.8676090619509345</v>
      </c>
      <c r="R462" s="10">
        <f t="shared" si="163"/>
        <v>2.8676090619509345E-3</v>
      </c>
      <c r="S462" s="3">
        <f t="shared" ref="S462:S485" si="167">R462*18</f>
        <v>5.1616963115116821E-2</v>
      </c>
      <c r="T462" s="4">
        <f t="shared" ref="T462:T485" si="168">S462/1000</f>
        <v>5.1616963115116822E-5</v>
      </c>
      <c r="U462" s="3">
        <f t="shared" ref="U462:U485" si="169">T462*3600</f>
        <v>0.18582106721442057</v>
      </c>
      <c r="V462" s="2">
        <v>3.56</v>
      </c>
      <c r="W462" s="6">
        <v>1</v>
      </c>
      <c r="X462" s="2">
        <f t="shared" ref="X462:X485" si="170">W462*10000</f>
        <v>10000</v>
      </c>
      <c r="Y462" s="5">
        <v>-0.35</v>
      </c>
      <c r="Z462" s="5">
        <v>-1.79</v>
      </c>
      <c r="AA462" s="2">
        <f t="shared" ref="AA462:AA485" si="171">Y462-Z462</f>
        <v>1.44</v>
      </c>
      <c r="AB462" s="3">
        <f t="shared" ref="AB462:AB485" si="172">U462/AA462</f>
        <v>0.12904240778779208</v>
      </c>
    </row>
    <row r="463" spans="1:28" x14ac:dyDescent="0.2">
      <c r="A463" t="s">
        <v>10</v>
      </c>
      <c r="B463">
        <v>666</v>
      </c>
      <c r="C463">
        <v>118</v>
      </c>
      <c r="D463">
        <v>11</v>
      </c>
      <c r="E463" t="s">
        <v>12</v>
      </c>
      <c r="F463" s="1">
        <v>45162</v>
      </c>
      <c r="G463" t="s">
        <v>8</v>
      </c>
      <c r="H463" s="2">
        <v>20.14</v>
      </c>
      <c r="I463" s="2">
        <v>42.82</v>
      </c>
      <c r="J463" s="2">
        <v>41.36</v>
      </c>
      <c r="K463" s="2">
        <f t="shared" si="161"/>
        <v>315.96999999999997</v>
      </c>
      <c r="L463" s="2">
        <v>6.21</v>
      </c>
      <c r="M463" s="2">
        <v>0.03</v>
      </c>
      <c r="N463" s="6">
        <f t="shared" si="164"/>
        <v>7.9351424181053822</v>
      </c>
      <c r="O463" s="6">
        <f t="shared" si="165"/>
        <v>1.7257987397981451</v>
      </c>
      <c r="P463" s="6">
        <f t="shared" si="166"/>
        <v>97.246128354079715</v>
      </c>
      <c r="Q463" s="6">
        <f t="shared" si="162"/>
        <v>0.53219879720785046</v>
      </c>
      <c r="R463" s="10">
        <f t="shared" si="163"/>
        <v>5.3219879720785041E-4</v>
      </c>
      <c r="S463" s="3">
        <f t="shared" si="167"/>
        <v>9.5795783497413071E-3</v>
      </c>
      <c r="T463" s="4">
        <f t="shared" si="168"/>
        <v>9.579578349741307E-6</v>
      </c>
      <c r="U463" s="3">
        <f t="shared" si="169"/>
        <v>3.4486482059068707E-2</v>
      </c>
      <c r="V463" s="2">
        <v>3.32</v>
      </c>
      <c r="W463" s="2">
        <v>0.91</v>
      </c>
      <c r="X463" s="2">
        <f t="shared" si="170"/>
        <v>9100</v>
      </c>
      <c r="Y463" s="5">
        <v>-0.37</v>
      </c>
      <c r="Z463" s="5">
        <v>-1.64</v>
      </c>
      <c r="AA463" s="2">
        <f t="shared" si="171"/>
        <v>1.27</v>
      </c>
      <c r="AB463" s="3">
        <f t="shared" si="172"/>
        <v>2.7154710282731264E-2</v>
      </c>
    </row>
    <row r="464" spans="1:28" x14ac:dyDescent="0.2">
      <c r="A464" t="s">
        <v>10</v>
      </c>
      <c r="B464">
        <v>666</v>
      </c>
      <c r="C464">
        <v>118</v>
      </c>
      <c r="D464">
        <v>12</v>
      </c>
      <c r="E464" t="s">
        <v>12</v>
      </c>
      <c r="F464" s="1">
        <v>45161</v>
      </c>
      <c r="G464" t="s">
        <v>8</v>
      </c>
      <c r="H464" s="2">
        <v>17.309999999999999</v>
      </c>
      <c r="I464" s="2">
        <v>41.88</v>
      </c>
      <c r="J464" s="2">
        <v>39.090000000000003</v>
      </c>
      <c r="K464" s="2">
        <f t="shared" si="161"/>
        <v>315.02999999999997</v>
      </c>
      <c r="L464" s="2">
        <v>5.62</v>
      </c>
      <c r="M464" s="2">
        <v>0.09</v>
      </c>
      <c r="N464" s="6">
        <f t="shared" si="164"/>
        <v>7.0302510753681338</v>
      </c>
      <c r="O464" s="6">
        <f t="shared" si="165"/>
        <v>1.4118177106291718</v>
      </c>
      <c r="P464" s="6">
        <f t="shared" si="166"/>
        <v>97.234206695989201</v>
      </c>
      <c r="Q464" s="6">
        <f t="shared" si="162"/>
        <v>1.3053286605192969</v>
      </c>
      <c r="R464" s="10">
        <f t="shared" si="163"/>
        <v>1.3053286605192969E-3</v>
      </c>
      <c r="S464" s="3">
        <f t="shared" si="167"/>
        <v>2.3495915889347345E-2</v>
      </c>
      <c r="T464" s="4">
        <f t="shared" si="168"/>
        <v>2.3495915889347346E-5</v>
      </c>
      <c r="U464" s="3">
        <f t="shared" si="169"/>
        <v>8.458529720165045E-2</v>
      </c>
      <c r="V464" s="2">
        <v>1.61</v>
      </c>
      <c r="W464" s="2">
        <v>0.5</v>
      </c>
      <c r="X464" s="2">
        <f t="shared" si="170"/>
        <v>5000</v>
      </c>
      <c r="Y464" s="5">
        <v>-0.32</v>
      </c>
      <c r="Z464" s="5">
        <v>-1.91</v>
      </c>
      <c r="AA464" s="2">
        <f t="shared" si="171"/>
        <v>1.5899999999999999</v>
      </c>
      <c r="AB464" s="3">
        <f t="shared" si="172"/>
        <v>5.3198300126824187E-2</v>
      </c>
    </row>
    <row r="465" spans="1:28" x14ac:dyDescent="0.2">
      <c r="A465" t="s">
        <v>10</v>
      </c>
      <c r="B465">
        <v>666</v>
      </c>
      <c r="C465">
        <v>122</v>
      </c>
      <c r="D465">
        <v>16</v>
      </c>
      <c r="E465" t="s">
        <v>12</v>
      </c>
      <c r="F465" s="1">
        <v>45162</v>
      </c>
      <c r="G465" t="s">
        <v>8</v>
      </c>
      <c r="H465" s="2">
        <v>19.32</v>
      </c>
      <c r="I465" s="2">
        <v>42.67</v>
      </c>
      <c r="J465" s="2">
        <v>40.75</v>
      </c>
      <c r="K465" s="2">
        <f t="shared" si="161"/>
        <v>315.82</v>
      </c>
      <c r="L465" s="2">
        <v>6.05</v>
      </c>
      <c r="M465" s="2">
        <v>0.06</v>
      </c>
      <c r="N465" s="6">
        <f t="shared" si="164"/>
        <v>7.6825874965385976</v>
      </c>
      <c r="O465" s="6">
        <f t="shared" si="165"/>
        <v>1.64257271327546</v>
      </c>
      <c r="P465" s="6">
        <f t="shared" si="166"/>
        <v>97.244230622712138</v>
      </c>
      <c r="Q465" s="6">
        <f t="shared" si="162"/>
        <v>1.0073116848686103</v>
      </c>
      <c r="R465" s="10">
        <f t="shared" si="163"/>
        <v>1.0073116848686103E-3</v>
      </c>
      <c r="S465" s="3">
        <f t="shared" si="167"/>
        <v>1.8131610327634985E-2</v>
      </c>
      <c r="T465" s="4">
        <f t="shared" si="168"/>
        <v>1.8131610327634985E-5</v>
      </c>
      <c r="U465" s="3">
        <f t="shared" si="169"/>
        <v>6.5273797179485948E-2</v>
      </c>
      <c r="V465" s="2">
        <v>7.05</v>
      </c>
      <c r="W465" s="2">
        <v>2.21</v>
      </c>
      <c r="X465" s="2">
        <f t="shared" si="170"/>
        <v>22100</v>
      </c>
      <c r="Y465" s="5">
        <v>-0.31</v>
      </c>
      <c r="Z465" s="5">
        <v>-1.54</v>
      </c>
      <c r="AA465" s="2">
        <f t="shared" si="171"/>
        <v>1.23</v>
      </c>
      <c r="AB465" s="3">
        <f t="shared" si="172"/>
        <v>5.3068127788199956E-2</v>
      </c>
    </row>
    <row r="466" spans="1:28" x14ac:dyDescent="0.2">
      <c r="A466" t="s">
        <v>10</v>
      </c>
      <c r="B466">
        <v>666</v>
      </c>
      <c r="C466">
        <v>122</v>
      </c>
      <c r="D466">
        <v>17</v>
      </c>
      <c r="E466" t="s">
        <v>12</v>
      </c>
      <c r="F466" s="1">
        <v>45162</v>
      </c>
      <c r="G466" t="s">
        <v>8</v>
      </c>
      <c r="H466" s="2">
        <v>20.75</v>
      </c>
      <c r="I466" s="2">
        <v>42.47</v>
      </c>
      <c r="J466" s="2">
        <v>40.92</v>
      </c>
      <c r="K466" s="2">
        <f t="shared" si="161"/>
        <v>315.62</v>
      </c>
      <c r="L466" s="2">
        <v>6</v>
      </c>
      <c r="M466" s="2">
        <v>7.0000000000000007E-2</v>
      </c>
      <c r="N466" s="6">
        <f t="shared" si="164"/>
        <v>7.752261645507974</v>
      </c>
      <c r="O466" s="6">
        <f t="shared" si="165"/>
        <v>1.745737860614567</v>
      </c>
      <c r="P466" s="6">
        <f t="shared" si="166"/>
        <v>97.241697565999246</v>
      </c>
      <c r="Q466" s="6">
        <f t="shared" si="162"/>
        <v>1.2613757087314148</v>
      </c>
      <c r="R466" s="10">
        <f t="shared" si="163"/>
        <v>1.2613757087314148E-3</v>
      </c>
      <c r="S466" s="3">
        <f t="shared" si="167"/>
        <v>2.2704762757165466E-2</v>
      </c>
      <c r="T466" s="4">
        <f t="shared" si="168"/>
        <v>2.2704762757165465E-5</v>
      </c>
      <c r="U466" s="3">
        <f t="shared" si="169"/>
        <v>8.1737145925795673E-2</v>
      </c>
      <c r="V466" s="2">
        <v>4.82</v>
      </c>
      <c r="W466" s="2">
        <v>1.19</v>
      </c>
      <c r="X466" s="2">
        <f t="shared" si="170"/>
        <v>11900</v>
      </c>
      <c r="Y466" s="5">
        <v>-0.34</v>
      </c>
      <c r="Z466" s="5">
        <v>-1.66</v>
      </c>
      <c r="AA466" s="2">
        <f t="shared" si="171"/>
        <v>1.3199999999999998</v>
      </c>
      <c r="AB466" s="3">
        <f t="shared" si="172"/>
        <v>6.1922080246814913E-2</v>
      </c>
    </row>
    <row r="467" spans="1:28" x14ac:dyDescent="0.2">
      <c r="A467" t="s">
        <v>10</v>
      </c>
      <c r="B467">
        <v>666</v>
      </c>
      <c r="C467">
        <v>122</v>
      </c>
      <c r="D467">
        <v>18</v>
      </c>
      <c r="E467" t="s">
        <v>12</v>
      </c>
      <c r="F467" s="1">
        <v>45161</v>
      </c>
      <c r="G467" t="s">
        <v>8</v>
      </c>
      <c r="H467" s="2">
        <v>18.03</v>
      </c>
      <c r="I467" s="2">
        <v>41.33</v>
      </c>
      <c r="J467" s="2">
        <v>37.130000000000003</v>
      </c>
      <c r="K467" s="2">
        <f t="shared" si="161"/>
        <v>314.47999999999996</v>
      </c>
      <c r="L467" s="2">
        <v>4.8899999999999997</v>
      </c>
      <c r="M467" s="2">
        <v>0.11</v>
      </c>
      <c r="N467" s="6">
        <f t="shared" si="164"/>
        <v>6.3223336600209183</v>
      </c>
      <c r="O467" s="6">
        <f t="shared" si="165"/>
        <v>1.4284367845703365</v>
      </c>
      <c r="P467" s="6">
        <f t="shared" si="166"/>
        <v>97.227198890412083</v>
      </c>
      <c r="Q467" s="6">
        <f t="shared" si="162"/>
        <v>1.6205002756470266</v>
      </c>
      <c r="R467" s="10">
        <f t="shared" si="163"/>
        <v>1.6205002756470267E-3</v>
      </c>
      <c r="S467" s="3">
        <f t="shared" si="167"/>
        <v>2.916900496164648E-2</v>
      </c>
      <c r="T467" s="4">
        <f t="shared" si="168"/>
        <v>2.9169004961646479E-5</v>
      </c>
      <c r="U467" s="3">
        <f t="shared" si="169"/>
        <v>0.10500841786192733</v>
      </c>
      <c r="V467" s="2">
        <v>7.37</v>
      </c>
      <c r="W467" s="2">
        <v>1.96</v>
      </c>
      <c r="X467" s="2">
        <f t="shared" si="170"/>
        <v>19600</v>
      </c>
      <c r="Y467" s="5">
        <v>-0.25</v>
      </c>
      <c r="Z467" s="5">
        <v>-2.12</v>
      </c>
      <c r="AA467" s="2">
        <f t="shared" si="171"/>
        <v>1.87</v>
      </c>
      <c r="AB467" s="3">
        <f t="shared" si="172"/>
        <v>5.6154234150763274E-2</v>
      </c>
    </row>
    <row r="468" spans="1:28" x14ac:dyDescent="0.2">
      <c r="A468" t="s">
        <v>10</v>
      </c>
      <c r="B468">
        <v>666</v>
      </c>
      <c r="C468">
        <v>123</v>
      </c>
      <c r="D468">
        <v>19</v>
      </c>
      <c r="E468" t="s">
        <v>12</v>
      </c>
      <c r="F468" s="1">
        <v>45161</v>
      </c>
      <c r="G468" t="s">
        <v>8</v>
      </c>
      <c r="H468" s="2">
        <v>19.8</v>
      </c>
      <c r="I468" s="2">
        <v>41.64</v>
      </c>
      <c r="J468" s="2">
        <v>36.4</v>
      </c>
      <c r="K468" s="2">
        <f t="shared" si="161"/>
        <v>314.78999999999996</v>
      </c>
      <c r="L468" s="2">
        <v>4.4800000000000004</v>
      </c>
      <c r="M468" s="2">
        <v>0.19</v>
      </c>
      <c r="N468" s="6">
        <f t="shared" si="164"/>
        <v>6.0749606525244593</v>
      </c>
      <c r="O468" s="6">
        <f t="shared" si="165"/>
        <v>1.5945843969178557</v>
      </c>
      <c r="P468" s="6">
        <f t="shared" si="166"/>
        <v>97.231151693786245</v>
      </c>
      <c r="Q468" s="6">
        <f t="shared" si="162"/>
        <v>3.116722559597263</v>
      </c>
      <c r="R468" s="10">
        <f t="shared" si="163"/>
        <v>3.1167225595972628E-3</v>
      </c>
      <c r="S468" s="3">
        <f t="shared" si="167"/>
        <v>5.6101006072750731E-2</v>
      </c>
      <c r="T468" s="4">
        <f t="shared" si="168"/>
        <v>5.6101006072750732E-5</v>
      </c>
      <c r="U468" s="3">
        <f t="shared" si="169"/>
        <v>0.20196362186190264</v>
      </c>
      <c r="V468" s="2">
        <v>6.06</v>
      </c>
      <c r="W468" s="2">
        <v>1.55</v>
      </c>
      <c r="X468" s="2">
        <f t="shared" si="170"/>
        <v>15500</v>
      </c>
      <c r="Y468" s="5">
        <v>-0.38</v>
      </c>
      <c r="Z468" s="5">
        <v>-2.2599999999999998</v>
      </c>
      <c r="AA468" s="2">
        <f t="shared" si="171"/>
        <v>1.88</v>
      </c>
      <c r="AB468" s="3">
        <f t="shared" si="172"/>
        <v>0.10742745843718227</v>
      </c>
    </row>
    <row r="469" spans="1:28" x14ac:dyDescent="0.2">
      <c r="A469" t="s">
        <v>10</v>
      </c>
      <c r="B469">
        <v>666</v>
      </c>
      <c r="C469">
        <v>123</v>
      </c>
      <c r="D469">
        <v>20</v>
      </c>
      <c r="E469" t="s">
        <v>12</v>
      </c>
      <c r="F469" s="1">
        <v>45161</v>
      </c>
      <c r="G469" t="s">
        <v>8</v>
      </c>
      <c r="H469" s="2">
        <v>18.100000000000001</v>
      </c>
      <c r="I469" s="2">
        <v>41.44</v>
      </c>
      <c r="J469" s="2">
        <v>36.24</v>
      </c>
      <c r="K469" s="2">
        <f t="shared" si="161"/>
        <v>314.58999999999997</v>
      </c>
      <c r="L469" s="2">
        <v>4.58</v>
      </c>
      <c r="M469" s="2">
        <v>0.17</v>
      </c>
      <c r="N469" s="6">
        <f t="shared" si="164"/>
        <v>6.0218793691393051</v>
      </c>
      <c r="O469" s="6">
        <f t="shared" si="165"/>
        <v>1.4423513211564474</v>
      </c>
      <c r="P469" s="6">
        <f t="shared" si="166"/>
        <v>97.228602371366634</v>
      </c>
      <c r="Q469" s="6">
        <f t="shared" si="162"/>
        <v>2.521063625058015</v>
      </c>
      <c r="R469" s="10">
        <f t="shared" si="163"/>
        <v>2.5210636250580149E-3</v>
      </c>
      <c r="S469" s="3">
        <f t="shared" si="167"/>
        <v>4.5379145251044271E-2</v>
      </c>
      <c r="T469" s="4">
        <f t="shared" si="168"/>
        <v>4.5379145251044272E-5</v>
      </c>
      <c r="U469" s="3">
        <f t="shared" si="169"/>
        <v>0.16336492290375937</v>
      </c>
      <c r="V469" s="2">
        <v>5.82</v>
      </c>
      <c r="W469" s="2">
        <v>2.02</v>
      </c>
      <c r="X469" s="2">
        <f t="shared" si="170"/>
        <v>20200</v>
      </c>
      <c r="Y469" s="5">
        <v>-0.71</v>
      </c>
      <c r="Z469" s="5">
        <v>-2.2400000000000002</v>
      </c>
      <c r="AA469" s="2">
        <f t="shared" si="171"/>
        <v>1.5300000000000002</v>
      </c>
      <c r="AB469" s="3">
        <f t="shared" si="172"/>
        <v>0.1067744594142218</v>
      </c>
    </row>
    <row r="470" spans="1:28" x14ac:dyDescent="0.2">
      <c r="A470" t="s">
        <v>10</v>
      </c>
      <c r="B470">
        <v>666</v>
      </c>
      <c r="C470">
        <v>123</v>
      </c>
      <c r="D470">
        <v>22</v>
      </c>
      <c r="E470" t="s">
        <v>12</v>
      </c>
      <c r="F470" s="1">
        <v>45161</v>
      </c>
      <c r="G470" t="s">
        <v>8</v>
      </c>
      <c r="H470" s="2">
        <v>19.07</v>
      </c>
      <c r="I470" s="2">
        <v>40.83</v>
      </c>
      <c r="J470" s="2">
        <v>37.61</v>
      </c>
      <c r="K470" s="2">
        <f t="shared" si="161"/>
        <v>313.97999999999996</v>
      </c>
      <c r="L470" s="2">
        <v>5.03</v>
      </c>
      <c r="M470" s="2">
        <v>0.09</v>
      </c>
      <c r="N470" s="6">
        <f t="shared" si="164"/>
        <v>6.4897141429796665</v>
      </c>
      <c r="O470" s="6">
        <f t="shared" si="165"/>
        <v>1.4713091307339472</v>
      </c>
      <c r="P470" s="6">
        <f t="shared" si="166"/>
        <v>97.220807293752074</v>
      </c>
      <c r="Q470" s="6">
        <f t="shared" si="162"/>
        <v>1.3512979013970066</v>
      </c>
      <c r="R470" s="10">
        <f t="shared" si="163"/>
        <v>1.3512979013970065E-3</v>
      </c>
      <c r="S470" s="3">
        <f t="shared" si="167"/>
        <v>2.4323362225146118E-2</v>
      </c>
      <c r="T470" s="4">
        <f t="shared" si="168"/>
        <v>2.4323362225146119E-5</v>
      </c>
      <c r="U470" s="3">
        <f t="shared" si="169"/>
        <v>8.7564104010526028E-2</v>
      </c>
      <c r="V470" s="2">
        <v>4.78</v>
      </c>
      <c r="W470" s="2">
        <v>1.58</v>
      </c>
      <c r="X470" s="2">
        <f t="shared" si="170"/>
        <v>15800</v>
      </c>
      <c r="Y470" s="5">
        <v>-0.34</v>
      </c>
      <c r="Z470" s="5">
        <v>-2.31</v>
      </c>
      <c r="AA470" s="2">
        <f t="shared" si="171"/>
        <v>1.97</v>
      </c>
      <c r="AB470" s="3">
        <f t="shared" si="172"/>
        <v>4.4448783761688343E-2</v>
      </c>
    </row>
    <row r="471" spans="1:28" x14ac:dyDescent="0.2">
      <c r="A471" t="s">
        <v>11</v>
      </c>
      <c r="B471">
        <v>1212</v>
      </c>
      <c r="C471">
        <v>3</v>
      </c>
      <c r="D471">
        <v>29</v>
      </c>
      <c r="E471" t="s">
        <v>12</v>
      </c>
      <c r="F471" s="1">
        <v>45161</v>
      </c>
      <c r="G471" t="s">
        <v>8</v>
      </c>
      <c r="H471" s="2">
        <v>17.14</v>
      </c>
      <c r="I471" s="2">
        <v>42.02</v>
      </c>
      <c r="J471" s="2">
        <v>39.74</v>
      </c>
      <c r="K471" s="2">
        <f t="shared" si="161"/>
        <v>315.16999999999996</v>
      </c>
      <c r="L471" s="2">
        <v>5.87</v>
      </c>
      <c r="M471" s="2">
        <v>0.06</v>
      </c>
      <c r="N471" s="6">
        <f t="shared" si="164"/>
        <v>7.2797219569615317</v>
      </c>
      <c r="O471" s="6">
        <f t="shared" si="165"/>
        <v>1.4083025203171304</v>
      </c>
      <c r="P471" s="6">
        <f t="shared" si="166"/>
        <v>97.235986676205371</v>
      </c>
      <c r="Q471" s="6">
        <f t="shared" si="162"/>
        <v>0.86987668155570097</v>
      </c>
      <c r="R471" s="10">
        <f t="shared" si="163"/>
        <v>8.6987668155570099E-4</v>
      </c>
      <c r="S471" s="3">
        <f t="shared" si="167"/>
        <v>1.5657780268002616E-2</v>
      </c>
      <c r="T471" s="4">
        <f t="shared" si="168"/>
        <v>1.5657780268002617E-5</v>
      </c>
      <c r="U471" s="3">
        <f t="shared" si="169"/>
        <v>5.6368008964809417E-2</v>
      </c>
      <c r="V471" s="2">
        <v>8.68</v>
      </c>
      <c r="W471" s="2">
        <v>2.3199999999999998</v>
      </c>
      <c r="X471" s="2">
        <f t="shared" si="170"/>
        <v>23200</v>
      </c>
      <c r="Y471" s="5">
        <v>-0.43</v>
      </c>
      <c r="Z471" s="5">
        <v>-1.62</v>
      </c>
      <c r="AA471" s="2">
        <f t="shared" si="171"/>
        <v>1.1900000000000002</v>
      </c>
      <c r="AB471" s="3">
        <f t="shared" si="172"/>
        <v>4.7368074760344041E-2</v>
      </c>
    </row>
    <row r="472" spans="1:28" x14ac:dyDescent="0.2">
      <c r="A472" t="s">
        <v>11</v>
      </c>
      <c r="B472">
        <v>1212</v>
      </c>
      <c r="C472">
        <v>3</v>
      </c>
      <c r="D472">
        <v>30</v>
      </c>
      <c r="E472" t="s">
        <v>12</v>
      </c>
      <c r="F472" s="1">
        <v>45161</v>
      </c>
      <c r="G472" t="s">
        <v>8</v>
      </c>
      <c r="H472" s="2">
        <v>18.8</v>
      </c>
      <c r="I472" s="2">
        <v>40.25</v>
      </c>
      <c r="J472" s="2">
        <v>36.82</v>
      </c>
      <c r="K472" s="2">
        <f t="shared" si="161"/>
        <v>313.39999999999998</v>
      </c>
      <c r="L472" s="2">
        <v>4.8099999999999996</v>
      </c>
      <c r="M472" s="2">
        <v>0.09</v>
      </c>
      <c r="N472" s="6">
        <f t="shared" si="164"/>
        <v>6.2162368273403974</v>
      </c>
      <c r="O472" s="6">
        <f t="shared" si="165"/>
        <v>1.406390130661419</v>
      </c>
      <c r="P472" s="6">
        <f t="shared" si="166"/>
        <v>97.213368020741072</v>
      </c>
      <c r="Q472" s="6">
        <f t="shared" si="162"/>
        <v>1.3018920858048366</v>
      </c>
      <c r="R472" s="10">
        <f t="shared" si="163"/>
        <v>1.3018920858048366E-3</v>
      </c>
      <c r="S472" s="3">
        <f t="shared" si="167"/>
        <v>2.3434057544487057E-2</v>
      </c>
      <c r="T472" s="4">
        <f t="shared" si="168"/>
        <v>2.3434057544487058E-5</v>
      </c>
      <c r="U472" s="3">
        <f t="shared" si="169"/>
        <v>8.4362607160153411E-2</v>
      </c>
      <c r="V472" s="6">
        <v>7</v>
      </c>
      <c r="W472" s="2">
        <v>2.4300000000000002</v>
      </c>
      <c r="X472" s="2">
        <f t="shared" si="170"/>
        <v>24300</v>
      </c>
      <c r="Y472" s="5">
        <v>-0.44</v>
      </c>
      <c r="Z472" s="5">
        <v>-1.83</v>
      </c>
      <c r="AA472" s="2">
        <f t="shared" si="171"/>
        <v>1.3900000000000001</v>
      </c>
      <c r="AB472" s="3">
        <f t="shared" si="172"/>
        <v>6.0692523136801006E-2</v>
      </c>
    </row>
    <row r="473" spans="1:28" x14ac:dyDescent="0.2">
      <c r="A473" t="s">
        <v>11</v>
      </c>
      <c r="B473">
        <v>1212</v>
      </c>
      <c r="C473">
        <v>3</v>
      </c>
      <c r="D473">
        <v>31</v>
      </c>
      <c r="E473" t="s">
        <v>12</v>
      </c>
      <c r="F473" s="1">
        <v>45162</v>
      </c>
      <c r="G473" t="s">
        <v>8</v>
      </c>
      <c r="H473" s="2">
        <v>19.41</v>
      </c>
      <c r="I473" s="2">
        <v>42.86</v>
      </c>
      <c r="J473" s="2">
        <v>39.01</v>
      </c>
      <c r="K473" s="2">
        <f t="shared" si="161"/>
        <v>316.01</v>
      </c>
      <c r="L473" s="2">
        <v>5.34</v>
      </c>
      <c r="M473" s="2">
        <v>0.11</v>
      </c>
      <c r="N473" s="6">
        <f t="shared" si="164"/>
        <v>7.0000655071590163</v>
      </c>
      <c r="O473" s="6">
        <f t="shared" si="165"/>
        <v>1.666732077864213</v>
      </c>
      <c r="P473" s="6">
        <f t="shared" si="166"/>
        <v>97.246634117759882</v>
      </c>
      <c r="Q473" s="6">
        <f t="shared" si="162"/>
        <v>1.8777740478540921</v>
      </c>
      <c r="R473" s="10">
        <f t="shared" si="163"/>
        <v>1.877774047854092E-3</v>
      </c>
      <c r="S473" s="3">
        <f t="shared" si="167"/>
        <v>3.3799932861373658E-2</v>
      </c>
      <c r="T473" s="4">
        <f t="shared" si="168"/>
        <v>3.3799932861373658E-5</v>
      </c>
      <c r="U473" s="3">
        <f t="shared" si="169"/>
        <v>0.12167975830094517</v>
      </c>
      <c r="V473" s="2">
        <v>6.14</v>
      </c>
      <c r="W473" s="2">
        <v>1.8</v>
      </c>
      <c r="X473" s="2">
        <f t="shared" si="170"/>
        <v>18000</v>
      </c>
      <c r="Y473" s="5">
        <v>-0.41</v>
      </c>
      <c r="Z473" s="5">
        <v>-1.81</v>
      </c>
      <c r="AA473" s="2">
        <f t="shared" si="171"/>
        <v>1.4000000000000001</v>
      </c>
      <c r="AB473" s="3">
        <f t="shared" si="172"/>
        <v>8.6914113072103685E-2</v>
      </c>
    </row>
    <row r="474" spans="1:28" x14ac:dyDescent="0.2">
      <c r="A474" t="s">
        <v>11</v>
      </c>
      <c r="B474">
        <v>1212</v>
      </c>
      <c r="C474">
        <v>4</v>
      </c>
      <c r="D474">
        <v>32</v>
      </c>
      <c r="E474" t="s">
        <v>12</v>
      </c>
      <c r="F474" s="1">
        <v>45161</v>
      </c>
      <c r="G474" t="s">
        <v>8</v>
      </c>
      <c r="H474" s="2">
        <v>16.97</v>
      </c>
      <c r="I474" s="2">
        <v>41.99</v>
      </c>
      <c r="J474" s="2">
        <v>39.75</v>
      </c>
      <c r="K474" s="2">
        <f t="shared" si="161"/>
        <v>315.14</v>
      </c>
      <c r="L474" s="2">
        <v>5.9</v>
      </c>
      <c r="M474" s="2">
        <v>0.05</v>
      </c>
      <c r="N474" s="6">
        <f t="shared" si="164"/>
        <v>7.2836191366745187</v>
      </c>
      <c r="O474" s="6">
        <f t="shared" si="165"/>
        <v>1.3921331219437889</v>
      </c>
      <c r="P474" s="6">
        <f t="shared" si="166"/>
        <v>97.235605382267593</v>
      </c>
      <c r="Q474" s="6">
        <f t="shared" si="162"/>
        <v>0.71147761729616521</v>
      </c>
      <c r="R474" s="10">
        <f t="shared" si="163"/>
        <v>7.1147761729616521E-4</v>
      </c>
      <c r="S474" s="3">
        <f t="shared" si="167"/>
        <v>1.2806597111330973E-2</v>
      </c>
      <c r="T474" s="4">
        <f t="shared" si="168"/>
        <v>1.2806597111330974E-5</v>
      </c>
      <c r="U474" s="3">
        <f t="shared" si="169"/>
        <v>4.6103749600791506E-2</v>
      </c>
      <c r="V474" s="2">
        <v>6.68</v>
      </c>
      <c r="W474" s="2">
        <v>1.44</v>
      </c>
      <c r="X474" s="2">
        <f t="shared" si="170"/>
        <v>14400</v>
      </c>
      <c r="Y474" s="5">
        <v>-0.36</v>
      </c>
      <c r="Z474" s="5">
        <v>-1.68</v>
      </c>
      <c r="AA474" s="2">
        <f t="shared" si="171"/>
        <v>1.3199999999999998</v>
      </c>
      <c r="AB474" s="3">
        <f t="shared" si="172"/>
        <v>3.492708303090266E-2</v>
      </c>
    </row>
    <row r="475" spans="1:28" x14ac:dyDescent="0.2">
      <c r="A475" t="s">
        <v>11</v>
      </c>
      <c r="B475">
        <v>1212</v>
      </c>
      <c r="C475">
        <v>4</v>
      </c>
      <c r="D475">
        <v>33</v>
      </c>
      <c r="E475" t="s">
        <v>12</v>
      </c>
      <c r="F475" s="1">
        <v>45162</v>
      </c>
      <c r="G475" t="s">
        <v>8</v>
      </c>
      <c r="H475" s="2">
        <v>20.65</v>
      </c>
      <c r="I475" s="2">
        <v>42.61</v>
      </c>
      <c r="J475" s="2">
        <v>38.07</v>
      </c>
      <c r="K475" s="2">
        <f t="shared" si="161"/>
        <v>315.76</v>
      </c>
      <c r="L475" s="2">
        <v>4.91</v>
      </c>
      <c r="M475" s="2">
        <v>0.12</v>
      </c>
      <c r="N475" s="6">
        <f t="shared" si="164"/>
        <v>6.6537158128227043</v>
      </c>
      <c r="O475" s="6">
        <f t="shared" si="165"/>
        <v>1.7501337788475162</v>
      </c>
      <c r="P475" s="6">
        <f t="shared" si="166"/>
        <v>97.243471035699798</v>
      </c>
      <c r="Q475" s="6">
        <f t="shared" si="162"/>
        <v>2.1517732276535733</v>
      </c>
      <c r="R475" s="10">
        <f t="shared" si="163"/>
        <v>2.1517732276535731E-3</v>
      </c>
      <c r="S475" s="3">
        <f t="shared" si="167"/>
        <v>3.8731918097764315E-2</v>
      </c>
      <c r="T475" s="4">
        <f t="shared" si="168"/>
        <v>3.8731918097764316E-5</v>
      </c>
      <c r="U475" s="3">
        <f t="shared" si="169"/>
        <v>0.13943490515195153</v>
      </c>
      <c r="V475" s="2">
        <v>14.08</v>
      </c>
      <c r="W475" s="2">
        <v>4.13</v>
      </c>
      <c r="X475" s="2">
        <f t="shared" si="170"/>
        <v>41300</v>
      </c>
      <c r="Y475" s="5">
        <v>-0.51</v>
      </c>
      <c r="Z475" s="5">
        <v>-1.92</v>
      </c>
      <c r="AA475" s="2">
        <f t="shared" si="171"/>
        <v>1.41</v>
      </c>
      <c r="AB475" s="3">
        <f t="shared" si="172"/>
        <v>9.889000365386634E-2</v>
      </c>
    </row>
    <row r="476" spans="1:28" x14ac:dyDescent="0.2">
      <c r="A476" t="s">
        <v>11</v>
      </c>
      <c r="B476">
        <v>1212</v>
      </c>
      <c r="C476">
        <v>4</v>
      </c>
      <c r="D476">
        <v>34</v>
      </c>
      <c r="E476" t="s">
        <v>12</v>
      </c>
      <c r="F476" s="1">
        <v>45161</v>
      </c>
      <c r="G476" t="s">
        <v>8</v>
      </c>
      <c r="H476" s="2">
        <v>18.920000000000002</v>
      </c>
      <c r="I476" s="2">
        <v>40.4</v>
      </c>
      <c r="J476" s="2">
        <v>36.19</v>
      </c>
      <c r="K476" s="2">
        <f t="shared" si="161"/>
        <v>313.54999999999995</v>
      </c>
      <c r="L476" s="2">
        <v>4.58</v>
      </c>
      <c r="M476" s="2">
        <v>0.12</v>
      </c>
      <c r="N476" s="6">
        <f t="shared" si="164"/>
        <v>6.0053742973191095</v>
      </c>
      <c r="O476" s="6">
        <f t="shared" si="165"/>
        <v>1.4267282904114365</v>
      </c>
      <c r="P476" s="6">
        <f t="shared" si="166"/>
        <v>97.215294554524306</v>
      </c>
      <c r="Q476" s="6">
        <f t="shared" si="162"/>
        <v>1.7594445036872326</v>
      </c>
      <c r="R476" s="10">
        <f t="shared" si="163"/>
        <v>1.7594445036872325E-3</v>
      </c>
      <c r="S476" s="3">
        <f t="shared" si="167"/>
        <v>3.1670001066370183E-2</v>
      </c>
      <c r="T476" s="4">
        <f t="shared" si="168"/>
        <v>3.1670001066370184E-5</v>
      </c>
      <c r="U476" s="3">
        <f t="shared" si="169"/>
        <v>0.11401200383893266</v>
      </c>
      <c r="V476" s="2">
        <v>4.71</v>
      </c>
      <c r="W476" s="2">
        <v>1.38</v>
      </c>
      <c r="X476" s="2">
        <f t="shared" si="170"/>
        <v>13799.999999999998</v>
      </c>
      <c r="Y476" s="5">
        <v>-0.55000000000000004</v>
      </c>
      <c r="Z476" s="5">
        <v>-2</v>
      </c>
      <c r="AA476" s="2">
        <f t="shared" si="171"/>
        <v>1.45</v>
      </c>
      <c r="AB476" s="3">
        <f t="shared" si="172"/>
        <v>7.8628968164781141E-2</v>
      </c>
    </row>
    <row r="477" spans="1:28" x14ac:dyDescent="0.2">
      <c r="A477" t="s">
        <v>11</v>
      </c>
      <c r="B477">
        <v>1212</v>
      </c>
      <c r="C477">
        <v>7</v>
      </c>
      <c r="D477">
        <v>36</v>
      </c>
      <c r="E477" t="s">
        <v>12</v>
      </c>
      <c r="F477" s="1">
        <v>45161</v>
      </c>
      <c r="G477" t="s">
        <v>8</v>
      </c>
      <c r="H477" s="2">
        <v>18.62</v>
      </c>
      <c r="I477" s="2">
        <v>40.07</v>
      </c>
      <c r="J477" s="2">
        <v>36.659999999999997</v>
      </c>
      <c r="K477" s="2">
        <f t="shared" si="161"/>
        <v>313.21999999999997</v>
      </c>
      <c r="L477" s="2">
        <v>4.78</v>
      </c>
      <c r="M477" s="2">
        <v>0.09</v>
      </c>
      <c r="N477" s="6">
        <f t="shared" si="164"/>
        <v>6.1620845622404472</v>
      </c>
      <c r="O477" s="6">
        <f t="shared" si="165"/>
        <v>1.379609349747664</v>
      </c>
      <c r="P477" s="6">
        <f t="shared" si="166"/>
        <v>97.211053794987038</v>
      </c>
      <c r="Q477" s="6">
        <f t="shared" si="162"/>
        <v>1.2795624133852834</v>
      </c>
      <c r="R477" s="10">
        <f t="shared" si="163"/>
        <v>1.2795624133852834E-3</v>
      </c>
      <c r="S477" s="3">
        <f t="shared" si="167"/>
        <v>2.3032123440935102E-2</v>
      </c>
      <c r="T477" s="4">
        <f t="shared" si="168"/>
        <v>2.3032123440935102E-5</v>
      </c>
      <c r="U477" s="3">
        <f t="shared" si="169"/>
        <v>8.2915644387366372E-2</v>
      </c>
      <c r="V477" s="2">
        <v>6.11</v>
      </c>
      <c r="W477" s="2">
        <v>0.97</v>
      </c>
      <c r="X477" s="2">
        <f t="shared" si="170"/>
        <v>9700</v>
      </c>
      <c r="Y477" s="5">
        <v>-0.49</v>
      </c>
      <c r="Z477" s="5">
        <v>-1.95</v>
      </c>
      <c r="AA477" s="2">
        <f t="shared" si="171"/>
        <v>1.46</v>
      </c>
      <c r="AB477" s="3">
        <f t="shared" si="172"/>
        <v>5.6791537251620804E-2</v>
      </c>
    </row>
    <row r="478" spans="1:28" x14ac:dyDescent="0.2">
      <c r="A478" t="s">
        <v>11</v>
      </c>
      <c r="B478">
        <v>1212</v>
      </c>
      <c r="C478">
        <v>7</v>
      </c>
      <c r="D478">
        <v>37</v>
      </c>
      <c r="E478" t="s">
        <v>12</v>
      </c>
      <c r="F478" s="1">
        <v>45161</v>
      </c>
      <c r="G478" t="s">
        <v>8</v>
      </c>
      <c r="H478" s="2">
        <v>18.84</v>
      </c>
      <c r="I478" s="2">
        <v>40.659999999999997</v>
      </c>
      <c r="J478" s="2">
        <v>36.200000000000003</v>
      </c>
      <c r="K478" s="2">
        <f t="shared" si="161"/>
        <v>313.80999999999995</v>
      </c>
      <c r="L478" s="2">
        <v>4.58</v>
      </c>
      <c r="M478" s="2">
        <v>0.16</v>
      </c>
      <c r="N478" s="6">
        <f t="shared" si="164"/>
        <v>6.0086721646707399</v>
      </c>
      <c r="O478" s="6">
        <f t="shared" si="165"/>
        <v>1.440491576202432</v>
      </c>
      <c r="P478" s="6">
        <f t="shared" si="166"/>
        <v>97.218629607092993</v>
      </c>
      <c r="Q478" s="6">
        <f t="shared" si="162"/>
        <v>2.3512730766844796</v>
      </c>
      <c r="R478" s="10">
        <f t="shared" si="163"/>
        <v>2.3512730766844796E-3</v>
      </c>
      <c r="S478" s="3">
        <f t="shared" si="167"/>
        <v>4.2322915380320632E-2</v>
      </c>
      <c r="T478" s="4">
        <f t="shared" si="168"/>
        <v>4.2322915380320635E-5</v>
      </c>
      <c r="U478" s="3">
        <f t="shared" si="169"/>
        <v>0.15236249536915428</v>
      </c>
      <c r="V478" s="2">
        <v>3.68</v>
      </c>
      <c r="W478" s="2">
        <v>0.9</v>
      </c>
      <c r="X478" s="2">
        <f t="shared" si="170"/>
        <v>9000</v>
      </c>
      <c r="Y478" s="5">
        <v>-0.37</v>
      </c>
      <c r="Z478" s="5">
        <v>-2.04</v>
      </c>
      <c r="AA478" s="2">
        <f t="shared" si="171"/>
        <v>1.67</v>
      </c>
      <c r="AB478" s="3">
        <f t="shared" si="172"/>
        <v>9.1235027167158256E-2</v>
      </c>
    </row>
    <row r="479" spans="1:28" x14ac:dyDescent="0.2">
      <c r="A479" t="s">
        <v>11</v>
      </c>
      <c r="B479">
        <v>1212</v>
      </c>
      <c r="C479">
        <v>7</v>
      </c>
      <c r="D479">
        <v>83</v>
      </c>
      <c r="E479" t="s">
        <v>12</v>
      </c>
      <c r="F479" s="1">
        <v>45161</v>
      </c>
      <c r="G479" t="s">
        <v>8</v>
      </c>
      <c r="H479" s="2">
        <v>18.670000000000002</v>
      </c>
      <c r="I479" s="2">
        <v>41.67</v>
      </c>
      <c r="J479" s="2">
        <v>38.590000000000003</v>
      </c>
      <c r="K479" s="2">
        <f t="shared" si="161"/>
        <v>314.82</v>
      </c>
      <c r="L479" s="2">
        <v>5.34</v>
      </c>
      <c r="M479" s="2">
        <v>0.14000000000000001</v>
      </c>
      <c r="N479" s="6">
        <f t="shared" si="164"/>
        <v>6.8434282444066863</v>
      </c>
      <c r="O479" s="6">
        <f t="shared" si="165"/>
        <v>1.50596387218773</v>
      </c>
      <c r="P479" s="6">
        <f t="shared" si="166"/>
        <v>97.231533818538438</v>
      </c>
      <c r="Q479" s="6">
        <f t="shared" si="162"/>
        <v>2.1647293419206086</v>
      </c>
      <c r="R479" s="10">
        <f t="shared" si="163"/>
        <v>2.1647293419206088E-3</v>
      </c>
      <c r="S479" s="3">
        <f t="shared" si="167"/>
        <v>3.8965128154570955E-2</v>
      </c>
      <c r="T479" s="4">
        <f t="shared" si="168"/>
        <v>3.8965128154570957E-5</v>
      </c>
      <c r="U479" s="3">
        <f t="shared" si="169"/>
        <v>0.14027446135645544</v>
      </c>
      <c r="V479" s="2">
        <v>7.91</v>
      </c>
      <c r="W479" s="2">
        <v>2.14</v>
      </c>
      <c r="X479" s="2">
        <f t="shared" si="170"/>
        <v>21400</v>
      </c>
      <c r="Y479" s="5">
        <v>-0.37</v>
      </c>
      <c r="Z479" s="5">
        <v>-1.77</v>
      </c>
      <c r="AA479" s="2">
        <f t="shared" si="171"/>
        <v>1.4</v>
      </c>
      <c r="AB479" s="3">
        <f t="shared" si="172"/>
        <v>0.10019604382603961</v>
      </c>
    </row>
    <row r="480" spans="1:28" x14ac:dyDescent="0.2">
      <c r="A480" t="s">
        <v>11</v>
      </c>
      <c r="B480">
        <v>1212</v>
      </c>
      <c r="C480">
        <v>8</v>
      </c>
      <c r="D480">
        <v>38</v>
      </c>
      <c r="E480" t="s">
        <v>12</v>
      </c>
      <c r="F480" s="1">
        <v>45161</v>
      </c>
      <c r="G480" t="s">
        <v>8</v>
      </c>
      <c r="H480" s="2">
        <v>18.13</v>
      </c>
      <c r="I480" s="2">
        <v>40.92</v>
      </c>
      <c r="J480" s="2">
        <v>37.75</v>
      </c>
      <c r="K480" s="2">
        <f t="shared" si="161"/>
        <v>314.07</v>
      </c>
      <c r="L480" s="2">
        <v>5.13</v>
      </c>
      <c r="M480" s="2">
        <v>0.11</v>
      </c>
      <c r="N480" s="6">
        <f t="shared" si="164"/>
        <v>6.5392521462432658</v>
      </c>
      <c r="O480" s="6">
        <f t="shared" si="165"/>
        <v>1.4054850363305955</v>
      </c>
      <c r="P480" s="6">
        <f t="shared" si="166"/>
        <v>97.221959252003458</v>
      </c>
      <c r="Q480" s="6">
        <f t="shared" si="162"/>
        <v>1.5944724553940193</v>
      </c>
      <c r="R480" s="10">
        <f t="shared" si="163"/>
        <v>1.5944724553940194E-3</v>
      </c>
      <c r="S480" s="3">
        <f t="shared" si="167"/>
        <v>2.8700504197092348E-2</v>
      </c>
      <c r="T480" s="4">
        <f t="shared" si="168"/>
        <v>2.8700504197092348E-5</v>
      </c>
      <c r="U480" s="3">
        <f t="shared" si="169"/>
        <v>0.10332181510953245</v>
      </c>
      <c r="V480" s="2">
        <v>13.38</v>
      </c>
      <c r="W480" s="2">
        <v>3.28</v>
      </c>
      <c r="X480" s="2">
        <f t="shared" si="170"/>
        <v>32800</v>
      </c>
      <c r="Y480" s="5">
        <v>-0.31</v>
      </c>
      <c r="Z480" s="5">
        <v>-1.83</v>
      </c>
      <c r="AA480" s="2">
        <f t="shared" si="171"/>
        <v>1.52</v>
      </c>
      <c r="AB480" s="3">
        <f t="shared" si="172"/>
        <v>6.7974878361534499E-2</v>
      </c>
    </row>
    <row r="481" spans="1:28" x14ac:dyDescent="0.2">
      <c r="A481" t="s">
        <v>11</v>
      </c>
      <c r="B481">
        <v>1212</v>
      </c>
      <c r="C481">
        <v>8</v>
      </c>
      <c r="D481">
        <v>39</v>
      </c>
      <c r="E481" t="s">
        <v>12</v>
      </c>
      <c r="F481" s="1">
        <v>45162</v>
      </c>
      <c r="G481" t="s">
        <v>8</v>
      </c>
      <c r="H481" s="2">
        <v>22.12</v>
      </c>
      <c r="I481" s="2">
        <v>41.41</v>
      </c>
      <c r="J481" s="2">
        <v>38.53</v>
      </c>
      <c r="K481" s="2">
        <f t="shared" si="161"/>
        <v>314.55999999999995</v>
      </c>
      <c r="L481" s="2">
        <v>5.0599999999999996</v>
      </c>
      <c r="M481" s="2">
        <v>0.13</v>
      </c>
      <c r="N481" s="6">
        <f t="shared" si="164"/>
        <v>6.8213015907508847</v>
      </c>
      <c r="O481" s="6">
        <f t="shared" si="165"/>
        <v>1.759902336837031</v>
      </c>
      <c r="P481" s="6">
        <f t="shared" si="166"/>
        <v>97.22821969917149</v>
      </c>
      <c r="Q481" s="6">
        <f t="shared" si="162"/>
        <v>2.3549665673819407</v>
      </c>
      <c r="R481" s="10">
        <f t="shared" si="163"/>
        <v>2.3549665673819405E-3</v>
      </c>
      <c r="S481" s="3">
        <f t="shared" si="167"/>
        <v>4.2389398212874928E-2</v>
      </c>
      <c r="T481" s="4">
        <f t="shared" si="168"/>
        <v>4.238939821287493E-5</v>
      </c>
      <c r="U481" s="3">
        <f t="shared" si="169"/>
        <v>0.15260183356634974</v>
      </c>
      <c r="V481" s="2">
        <v>3.71</v>
      </c>
      <c r="W481" s="2">
        <v>1.36</v>
      </c>
      <c r="X481" s="2">
        <f t="shared" si="170"/>
        <v>13600.000000000002</v>
      </c>
      <c r="Y481" s="5">
        <v>-0.31</v>
      </c>
      <c r="Z481" s="5">
        <v>-1.65</v>
      </c>
      <c r="AA481" s="2">
        <f t="shared" si="171"/>
        <v>1.3399999999999999</v>
      </c>
      <c r="AB481" s="3">
        <f t="shared" si="172"/>
        <v>0.11388196534802221</v>
      </c>
    </row>
    <row r="482" spans="1:28" x14ac:dyDescent="0.2">
      <c r="A482" t="s">
        <v>11</v>
      </c>
      <c r="B482">
        <v>1212</v>
      </c>
      <c r="C482">
        <v>8</v>
      </c>
      <c r="D482">
        <v>40</v>
      </c>
      <c r="E482" t="s">
        <v>12</v>
      </c>
      <c r="F482" s="1">
        <v>45162</v>
      </c>
      <c r="G482" t="s">
        <v>8</v>
      </c>
      <c r="H482" s="2">
        <v>20.34</v>
      </c>
      <c r="I482" s="2">
        <v>42.85</v>
      </c>
      <c r="J482" s="2">
        <v>40.22</v>
      </c>
      <c r="K482" s="2">
        <f t="shared" si="161"/>
        <v>316</v>
      </c>
      <c r="L482" s="2">
        <v>5.72</v>
      </c>
      <c r="M482" s="2">
        <v>7.0000000000000007E-2</v>
      </c>
      <c r="N482" s="6">
        <f t="shared" si="164"/>
        <v>7.4688386988881916</v>
      </c>
      <c r="O482" s="6">
        <f t="shared" si="165"/>
        <v>1.7456767865573393</v>
      </c>
      <c r="P482" s="6">
        <f t="shared" si="166"/>
        <v>97.246507688597134</v>
      </c>
      <c r="Q482" s="6">
        <f t="shared" si="162"/>
        <v>1.2588494109647903</v>
      </c>
      <c r="R482" s="10">
        <f t="shared" si="163"/>
        <v>1.2588494109647902E-3</v>
      </c>
      <c r="S482" s="3">
        <f t="shared" si="167"/>
        <v>2.2659289397366222E-2</v>
      </c>
      <c r="T482" s="4">
        <f t="shared" si="168"/>
        <v>2.2659289397366224E-5</v>
      </c>
      <c r="U482" s="3">
        <f t="shared" si="169"/>
        <v>8.1573441830518401E-2</v>
      </c>
      <c r="V482" s="2">
        <v>4.62</v>
      </c>
      <c r="W482" s="2">
        <v>1.66</v>
      </c>
      <c r="X482" s="2">
        <f t="shared" si="170"/>
        <v>16600</v>
      </c>
      <c r="Y482" s="5">
        <v>-0.33</v>
      </c>
      <c r="Z482" s="5">
        <v>-1.88</v>
      </c>
      <c r="AA482" s="2">
        <f t="shared" si="171"/>
        <v>1.5499999999999998</v>
      </c>
      <c r="AB482" s="3">
        <f t="shared" si="172"/>
        <v>5.2628026987431235E-2</v>
      </c>
    </row>
    <row r="483" spans="1:28" x14ac:dyDescent="0.2">
      <c r="A483" t="s">
        <v>11</v>
      </c>
      <c r="B483">
        <v>1212</v>
      </c>
      <c r="C483">
        <v>10</v>
      </c>
      <c r="D483">
        <v>21</v>
      </c>
      <c r="E483" t="s">
        <v>12</v>
      </c>
      <c r="F483" s="1">
        <v>45161</v>
      </c>
      <c r="G483" t="s">
        <v>8</v>
      </c>
      <c r="H483" s="2">
        <v>19.329999999999998</v>
      </c>
      <c r="I483" s="2">
        <v>40.75</v>
      </c>
      <c r="J483" s="2">
        <v>36.11</v>
      </c>
      <c r="K483" s="2">
        <f t="shared" si="161"/>
        <v>313.89999999999998</v>
      </c>
      <c r="L483" s="2">
        <v>4.5</v>
      </c>
      <c r="M483" s="2">
        <v>0.15</v>
      </c>
      <c r="N483" s="6">
        <f t="shared" si="164"/>
        <v>5.9790479068224958</v>
      </c>
      <c r="O483" s="6">
        <f t="shared" si="165"/>
        <v>1.4850441630809108</v>
      </c>
      <c r="P483" s="6">
        <f t="shared" si="166"/>
        <v>97.219782787778271</v>
      </c>
      <c r="Q483" s="6">
        <f t="shared" si="162"/>
        <v>2.2820168864979666</v>
      </c>
      <c r="R483" s="10">
        <f t="shared" si="163"/>
        <v>2.2820168864979666E-3</v>
      </c>
      <c r="S483" s="3">
        <f t="shared" si="167"/>
        <v>4.1076303956963399E-2</v>
      </c>
      <c r="T483" s="4">
        <f t="shared" si="168"/>
        <v>4.1076303956963397E-5</v>
      </c>
      <c r="U483" s="3">
        <f t="shared" si="169"/>
        <v>0.14787469424506822</v>
      </c>
      <c r="V483" s="2">
        <v>4.78</v>
      </c>
      <c r="W483" s="2">
        <v>1.38</v>
      </c>
      <c r="X483" s="2">
        <f t="shared" si="170"/>
        <v>13799.999999999998</v>
      </c>
      <c r="Y483" s="5">
        <v>-0.34</v>
      </c>
      <c r="Z483" s="5">
        <v>-2.2599999999999998</v>
      </c>
      <c r="AA483" s="2">
        <f t="shared" si="171"/>
        <v>1.9199999999999997</v>
      </c>
      <c r="AB483" s="3">
        <f t="shared" si="172"/>
        <v>7.7018069919306376E-2</v>
      </c>
    </row>
    <row r="484" spans="1:28" x14ac:dyDescent="0.2">
      <c r="A484" t="s">
        <v>11</v>
      </c>
      <c r="B484">
        <v>1212</v>
      </c>
      <c r="C484">
        <v>10</v>
      </c>
      <c r="D484">
        <v>41</v>
      </c>
      <c r="E484" t="s">
        <v>12</v>
      </c>
      <c r="F484" s="1">
        <v>45162</v>
      </c>
      <c r="G484" t="s">
        <v>8</v>
      </c>
      <c r="H484" s="2">
        <v>20.41</v>
      </c>
      <c r="I484" s="2">
        <v>42.3</v>
      </c>
      <c r="J484" s="2">
        <v>37.090000000000003</v>
      </c>
      <c r="K484" s="2">
        <f t="shared" si="161"/>
        <v>315.45</v>
      </c>
      <c r="L484" s="2">
        <v>4.6100000000000003</v>
      </c>
      <c r="M484" s="2">
        <v>0.12</v>
      </c>
      <c r="N484" s="6">
        <f t="shared" si="164"/>
        <v>6.3085560174065085</v>
      </c>
      <c r="O484" s="6">
        <f t="shared" si="165"/>
        <v>1.7018677405410096</v>
      </c>
      <c r="P484" s="6">
        <f t="shared" si="166"/>
        <v>97.239541994332356</v>
      </c>
      <c r="Q484" s="6">
        <f t="shared" si="162"/>
        <v>2.0961300095455107</v>
      </c>
      <c r="R484" s="10">
        <f t="shared" si="163"/>
        <v>2.0961300095455105E-3</v>
      </c>
      <c r="S484" s="3">
        <f t="shared" si="167"/>
        <v>3.7730340171819192E-2</v>
      </c>
      <c r="T484" s="4">
        <f t="shared" si="168"/>
        <v>3.7730340171819193E-5</v>
      </c>
      <c r="U484" s="3">
        <f t="shared" si="169"/>
        <v>0.1358292246185491</v>
      </c>
      <c r="V484" s="2">
        <v>15.53</v>
      </c>
      <c r="W484" s="2">
        <v>3.35</v>
      </c>
      <c r="X484" s="2">
        <f t="shared" si="170"/>
        <v>33500</v>
      </c>
      <c r="Y484" s="5">
        <v>-0.28999999999999998</v>
      </c>
      <c r="Z484" s="5">
        <v>-1.95</v>
      </c>
      <c r="AA484" s="2">
        <f t="shared" si="171"/>
        <v>1.66</v>
      </c>
      <c r="AB484" s="3">
        <f t="shared" si="172"/>
        <v>8.1824834107559696E-2</v>
      </c>
    </row>
    <row r="485" spans="1:28" x14ac:dyDescent="0.2">
      <c r="A485" t="s">
        <v>11</v>
      </c>
      <c r="B485">
        <v>1212</v>
      </c>
      <c r="C485">
        <v>10</v>
      </c>
      <c r="D485">
        <v>42</v>
      </c>
      <c r="E485" t="s">
        <v>12</v>
      </c>
      <c r="F485" s="1">
        <v>45162</v>
      </c>
      <c r="G485" t="s">
        <v>8</v>
      </c>
      <c r="H485" s="2">
        <v>20.13</v>
      </c>
      <c r="I485" s="2">
        <v>42.68</v>
      </c>
      <c r="J485" s="2">
        <v>38.07</v>
      </c>
      <c r="K485" s="2">
        <f t="shared" si="161"/>
        <v>315.83</v>
      </c>
      <c r="L485" s="2">
        <v>4.9400000000000004</v>
      </c>
      <c r="M485" s="2">
        <v>0.16</v>
      </c>
      <c r="N485" s="6">
        <f t="shared" si="164"/>
        <v>6.6537158128227043</v>
      </c>
      <c r="O485" s="6">
        <f t="shared" si="165"/>
        <v>1.7123357175886171</v>
      </c>
      <c r="P485" s="6">
        <f t="shared" si="166"/>
        <v>97.244357193065312</v>
      </c>
      <c r="Q485" s="6">
        <f t="shared" si="162"/>
        <v>2.8196446350841424</v>
      </c>
      <c r="R485" s="10">
        <f t="shared" si="163"/>
        <v>2.8196446350841424E-3</v>
      </c>
      <c r="S485" s="3">
        <f t="shared" si="167"/>
        <v>5.0753603431514561E-2</v>
      </c>
      <c r="T485" s="4">
        <f t="shared" si="168"/>
        <v>5.0753603431514561E-5</v>
      </c>
      <c r="U485" s="3">
        <f t="shared" si="169"/>
        <v>0.18271297235345241</v>
      </c>
      <c r="V485" s="2">
        <v>14.52</v>
      </c>
      <c r="W485" s="2">
        <v>3.06</v>
      </c>
      <c r="X485" s="2">
        <f t="shared" si="170"/>
        <v>30600</v>
      </c>
      <c r="Y485" s="5">
        <v>-0.42</v>
      </c>
      <c r="Z485" s="5">
        <v>-1.72</v>
      </c>
      <c r="AA485" s="2">
        <f t="shared" si="171"/>
        <v>1.3</v>
      </c>
      <c r="AB485" s="3">
        <f t="shared" si="172"/>
        <v>0.14054844027188645</v>
      </c>
    </row>
    <row r="486" spans="1:28" x14ac:dyDescent="0.2">
      <c r="F486" s="1"/>
      <c r="N486" s="6"/>
      <c r="O486" s="6"/>
      <c r="P486" s="6"/>
      <c r="Q486" s="6"/>
      <c r="R486" s="10"/>
      <c r="S486" s="3"/>
      <c r="T486" s="4"/>
      <c r="U486" s="3"/>
      <c r="Z486" s="5"/>
      <c r="AB486" s="3"/>
    </row>
    <row r="487" spans="1:28" x14ac:dyDescent="0.2">
      <c r="A487" t="s">
        <v>6</v>
      </c>
      <c r="B487">
        <v>72</v>
      </c>
      <c r="C487">
        <v>156</v>
      </c>
      <c r="D487">
        <v>43</v>
      </c>
      <c r="E487" t="s">
        <v>12</v>
      </c>
      <c r="F487" s="1">
        <v>45166</v>
      </c>
      <c r="G487" t="s">
        <v>13</v>
      </c>
      <c r="H487" s="2">
        <v>12.35</v>
      </c>
      <c r="I487" s="2">
        <v>49.19</v>
      </c>
      <c r="J487" s="2">
        <v>47.69</v>
      </c>
      <c r="K487" s="2">
        <f t="shared" si="161"/>
        <v>322.33999999999997</v>
      </c>
      <c r="L487" s="2">
        <v>9.5299999999999994</v>
      </c>
      <c r="M487" s="2">
        <v>0.01</v>
      </c>
      <c r="N487" s="6">
        <f t="shared" ref="N487:N518" si="173">0.611*EXP((17.502*J487)/(240.97+J487))</f>
        <v>11.010796466272131</v>
      </c>
      <c r="O487" s="6">
        <f t="shared" ref="O487:O518" si="174">(0.611*EXP((17.502*I487)/(240.97+I487)))*(H487/100)</f>
        <v>1.4665194417929499</v>
      </c>
      <c r="P487" s="6">
        <f t="shared" ref="P487:P518" si="175">101.325*EXP(-380/(29.27*K487))</f>
        <v>97.325121407900198</v>
      </c>
      <c r="Q487" s="6">
        <f t="shared" si="162"/>
        <v>0.15214945995966986</v>
      </c>
      <c r="R487" s="10">
        <f t="shared" ref="R487:R518" si="176">Q487/1000</f>
        <v>1.5214945995966985E-4</v>
      </c>
      <c r="S487" s="3">
        <f t="shared" ref="S487:S518" si="177">R487*18</f>
        <v>2.7386902792740572E-3</v>
      </c>
      <c r="T487" s="4">
        <f t="shared" ref="T487:T518" si="178">S487/1000</f>
        <v>2.7386902792740572E-6</v>
      </c>
      <c r="U487" s="3">
        <f t="shared" ref="U487:U518" si="179">T487*3600</f>
        <v>9.8592850053866067E-3</v>
      </c>
      <c r="V487" s="2">
        <v>18.53</v>
      </c>
      <c r="W487" s="2">
        <v>3.87</v>
      </c>
      <c r="X487" s="2">
        <f t="shared" ref="X487:X518" si="180">W487*10000</f>
        <v>38700</v>
      </c>
      <c r="Y487" s="5">
        <v>-0.68</v>
      </c>
      <c r="Z487" s="5">
        <v>-2.0499999999999998</v>
      </c>
      <c r="AA487" s="2">
        <f t="shared" ref="AA487:AA518" si="181">Y487-Z487</f>
        <v>1.3699999999999997</v>
      </c>
      <c r="AB487" s="3">
        <f t="shared" ref="AB487:AB518" si="182">U487/AA487</f>
        <v>7.1965583980924154E-3</v>
      </c>
    </row>
    <row r="488" spans="1:28" x14ac:dyDescent="0.2">
      <c r="A488" t="s">
        <v>6</v>
      </c>
      <c r="B488">
        <v>72</v>
      </c>
      <c r="C488">
        <v>156</v>
      </c>
      <c r="D488">
        <v>44</v>
      </c>
      <c r="E488" t="s">
        <v>12</v>
      </c>
      <c r="F488" s="1">
        <v>45166</v>
      </c>
      <c r="G488" t="s">
        <v>13</v>
      </c>
      <c r="H488" s="2">
        <v>13.39</v>
      </c>
      <c r="I488" s="2">
        <v>46.52</v>
      </c>
      <c r="J488" s="2">
        <v>45.91</v>
      </c>
      <c r="K488" s="2">
        <f t="shared" si="161"/>
        <v>319.66999999999996</v>
      </c>
      <c r="L488" s="2">
        <v>8.66</v>
      </c>
      <c r="M488" s="2">
        <v>0</v>
      </c>
      <c r="N488" s="6">
        <f t="shared" si="173"/>
        <v>10.056537842467154</v>
      </c>
      <c r="O488" s="6">
        <f t="shared" si="174"/>
        <v>1.3892359949899613</v>
      </c>
      <c r="P488" s="6">
        <f t="shared" si="175"/>
        <v>97.292386738379051</v>
      </c>
      <c r="Q488" s="6">
        <f t="shared" si="162"/>
        <v>0</v>
      </c>
      <c r="R488" s="10">
        <f t="shared" si="176"/>
        <v>0</v>
      </c>
      <c r="S488" s="3">
        <f t="shared" si="177"/>
        <v>0</v>
      </c>
      <c r="T488" s="4">
        <f t="shared" si="178"/>
        <v>0</v>
      </c>
      <c r="U488" s="3">
        <f t="shared" si="179"/>
        <v>0</v>
      </c>
      <c r="V488" s="2">
        <v>5.08</v>
      </c>
      <c r="W488" s="2">
        <v>1.59</v>
      </c>
      <c r="X488" s="2">
        <f t="shared" si="180"/>
        <v>15900</v>
      </c>
      <c r="Y488" s="5">
        <v>-0.56999999999999995</v>
      </c>
      <c r="Z488" s="5">
        <v>-2.46</v>
      </c>
      <c r="AA488" s="2">
        <f t="shared" si="181"/>
        <v>1.8900000000000001</v>
      </c>
      <c r="AB488" s="3">
        <f t="shared" si="182"/>
        <v>0</v>
      </c>
    </row>
    <row r="489" spans="1:28" x14ac:dyDescent="0.2">
      <c r="A489" t="s">
        <v>6</v>
      </c>
      <c r="B489">
        <v>72</v>
      </c>
      <c r="C489">
        <v>156</v>
      </c>
      <c r="D489">
        <v>45</v>
      </c>
      <c r="E489" t="s">
        <v>12</v>
      </c>
      <c r="F489" s="1">
        <v>45166</v>
      </c>
      <c r="G489" t="s">
        <v>13</v>
      </c>
      <c r="H489" s="2">
        <v>12.8</v>
      </c>
      <c r="I489" s="2">
        <v>48.31</v>
      </c>
      <c r="J489" s="2">
        <v>47.07</v>
      </c>
      <c r="K489" s="2">
        <f t="shared" si="161"/>
        <v>321.45999999999998</v>
      </c>
      <c r="L489" s="2">
        <v>9.23</v>
      </c>
      <c r="M489" s="2">
        <v>0.03</v>
      </c>
      <c r="N489" s="6">
        <f t="shared" si="173"/>
        <v>10.669909366463099</v>
      </c>
      <c r="O489" s="6">
        <f t="shared" si="174"/>
        <v>1.4542134722914042</v>
      </c>
      <c r="P489" s="6">
        <f t="shared" si="175"/>
        <v>97.314391316608535</v>
      </c>
      <c r="Q489" s="6">
        <f t="shared" si="162"/>
        <v>0.44389406756244604</v>
      </c>
      <c r="R489" s="10">
        <f t="shared" si="176"/>
        <v>4.4389406756244605E-4</v>
      </c>
      <c r="S489" s="3">
        <f t="shared" si="177"/>
        <v>7.9900932161240286E-3</v>
      </c>
      <c r="T489" s="4">
        <f t="shared" si="178"/>
        <v>7.9900932161240284E-6</v>
      </c>
      <c r="U489" s="3">
        <f t="shared" si="179"/>
        <v>2.8764335578046502E-2</v>
      </c>
      <c r="V489" s="2">
        <v>13.38</v>
      </c>
      <c r="W489" s="2">
        <v>3.64</v>
      </c>
      <c r="X489" s="2">
        <f t="shared" si="180"/>
        <v>36400</v>
      </c>
      <c r="Y489" s="5">
        <v>-0.56999999999999995</v>
      </c>
      <c r="Z489" s="5">
        <v>-1.73</v>
      </c>
      <c r="AA489" s="2">
        <f t="shared" si="181"/>
        <v>1.1600000000000001</v>
      </c>
      <c r="AB489" s="3">
        <f t="shared" si="182"/>
        <v>2.4796841015557326E-2</v>
      </c>
    </row>
    <row r="490" spans="1:28" x14ac:dyDescent="0.2">
      <c r="A490" t="s">
        <v>6</v>
      </c>
      <c r="B490">
        <v>72</v>
      </c>
      <c r="C490">
        <v>149</v>
      </c>
      <c r="D490">
        <v>46</v>
      </c>
      <c r="E490" t="s">
        <v>12</v>
      </c>
      <c r="F490" s="1">
        <v>45166</v>
      </c>
      <c r="G490" t="s">
        <v>13</v>
      </c>
      <c r="H490" s="2">
        <v>12.87</v>
      </c>
      <c r="I490" s="2">
        <v>49.12</v>
      </c>
      <c r="J490" s="2">
        <v>48.46</v>
      </c>
      <c r="K490" s="2">
        <f t="shared" si="161"/>
        <v>322.27</v>
      </c>
      <c r="L490" s="2">
        <v>9.91</v>
      </c>
      <c r="M490" s="2">
        <v>0.02</v>
      </c>
      <c r="N490" s="6">
        <f t="shared" si="173"/>
        <v>11.447209541273857</v>
      </c>
      <c r="O490" s="6">
        <f t="shared" si="174"/>
        <v>1.5229168570942542</v>
      </c>
      <c r="P490" s="6">
        <f t="shared" si="175"/>
        <v>97.324269979979064</v>
      </c>
      <c r="Q490" s="6">
        <f t="shared" si="162"/>
        <v>0.31589438925975649</v>
      </c>
      <c r="R490" s="10">
        <f t="shared" si="176"/>
        <v>3.1589438925975648E-4</v>
      </c>
      <c r="S490" s="3">
        <f t="shared" si="177"/>
        <v>5.6860990066756167E-3</v>
      </c>
      <c r="T490" s="4">
        <f t="shared" si="178"/>
        <v>5.6860990066756168E-6</v>
      </c>
      <c r="U490" s="3">
        <f t="shared" si="179"/>
        <v>2.046995642403222E-2</v>
      </c>
      <c r="V490" s="2">
        <v>10.99</v>
      </c>
      <c r="W490" s="2">
        <v>2.0499999999999998</v>
      </c>
      <c r="X490" s="2">
        <f t="shared" si="180"/>
        <v>20500</v>
      </c>
      <c r="Y490" s="5">
        <v>-0.76</v>
      </c>
      <c r="Z490" s="5">
        <v>-2.12</v>
      </c>
      <c r="AA490" s="2">
        <f t="shared" si="181"/>
        <v>1.36</v>
      </c>
      <c r="AB490" s="3">
        <f t="shared" si="182"/>
        <v>1.5051438547082513E-2</v>
      </c>
    </row>
    <row r="491" spans="1:28" x14ac:dyDescent="0.2">
      <c r="A491" t="s">
        <v>6</v>
      </c>
      <c r="B491">
        <v>72</v>
      </c>
      <c r="C491">
        <v>149</v>
      </c>
      <c r="D491">
        <v>47</v>
      </c>
      <c r="E491" t="s">
        <v>12</v>
      </c>
      <c r="F491" s="1">
        <v>45166</v>
      </c>
      <c r="G491" t="s">
        <v>13</v>
      </c>
      <c r="H491" s="2">
        <v>12.7</v>
      </c>
      <c r="I491" s="2">
        <v>47.99</v>
      </c>
      <c r="J491" s="2">
        <v>47.24</v>
      </c>
      <c r="K491" s="2">
        <f t="shared" si="161"/>
        <v>321.14</v>
      </c>
      <c r="L491" s="2">
        <v>9.33</v>
      </c>
      <c r="M491" s="2">
        <v>0.01</v>
      </c>
      <c r="N491" s="6">
        <f t="shared" si="173"/>
        <v>10.762459106448132</v>
      </c>
      <c r="O491" s="6">
        <f t="shared" si="174"/>
        <v>1.419744276461776</v>
      </c>
      <c r="P491" s="6">
        <f t="shared" si="175"/>
        <v>97.310475179928417</v>
      </c>
      <c r="Q491" s="6">
        <f t="shared" si="162"/>
        <v>0.14720502636530086</v>
      </c>
      <c r="R491" s="10">
        <f t="shared" si="176"/>
        <v>1.4720502636530086E-4</v>
      </c>
      <c r="S491" s="3">
        <f t="shared" si="177"/>
        <v>2.6496904745754155E-3</v>
      </c>
      <c r="T491" s="4">
        <f t="shared" si="178"/>
        <v>2.6496904745754155E-6</v>
      </c>
      <c r="U491" s="3">
        <f t="shared" si="179"/>
        <v>9.5388857084714954E-3</v>
      </c>
      <c r="V491" s="2">
        <v>10.98</v>
      </c>
      <c r="W491" s="2">
        <v>2.5099999999999998</v>
      </c>
      <c r="X491" s="2">
        <f t="shared" si="180"/>
        <v>25099.999999999996</v>
      </c>
      <c r="Y491" s="5">
        <v>-0.83</v>
      </c>
      <c r="Z491" s="5">
        <v>-1.86</v>
      </c>
      <c r="AA491" s="2">
        <f t="shared" si="181"/>
        <v>1.0300000000000002</v>
      </c>
      <c r="AB491" s="3">
        <f t="shared" si="182"/>
        <v>9.2610540858946537E-3</v>
      </c>
    </row>
    <row r="492" spans="1:28" x14ac:dyDescent="0.2">
      <c r="A492" t="s">
        <v>6</v>
      </c>
      <c r="B492">
        <v>72</v>
      </c>
      <c r="C492">
        <v>149</v>
      </c>
      <c r="D492">
        <v>48</v>
      </c>
      <c r="E492" t="s">
        <v>12</v>
      </c>
      <c r="F492" s="1">
        <v>45166</v>
      </c>
      <c r="G492" t="s">
        <v>13</v>
      </c>
      <c r="H492" s="2">
        <v>13.64</v>
      </c>
      <c r="I492" s="2">
        <v>47</v>
      </c>
      <c r="J492" s="2">
        <v>45.37</v>
      </c>
      <c r="K492" s="2">
        <f t="shared" si="161"/>
        <v>320.14999999999998</v>
      </c>
      <c r="L492" s="2">
        <v>8.32</v>
      </c>
      <c r="M492" s="2">
        <v>0.02</v>
      </c>
      <c r="N492" s="6">
        <f t="shared" si="173"/>
        <v>9.7815558536084861</v>
      </c>
      <c r="O492" s="6">
        <f t="shared" si="174"/>
        <v>1.4502049164688622</v>
      </c>
      <c r="P492" s="6">
        <f t="shared" si="175"/>
        <v>97.298311062406782</v>
      </c>
      <c r="Q492" s="6">
        <f t="shared" si="162"/>
        <v>0.30042779523090574</v>
      </c>
      <c r="R492" s="10">
        <f t="shared" si="176"/>
        <v>3.0042779523090573E-4</v>
      </c>
      <c r="S492" s="3">
        <f t="shared" si="177"/>
        <v>5.4077003141563031E-3</v>
      </c>
      <c r="T492" s="4">
        <f t="shared" si="178"/>
        <v>5.407700314156303E-6</v>
      </c>
      <c r="U492" s="3">
        <f t="shared" si="179"/>
        <v>1.9467721130962692E-2</v>
      </c>
      <c r="V492" s="2">
        <v>17.25</v>
      </c>
      <c r="W492" s="2">
        <v>2.85</v>
      </c>
      <c r="X492" s="2">
        <f t="shared" si="180"/>
        <v>28500</v>
      </c>
      <c r="Y492" s="5">
        <v>-1.1000000000000001</v>
      </c>
      <c r="Z492" s="5">
        <v>-2.09</v>
      </c>
      <c r="AA492" s="2">
        <f t="shared" si="181"/>
        <v>0.98999999999999977</v>
      </c>
      <c r="AB492" s="3">
        <f t="shared" si="182"/>
        <v>1.96643647787502E-2</v>
      </c>
    </row>
    <row r="493" spans="1:28" x14ac:dyDescent="0.2">
      <c r="A493" t="s">
        <v>6</v>
      </c>
      <c r="B493">
        <v>72</v>
      </c>
      <c r="C493">
        <v>152</v>
      </c>
      <c r="D493">
        <v>49</v>
      </c>
      <c r="E493" t="s">
        <v>12</v>
      </c>
      <c r="F493" s="1">
        <v>45166</v>
      </c>
      <c r="G493" t="s">
        <v>13</v>
      </c>
      <c r="H493" s="2">
        <v>15.23</v>
      </c>
      <c r="I493" s="2">
        <v>46.49</v>
      </c>
      <c r="J493" s="2">
        <v>44.79</v>
      </c>
      <c r="K493" s="2">
        <f t="shared" si="161"/>
        <v>319.64</v>
      </c>
      <c r="L493" s="2">
        <v>7.91</v>
      </c>
      <c r="M493" s="2">
        <v>0.04</v>
      </c>
      <c r="N493" s="6">
        <f t="shared" si="173"/>
        <v>9.4934661495700023</v>
      </c>
      <c r="O493" s="6">
        <f t="shared" si="174"/>
        <v>1.5777219005224781</v>
      </c>
      <c r="P493" s="6">
        <f t="shared" si="175"/>
        <v>97.292015889342039</v>
      </c>
      <c r="Q493" s="6">
        <f t="shared" si="162"/>
        <v>0.65101586603817707</v>
      </c>
      <c r="R493" s="10">
        <f t="shared" si="176"/>
        <v>6.5101586603817706E-4</v>
      </c>
      <c r="S493" s="3">
        <f t="shared" si="177"/>
        <v>1.1718285588687188E-2</v>
      </c>
      <c r="T493" s="4">
        <f t="shared" si="178"/>
        <v>1.1718285588687188E-5</v>
      </c>
      <c r="U493" s="3">
        <f t="shared" si="179"/>
        <v>4.2185828119273877E-2</v>
      </c>
      <c r="V493" s="2">
        <v>16.68</v>
      </c>
      <c r="W493" s="2">
        <v>2.78</v>
      </c>
      <c r="X493" s="2">
        <f t="shared" si="180"/>
        <v>27799.999999999996</v>
      </c>
      <c r="Y493" s="5">
        <v>-0.72</v>
      </c>
      <c r="Z493" s="5">
        <v>-1.77</v>
      </c>
      <c r="AA493" s="2">
        <f t="shared" si="181"/>
        <v>1.05</v>
      </c>
      <c r="AB493" s="3">
        <f t="shared" si="182"/>
        <v>4.0176979161213218E-2</v>
      </c>
    </row>
    <row r="494" spans="1:28" x14ac:dyDescent="0.2">
      <c r="A494" t="s">
        <v>6</v>
      </c>
      <c r="B494">
        <v>72</v>
      </c>
      <c r="C494">
        <v>152</v>
      </c>
      <c r="D494">
        <v>50</v>
      </c>
      <c r="E494" t="s">
        <v>12</v>
      </c>
      <c r="F494" s="1">
        <v>45166</v>
      </c>
      <c r="G494" t="s">
        <v>13</v>
      </c>
      <c r="H494" s="2">
        <v>13.01</v>
      </c>
      <c r="I494" s="2">
        <v>47.59</v>
      </c>
      <c r="J494" s="2">
        <v>45.27</v>
      </c>
      <c r="K494" s="2">
        <f t="shared" si="161"/>
        <v>320.74</v>
      </c>
      <c r="L494" s="2">
        <v>8.31</v>
      </c>
      <c r="M494" s="2">
        <v>0.03</v>
      </c>
      <c r="N494" s="6">
        <f t="shared" si="173"/>
        <v>9.7313528879852953</v>
      </c>
      <c r="O494" s="6">
        <f t="shared" si="174"/>
        <v>1.4252698466021778</v>
      </c>
      <c r="P494" s="6">
        <f t="shared" si="175"/>
        <v>97.305569242744994</v>
      </c>
      <c r="Q494" s="6">
        <f t="shared" si="162"/>
        <v>0.43821321812716368</v>
      </c>
      <c r="R494" s="10">
        <f t="shared" si="176"/>
        <v>4.382132181271637E-4</v>
      </c>
      <c r="S494" s="3">
        <f t="shared" si="177"/>
        <v>7.8878379262889466E-3</v>
      </c>
      <c r="T494" s="4">
        <f t="shared" si="178"/>
        <v>7.8878379262889465E-6</v>
      </c>
      <c r="U494" s="3">
        <f t="shared" si="179"/>
        <v>2.8396216534640209E-2</v>
      </c>
      <c r="V494" s="2">
        <v>29.47</v>
      </c>
      <c r="W494" s="2">
        <v>3.96</v>
      </c>
      <c r="X494" s="2">
        <f t="shared" si="180"/>
        <v>39600</v>
      </c>
      <c r="Y494" s="5">
        <v>-0.74</v>
      </c>
      <c r="Z494" s="5">
        <v>-2.0299999999999998</v>
      </c>
      <c r="AA494" s="2">
        <f t="shared" si="181"/>
        <v>1.2899999999999998</v>
      </c>
      <c r="AB494" s="3">
        <f t="shared" si="182"/>
        <v>2.2012570957085437E-2</v>
      </c>
    </row>
    <row r="495" spans="1:28" x14ac:dyDescent="0.2">
      <c r="A495" t="s">
        <v>6</v>
      </c>
      <c r="B495">
        <v>72</v>
      </c>
      <c r="C495">
        <v>152</v>
      </c>
      <c r="D495">
        <v>51</v>
      </c>
      <c r="E495" t="s">
        <v>12</v>
      </c>
      <c r="F495" s="1">
        <v>45166</v>
      </c>
      <c r="G495" t="s">
        <v>13</v>
      </c>
      <c r="H495" s="2">
        <v>14.41</v>
      </c>
      <c r="I495" s="2">
        <v>46.52</v>
      </c>
      <c r="J495" s="2">
        <v>42.39</v>
      </c>
      <c r="K495" s="2">
        <f t="shared" si="161"/>
        <v>319.66999999999996</v>
      </c>
      <c r="L495" s="2">
        <v>6.91</v>
      </c>
      <c r="M495" s="2">
        <v>7.0000000000000007E-2</v>
      </c>
      <c r="N495" s="6">
        <f t="shared" si="173"/>
        <v>8.3779257645504348</v>
      </c>
      <c r="O495" s="6">
        <f t="shared" si="174"/>
        <v>1.4950627847502123</v>
      </c>
      <c r="P495" s="6">
        <f t="shared" si="175"/>
        <v>97.292386738379051</v>
      </c>
      <c r="Q495" s="6">
        <f t="shared" si="162"/>
        <v>1.0561443393802223</v>
      </c>
      <c r="R495" s="10">
        <f t="shared" si="176"/>
        <v>1.0561443393802222E-3</v>
      </c>
      <c r="S495" s="3">
        <f t="shared" si="177"/>
        <v>1.9010598108844E-2</v>
      </c>
      <c r="T495" s="4">
        <f t="shared" si="178"/>
        <v>1.9010598108844E-5</v>
      </c>
      <c r="U495" s="3">
        <f t="shared" si="179"/>
        <v>6.8438153191838394E-2</v>
      </c>
      <c r="V495" s="2">
        <v>11.56</v>
      </c>
      <c r="W495" s="2">
        <v>1.91</v>
      </c>
      <c r="X495" s="2">
        <f t="shared" si="180"/>
        <v>19100</v>
      </c>
      <c r="Y495" s="5">
        <v>-0.5</v>
      </c>
      <c r="Z495" s="5">
        <v>-2.2000000000000002</v>
      </c>
      <c r="AA495" s="2">
        <f t="shared" si="181"/>
        <v>1.7000000000000002</v>
      </c>
      <c r="AB495" s="3">
        <f t="shared" si="182"/>
        <v>4.0257737171669639E-2</v>
      </c>
    </row>
    <row r="496" spans="1:28" x14ac:dyDescent="0.2">
      <c r="A496" t="s">
        <v>6</v>
      </c>
      <c r="B496">
        <v>72</v>
      </c>
      <c r="C496">
        <v>155</v>
      </c>
      <c r="D496">
        <v>58</v>
      </c>
      <c r="E496" t="s">
        <v>12</v>
      </c>
      <c r="F496" s="1">
        <v>45166</v>
      </c>
      <c r="G496" t="s">
        <v>13</v>
      </c>
      <c r="H496" s="2">
        <v>13.13</v>
      </c>
      <c r="I496" s="2">
        <v>47.96</v>
      </c>
      <c r="J496" s="2">
        <v>46.37</v>
      </c>
      <c r="K496" s="2">
        <f t="shared" si="161"/>
        <v>321.10999999999996</v>
      </c>
      <c r="L496" s="2">
        <v>8.82</v>
      </c>
      <c r="M496" s="2">
        <v>0.03</v>
      </c>
      <c r="N496" s="6">
        <f t="shared" si="173"/>
        <v>10.296024421457684</v>
      </c>
      <c r="O496" s="6">
        <f t="shared" si="174"/>
        <v>1.4655916439653047</v>
      </c>
      <c r="P496" s="6">
        <f t="shared" si="175"/>
        <v>97.31010765003515</v>
      </c>
      <c r="Q496" s="6">
        <f t="shared" si="162"/>
        <v>0.45504761748883454</v>
      </c>
      <c r="R496" s="10">
        <f t="shared" si="176"/>
        <v>4.5504761748883457E-4</v>
      </c>
      <c r="S496" s="3">
        <f t="shared" si="177"/>
        <v>8.190857114799022E-3</v>
      </c>
      <c r="T496" s="4">
        <f t="shared" si="178"/>
        <v>8.1908571147990213E-6</v>
      </c>
      <c r="U496" s="3">
        <f t="shared" si="179"/>
        <v>2.9487085613276478E-2</v>
      </c>
      <c r="V496" s="2">
        <v>25.14</v>
      </c>
      <c r="W496" s="2">
        <v>4.53</v>
      </c>
      <c r="X496" s="2">
        <f t="shared" si="180"/>
        <v>45300</v>
      </c>
      <c r="Y496" s="5">
        <v>-0.82</v>
      </c>
      <c r="Z496" s="5">
        <v>-1.98</v>
      </c>
      <c r="AA496" s="2">
        <f t="shared" si="181"/>
        <v>1.1600000000000001</v>
      </c>
      <c r="AB496" s="3">
        <f t="shared" si="182"/>
        <v>2.5419901390755582E-2</v>
      </c>
    </row>
    <row r="497" spans="1:28" x14ac:dyDescent="0.2">
      <c r="A497" t="s">
        <v>6</v>
      </c>
      <c r="B497">
        <v>72</v>
      </c>
      <c r="C497">
        <v>155</v>
      </c>
      <c r="D497">
        <v>59</v>
      </c>
      <c r="E497" t="s">
        <v>12</v>
      </c>
      <c r="F497" s="1">
        <v>45166</v>
      </c>
      <c r="G497" t="s">
        <v>13</v>
      </c>
      <c r="H497" s="2">
        <v>14.47</v>
      </c>
      <c r="I497" s="2">
        <v>47.36</v>
      </c>
      <c r="J497" s="2">
        <v>46.85</v>
      </c>
      <c r="K497" s="2">
        <f t="shared" si="161"/>
        <v>320.51</v>
      </c>
      <c r="L497" s="2">
        <v>8.9700000000000006</v>
      </c>
      <c r="M497" s="2">
        <v>0.02</v>
      </c>
      <c r="N497" s="6">
        <f t="shared" si="173"/>
        <v>10.551159727617154</v>
      </c>
      <c r="O497" s="6">
        <f t="shared" si="174"/>
        <v>1.5668412427699721</v>
      </c>
      <c r="P497" s="6">
        <f t="shared" si="175"/>
        <v>97.302742896324958</v>
      </c>
      <c r="Q497" s="6">
        <f t="shared" si="162"/>
        <v>0.32499797653224693</v>
      </c>
      <c r="R497" s="10">
        <f t="shared" si="176"/>
        <v>3.2499797653224693E-4</v>
      </c>
      <c r="S497" s="3">
        <f t="shared" si="177"/>
        <v>5.849963577580445E-3</v>
      </c>
      <c r="T497" s="4">
        <f t="shared" si="178"/>
        <v>5.8499635775804448E-6</v>
      </c>
      <c r="U497" s="3">
        <f t="shared" si="179"/>
        <v>2.1059868879289602E-2</v>
      </c>
      <c r="V497" s="2">
        <v>16.940000000000001</v>
      </c>
      <c r="W497" s="2">
        <v>3.17</v>
      </c>
      <c r="X497" s="2">
        <f t="shared" si="180"/>
        <v>31700</v>
      </c>
      <c r="Y497" s="5">
        <v>-0.73</v>
      </c>
      <c r="Z497" s="5">
        <v>-1.89</v>
      </c>
      <c r="AA497" s="2">
        <f t="shared" si="181"/>
        <v>1.1599999999999999</v>
      </c>
      <c r="AB497" s="3">
        <f t="shared" si="182"/>
        <v>1.8155059378697935E-2</v>
      </c>
    </row>
    <row r="498" spans="1:28" x14ac:dyDescent="0.2">
      <c r="A498" t="s">
        <v>6</v>
      </c>
      <c r="B498">
        <v>72</v>
      </c>
      <c r="C498">
        <v>155</v>
      </c>
      <c r="D498">
        <v>60</v>
      </c>
      <c r="E498" t="s">
        <v>12</v>
      </c>
      <c r="F498" s="1">
        <v>45166</v>
      </c>
      <c r="G498" t="s">
        <v>13</v>
      </c>
      <c r="H498" s="2">
        <v>13.05</v>
      </c>
      <c r="I498" s="2">
        <v>47.82</v>
      </c>
      <c r="J498" s="2">
        <v>45.93</v>
      </c>
      <c r="K498" s="2">
        <f t="shared" si="161"/>
        <v>320.96999999999997</v>
      </c>
      <c r="L498" s="2">
        <v>8.6199999999999992</v>
      </c>
      <c r="M498" s="2">
        <v>0.01</v>
      </c>
      <c r="N498" s="6">
        <f t="shared" si="173"/>
        <v>10.066849319565035</v>
      </c>
      <c r="O498" s="6">
        <f t="shared" si="174"/>
        <v>1.4463905785780313</v>
      </c>
      <c r="P498" s="6">
        <f t="shared" si="175"/>
        <v>97.308391620490724</v>
      </c>
      <c r="Q498" s="6">
        <f t="shared" si="162"/>
        <v>0.148687003810303</v>
      </c>
      <c r="R498" s="10">
        <f t="shared" si="176"/>
        <v>1.4868700381030301E-4</v>
      </c>
      <c r="S498" s="3">
        <f t="shared" si="177"/>
        <v>2.6763660685854541E-3</v>
      </c>
      <c r="T498" s="4">
        <f t="shared" si="178"/>
        <v>2.676366068585454E-6</v>
      </c>
      <c r="U498" s="3">
        <f t="shared" si="179"/>
        <v>9.6349178469076341E-3</v>
      </c>
      <c r="V498" s="2">
        <v>22.24</v>
      </c>
      <c r="W498" s="2">
        <v>4.22</v>
      </c>
      <c r="X498" s="2">
        <f t="shared" si="180"/>
        <v>42200</v>
      </c>
      <c r="Y498" s="5">
        <v>-0.64</v>
      </c>
      <c r="Z498" s="5">
        <v>-2</v>
      </c>
      <c r="AA498" s="2">
        <f t="shared" si="181"/>
        <v>1.3599999999999999</v>
      </c>
      <c r="AB498" s="3">
        <f t="shared" si="182"/>
        <v>7.0844984168438492E-3</v>
      </c>
    </row>
    <row r="499" spans="1:28" x14ac:dyDescent="0.2">
      <c r="A499" t="s">
        <v>6</v>
      </c>
      <c r="B499">
        <v>72</v>
      </c>
      <c r="C499">
        <v>5</v>
      </c>
      <c r="D499">
        <v>61</v>
      </c>
      <c r="E499" t="s">
        <v>12</v>
      </c>
      <c r="F499" s="1">
        <v>45166</v>
      </c>
      <c r="G499" t="s">
        <v>13</v>
      </c>
      <c r="H499" s="2">
        <v>13.63</v>
      </c>
      <c r="I499" s="2">
        <v>46.87</v>
      </c>
      <c r="J499" s="2">
        <v>45.9</v>
      </c>
      <c r="K499" s="2">
        <f t="shared" si="161"/>
        <v>320.02</v>
      </c>
      <c r="L499" s="2">
        <v>8.6</v>
      </c>
      <c r="M499" s="2">
        <v>0.01</v>
      </c>
      <c r="N499" s="6">
        <f t="shared" si="173"/>
        <v>10.051385526743889</v>
      </c>
      <c r="O499" s="6">
        <f t="shared" si="174"/>
        <v>1.4395880306392292</v>
      </c>
      <c r="P499" s="6">
        <f t="shared" si="175"/>
        <v>97.296708277204758</v>
      </c>
      <c r="Q499" s="6">
        <f t="shared" si="162"/>
        <v>0.14917108219209185</v>
      </c>
      <c r="R499" s="10">
        <f t="shared" si="176"/>
        <v>1.4917108219209186E-4</v>
      </c>
      <c r="S499" s="3">
        <f t="shared" si="177"/>
        <v>2.6850794794576536E-3</v>
      </c>
      <c r="T499" s="4">
        <f t="shared" si="178"/>
        <v>2.6850794794576537E-6</v>
      </c>
      <c r="U499" s="3">
        <f t="shared" si="179"/>
        <v>9.666286126047554E-3</v>
      </c>
      <c r="V499" s="2">
        <v>5.59</v>
      </c>
      <c r="W499" s="2">
        <v>1.83</v>
      </c>
      <c r="X499" s="2">
        <f t="shared" si="180"/>
        <v>18300</v>
      </c>
      <c r="Y499" s="5">
        <v>-0.5</v>
      </c>
      <c r="Z499" s="5">
        <v>-2.0099999999999998</v>
      </c>
      <c r="AA499" s="2">
        <f t="shared" si="181"/>
        <v>1.5099999999999998</v>
      </c>
      <c r="AB499" s="3">
        <f t="shared" si="182"/>
        <v>6.4015139907599708E-3</v>
      </c>
    </row>
    <row r="500" spans="1:28" x14ac:dyDescent="0.2">
      <c r="A500" t="s">
        <v>6</v>
      </c>
      <c r="B500">
        <v>72</v>
      </c>
      <c r="C500">
        <v>5</v>
      </c>
      <c r="D500">
        <v>63</v>
      </c>
      <c r="E500" t="s">
        <v>12</v>
      </c>
      <c r="F500" s="1">
        <v>45166</v>
      </c>
      <c r="G500" t="s">
        <v>13</v>
      </c>
      <c r="H500" s="2">
        <v>14.92</v>
      </c>
      <c r="I500" s="2">
        <v>46.75</v>
      </c>
      <c r="J500" s="2">
        <v>45.48</v>
      </c>
      <c r="K500" s="2">
        <f t="shared" si="161"/>
        <v>319.89999999999998</v>
      </c>
      <c r="L500" s="2">
        <v>8.26</v>
      </c>
      <c r="M500" s="2">
        <v>0.04</v>
      </c>
      <c r="N500" s="6">
        <f t="shared" si="173"/>
        <v>9.8370374829588325</v>
      </c>
      <c r="O500" s="6">
        <f t="shared" si="174"/>
        <v>1.5662361025182014</v>
      </c>
      <c r="P500" s="6">
        <f t="shared" si="175"/>
        <v>97.295227650417388</v>
      </c>
      <c r="Q500" s="6">
        <f t="shared" si="162"/>
        <v>0.64835142320654926</v>
      </c>
      <c r="R500" s="10">
        <f t="shared" si="176"/>
        <v>6.4835142320654926E-4</v>
      </c>
      <c r="S500" s="3">
        <f t="shared" si="177"/>
        <v>1.1670325617717886E-2</v>
      </c>
      <c r="T500" s="4">
        <f t="shared" si="178"/>
        <v>1.1670325617717887E-5</v>
      </c>
      <c r="U500" s="3">
        <f t="shared" si="179"/>
        <v>4.2013172223784395E-2</v>
      </c>
      <c r="V500" s="2">
        <v>13.53</v>
      </c>
      <c r="W500" s="2">
        <v>2.78</v>
      </c>
      <c r="X500" s="2">
        <f t="shared" si="180"/>
        <v>27799.999999999996</v>
      </c>
      <c r="Y500" s="5">
        <v>-0.66</v>
      </c>
      <c r="Z500" s="5">
        <v>-1.75</v>
      </c>
      <c r="AA500" s="2">
        <f t="shared" si="181"/>
        <v>1.0899999999999999</v>
      </c>
      <c r="AB500" s="3">
        <f t="shared" si="182"/>
        <v>3.8544194700719632E-2</v>
      </c>
    </row>
    <row r="501" spans="1:28" x14ac:dyDescent="0.2">
      <c r="A501" t="s">
        <v>6</v>
      </c>
      <c r="B501">
        <v>72</v>
      </c>
      <c r="C501">
        <v>5</v>
      </c>
      <c r="D501">
        <v>85</v>
      </c>
      <c r="E501" t="s">
        <v>12</v>
      </c>
      <c r="F501" s="1">
        <v>45166</v>
      </c>
      <c r="G501" t="s">
        <v>13</v>
      </c>
      <c r="H501" s="2">
        <v>13.56</v>
      </c>
      <c r="I501" s="2">
        <v>47.72</v>
      </c>
      <c r="J501" s="2">
        <v>46.8</v>
      </c>
      <c r="K501" s="2">
        <f t="shared" si="161"/>
        <v>320.87</v>
      </c>
      <c r="L501" s="2">
        <v>9.02</v>
      </c>
      <c r="M501" s="2">
        <v>0.01</v>
      </c>
      <c r="N501" s="6">
        <f t="shared" si="173"/>
        <v>10.52433090344449</v>
      </c>
      <c r="O501" s="6">
        <f t="shared" si="174"/>
        <v>1.4953326206450397</v>
      </c>
      <c r="P501" s="6">
        <f t="shared" si="175"/>
        <v>97.307164986840036</v>
      </c>
      <c r="Q501" s="6">
        <f t="shared" si="162"/>
        <v>0.15459610848265268</v>
      </c>
      <c r="R501" s="10">
        <f t="shared" si="176"/>
        <v>1.5459610848265267E-4</v>
      </c>
      <c r="S501" s="3">
        <f t="shared" si="177"/>
        <v>2.782729952687748E-3</v>
      </c>
      <c r="T501" s="4">
        <f t="shared" si="178"/>
        <v>2.7827299526877478E-6</v>
      </c>
      <c r="U501" s="3">
        <f t="shared" si="179"/>
        <v>1.0017827829675892E-2</v>
      </c>
      <c r="V501" s="2">
        <v>8.26</v>
      </c>
      <c r="W501" s="2">
        <v>2.33</v>
      </c>
      <c r="X501" s="2">
        <f t="shared" si="180"/>
        <v>23300</v>
      </c>
      <c r="Y501" s="5">
        <v>-1</v>
      </c>
      <c r="Z501" s="5">
        <v>-2.36</v>
      </c>
      <c r="AA501" s="2">
        <f t="shared" si="181"/>
        <v>1.3599999999999999</v>
      </c>
      <c r="AB501" s="3">
        <f t="shared" si="182"/>
        <v>7.3660498747616862E-3</v>
      </c>
    </row>
    <row r="502" spans="1:28" x14ac:dyDescent="0.2">
      <c r="A502" t="s">
        <v>9</v>
      </c>
      <c r="B502">
        <v>1521</v>
      </c>
      <c r="C502">
        <v>153</v>
      </c>
      <c r="D502">
        <v>69</v>
      </c>
      <c r="E502" t="s">
        <v>12</v>
      </c>
      <c r="F502" s="1">
        <v>45166</v>
      </c>
      <c r="G502" t="s">
        <v>13</v>
      </c>
      <c r="H502" s="2">
        <v>13.81</v>
      </c>
      <c r="I502" s="2">
        <v>46.94</v>
      </c>
      <c r="J502" s="2">
        <v>45.32</v>
      </c>
      <c r="K502" s="2">
        <f t="shared" si="161"/>
        <v>320.08999999999997</v>
      </c>
      <c r="L502" s="2">
        <v>8.2899999999999991</v>
      </c>
      <c r="M502" s="2">
        <v>0.03</v>
      </c>
      <c r="N502" s="6">
        <f t="shared" si="173"/>
        <v>9.7564264640189275</v>
      </c>
      <c r="O502" s="6">
        <f t="shared" si="174"/>
        <v>1.4638048231196505</v>
      </c>
      <c r="P502" s="6">
        <f t="shared" si="175"/>
        <v>97.297571473883906</v>
      </c>
      <c r="Q502" s="6">
        <f t="shared" si="162"/>
        <v>0.45214688562269167</v>
      </c>
      <c r="R502" s="10">
        <f t="shared" si="176"/>
        <v>4.5214688562269167E-4</v>
      </c>
      <c r="S502" s="3">
        <f t="shared" si="177"/>
        <v>8.1386439412084507E-3</v>
      </c>
      <c r="T502" s="4">
        <f t="shared" si="178"/>
        <v>8.1386439412084501E-6</v>
      </c>
      <c r="U502" s="3">
        <f t="shared" si="179"/>
        <v>2.9299118188350421E-2</v>
      </c>
      <c r="V502" s="2">
        <v>1.89</v>
      </c>
      <c r="W502" s="2">
        <v>0.42</v>
      </c>
      <c r="X502" s="2">
        <f t="shared" si="180"/>
        <v>4200</v>
      </c>
      <c r="Y502" s="5">
        <v>-0.56000000000000005</v>
      </c>
      <c r="Z502" s="5">
        <v>-1.84</v>
      </c>
      <c r="AA502" s="2">
        <f t="shared" si="181"/>
        <v>1.28</v>
      </c>
      <c r="AB502" s="3">
        <f t="shared" si="182"/>
        <v>2.2889936084648767E-2</v>
      </c>
    </row>
    <row r="503" spans="1:28" x14ac:dyDescent="0.2">
      <c r="A503" t="s">
        <v>9</v>
      </c>
      <c r="B503">
        <v>1521</v>
      </c>
      <c r="C503">
        <v>153</v>
      </c>
      <c r="D503">
        <v>76</v>
      </c>
      <c r="E503" t="s">
        <v>12</v>
      </c>
      <c r="F503" s="1">
        <v>45166</v>
      </c>
      <c r="G503" t="s">
        <v>13</v>
      </c>
      <c r="H503" s="2">
        <v>14.59</v>
      </c>
      <c r="I503" s="2">
        <v>47.13</v>
      </c>
      <c r="J503" s="2">
        <v>47.08</v>
      </c>
      <c r="K503" s="2">
        <f t="shared" si="161"/>
        <v>320.27999999999997</v>
      </c>
      <c r="L503" s="2">
        <v>9.11</v>
      </c>
      <c r="M503" s="2">
        <v>0.01</v>
      </c>
      <c r="N503" s="6">
        <f t="shared" si="173"/>
        <v>10.675334383281244</v>
      </c>
      <c r="O503" s="6">
        <f t="shared" si="174"/>
        <v>1.5614940504116661</v>
      </c>
      <c r="P503" s="6">
        <f t="shared" si="175"/>
        <v>97.299912572855106</v>
      </c>
      <c r="Q503" s="6">
        <f t="shared" si="162"/>
        <v>0.16087726513722939</v>
      </c>
      <c r="R503" s="10">
        <f t="shared" si="176"/>
        <v>1.6087726513722939E-4</v>
      </c>
      <c r="S503" s="3">
        <f t="shared" si="177"/>
        <v>2.8957907724701292E-3</v>
      </c>
      <c r="T503" s="4">
        <f t="shared" si="178"/>
        <v>2.895790772470129E-6</v>
      </c>
      <c r="U503" s="3">
        <f t="shared" si="179"/>
        <v>1.0424846780892465E-2</v>
      </c>
      <c r="V503" s="2">
        <v>1.63</v>
      </c>
      <c r="W503" s="2">
        <v>0.4</v>
      </c>
      <c r="X503" s="2">
        <f t="shared" si="180"/>
        <v>4000</v>
      </c>
      <c r="Y503" s="5">
        <v>-0.89</v>
      </c>
      <c r="Z503" s="5">
        <v>-2.14</v>
      </c>
      <c r="AA503" s="2">
        <f t="shared" si="181"/>
        <v>1.25</v>
      </c>
      <c r="AB503" s="3">
        <f t="shared" si="182"/>
        <v>8.3398774247139713E-3</v>
      </c>
    </row>
    <row r="504" spans="1:28" x14ac:dyDescent="0.2">
      <c r="A504" t="s">
        <v>9</v>
      </c>
      <c r="B504">
        <v>1521</v>
      </c>
      <c r="C504">
        <v>153</v>
      </c>
      <c r="D504">
        <v>90</v>
      </c>
      <c r="E504" t="s">
        <v>12</v>
      </c>
      <c r="F504" s="1">
        <v>45166</v>
      </c>
      <c r="G504" t="s">
        <v>13</v>
      </c>
      <c r="H504" s="2">
        <v>12.11</v>
      </c>
      <c r="I504" s="2">
        <v>48.79</v>
      </c>
      <c r="J504" s="2">
        <v>48.19</v>
      </c>
      <c r="K504" s="2">
        <f t="shared" si="161"/>
        <v>321.94</v>
      </c>
      <c r="L504" s="2">
        <v>9.86</v>
      </c>
      <c r="M504" s="2">
        <v>0.02</v>
      </c>
      <c r="N504" s="6">
        <f t="shared" si="173"/>
        <v>11.292512815075035</v>
      </c>
      <c r="O504" s="6">
        <f t="shared" si="174"/>
        <v>1.4094542441947351</v>
      </c>
      <c r="P504" s="6">
        <f t="shared" si="175"/>
        <v>97.320251218938694</v>
      </c>
      <c r="Q504" s="6">
        <f t="shared" si="162"/>
        <v>0.29439151607867337</v>
      </c>
      <c r="R504" s="10">
        <f t="shared" si="176"/>
        <v>2.9439151607867336E-4</v>
      </c>
      <c r="S504" s="3">
        <f t="shared" si="177"/>
        <v>5.2990472894161207E-3</v>
      </c>
      <c r="T504" s="4">
        <f t="shared" si="178"/>
        <v>5.2990472894161205E-6</v>
      </c>
      <c r="U504" s="3">
        <f t="shared" si="179"/>
        <v>1.9076570241898034E-2</v>
      </c>
      <c r="V504" s="2">
        <v>3.81</v>
      </c>
      <c r="W504" s="2">
        <v>0.53</v>
      </c>
      <c r="X504" s="2">
        <f t="shared" si="180"/>
        <v>5300</v>
      </c>
      <c r="Y504" s="5">
        <v>-1.1000000000000001</v>
      </c>
      <c r="Z504" s="5">
        <v>-2.2000000000000002</v>
      </c>
      <c r="AA504" s="2">
        <f t="shared" si="181"/>
        <v>1.1000000000000001</v>
      </c>
      <c r="AB504" s="3">
        <f t="shared" si="182"/>
        <v>1.7342336583543665E-2</v>
      </c>
    </row>
    <row r="505" spans="1:28" x14ac:dyDescent="0.2">
      <c r="A505" t="s">
        <v>9</v>
      </c>
      <c r="B505">
        <v>1521</v>
      </c>
      <c r="C505">
        <v>155</v>
      </c>
      <c r="D505">
        <v>62</v>
      </c>
      <c r="E505" t="s">
        <v>12</v>
      </c>
      <c r="F505" s="1">
        <v>45166</v>
      </c>
      <c r="G505" t="s">
        <v>13</v>
      </c>
      <c r="H505" s="2">
        <v>12.52</v>
      </c>
      <c r="I505" s="2">
        <v>49.06</v>
      </c>
      <c r="J505" s="2">
        <v>45.98</v>
      </c>
      <c r="K505" s="2">
        <f t="shared" si="161"/>
        <v>322.20999999999998</v>
      </c>
      <c r="L505" s="2">
        <v>8.6</v>
      </c>
      <c r="M505" s="2">
        <v>0.04</v>
      </c>
      <c r="N505" s="6">
        <f t="shared" si="173"/>
        <v>10.092667984430607</v>
      </c>
      <c r="O505" s="6">
        <f t="shared" si="174"/>
        <v>1.4770519600132941</v>
      </c>
      <c r="P505" s="6">
        <f t="shared" si="175"/>
        <v>97.323539896104165</v>
      </c>
      <c r="Q505" s="6">
        <f t="shared" si="162"/>
        <v>0.61348692660545456</v>
      </c>
      <c r="R505" s="10">
        <f t="shared" si="176"/>
        <v>6.1348692660545458E-4</v>
      </c>
      <c r="S505" s="3">
        <f t="shared" si="177"/>
        <v>1.1042764678898183E-2</v>
      </c>
      <c r="T505" s="4">
        <f t="shared" si="178"/>
        <v>1.1042764678898183E-5</v>
      </c>
      <c r="U505" s="3">
        <f t="shared" si="179"/>
        <v>3.9753952844033456E-2</v>
      </c>
      <c r="V505" s="2">
        <v>1.17</v>
      </c>
      <c r="W505" s="2">
        <v>0.44</v>
      </c>
      <c r="X505" s="2">
        <f t="shared" si="180"/>
        <v>4400</v>
      </c>
      <c r="Y505" s="5">
        <v>-0.71</v>
      </c>
      <c r="Z505" s="5">
        <v>-2.12</v>
      </c>
      <c r="AA505" s="2">
        <f t="shared" si="181"/>
        <v>1.4100000000000001</v>
      </c>
      <c r="AB505" s="3">
        <f t="shared" si="182"/>
        <v>2.8194292797186847E-2</v>
      </c>
    </row>
    <row r="506" spans="1:28" x14ac:dyDescent="0.2">
      <c r="A506" t="s">
        <v>9</v>
      </c>
      <c r="B506">
        <v>1521</v>
      </c>
      <c r="C506">
        <v>155</v>
      </c>
      <c r="D506">
        <v>64</v>
      </c>
      <c r="E506" t="s">
        <v>12</v>
      </c>
      <c r="F506" s="1">
        <v>45166</v>
      </c>
      <c r="G506" t="s">
        <v>13</v>
      </c>
      <c r="H506" s="2">
        <v>16.510000000000002</v>
      </c>
      <c r="I506" s="2">
        <v>45.43</v>
      </c>
      <c r="J506" s="2">
        <v>42.74</v>
      </c>
      <c r="K506" s="2">
        <f t="shared" si="161"/>
        <v>318.58</v>
      </c>
      <c r="L506" s="2">
        <v>6.91</v>
      </c>
      <c r="M506" s="2">
        <v>0.1</v>
      </c>
      <c r="N506" s="6">
        <f t="shared" si="173"/>
        <v>8.5331770652100616</v>
      </c>
      <c r="O506" s="6">
        <f t="shared" si="174"/>
        <v>1.6199256936359558</v>
      </c>
      <c r="P506" s="6">
        <f t="shared" si="175"/>
        <v>97.278868637975705</v>
      </c>
      <c r="Q506" s="6">
        <f t="shared" si="162"/>
        <v>1.6685813557831677</v>
      </c>
      <c r="R506" s="10">
        <f t="shared" si="176"/>
        <v>1.6685813557831676E-3</v>
      </c>
      <c r="S506" s="3">
        <f t="shared" si="177"/>
        <v>3.0034464404097017E-2</v>
      </c>
      <c r="T506" s="4">
        <f t="shared" si="178"/>
        <v>3.0034464404097017E-5</v>
      </c>
      <c r="U506" s="3">
        <f t="shared" si="179"/>
        <v>0.10812407185474926</v>
      </c>
      <c r="V506" s="2">
        <v>1.37</v>
      </c>
      <c r="W506" s="2">
        <v>0.45</v>
      </c>
      <c r="X506" s="2">
        <f t="shared" si="180"/>
        <v>4500</v>
      </c>
      <c r="Y506" s="5">
        <v>-0.55000000000000004</v>
      </c>
      <c r="Z506" s="5">
        <v>-2.25</v>
      </c>
      <c r="AA506" s="2">
        <f t="shared" si="181"/>
        <v>1.7</v>
      </c>
      <c r="AB506" s="3">
        <f t="shared" si="182"/>
        <v>6.3602395208676041E-2</v>
      </c>
    </row>
    <row r="507" spans="1:28" x14ac:dyDescent="0.2">
      <c r="A507" t="s">
        <v>9</v>
      </c>
      <c r="B507">
        <v>1521</v>
      </c>
      <c r="C507">
        <v>155</v>
      </c>
      <c r="D507">
        <v>66</v>
      </c>
      <c r="E507" t="s">
        <v>12</v>
      </c>
      <c r="F507" s="1">
        <v>45166</v>
      </c>
      <c r="G507" t="s">
        <v>13</v>
      </c>
      <c r="H507" s="2">
        <v>13.68</v>
      </c>
      <c r="I507" s="2">
        <v>46.62</v>
      </c>
      <c r="J507" s="2">
        <v>45.15</v>
      </c>
      <c r="K507" s="2">
        <f t="shared" si="161"/>
        <v>319.77</v>
      </c>
      <c r="L507" s="2">
        <v>8.23</v>
      </c>
      <c r="M507" s="2">
        <v>0.02</v>
      </c>
      <c r="N507" s="6">
        <f t="shared" si="173"/>
        <v>9.6714034087551006</v>
      </c>
      <c r="O507" s="6">
        <f t="shared" si="174"/>
        <v>1.4265824526323427</v>
      </c>
      <c r="P507" s="6">
        <f t="shared" si="175"/>
        <v>97.293622409484982</v>
      </c>
      <c r="Q507" s="6">
        <f t="shared" si="162"/>
        <v>0.29629966961011833</v>
      </c>
      <c r="R507" s="10">
        <f t="shared" si="176"/>
        <v>2.9629966961011831E-4</v>
      </c>
      <c r="S507" s="3">
        <f t="shared" si="177"/>
        <v>5.3333940529821291E-3</v>
      </c>
      <c r="T507" s="4">
        <f t="shared" si="178"/>
        <v>5.3333940529821293E-6</v>
      </c>
      <c r="U507" s="3">
        <f t="shared" si="179"/>
        <v>1.9200218590735667E-2</v>
      </c>
      <c r="V507" s="2">
        <v>3.21</v>
      </c>
      <c r="W507" s="2">
        <v>0.68</v>
      </c>
      <c r="X507" s="2">
        <f t="shared" si="180"/>
        <v>6800.0000000000009</v>
      </c>
      <c r="Y507" s="5">
        <v>-0.85</v>
      </c>
      <c r="Z507" s="5">
        <v>-2.23</v>
      </c>
      <c r="AA507" s="2">
        <f t="shared" si="181"/>
        <v>1.38</v>
      </c>
      <c r="AB507" s="3">
        <f t="shared" si="182"/>
        <v>1.3913201877344687E-2</v>
      </c>
    </row>
    <row r="508" spans="1:28" x14ac:dyDescent="0.2">
      <c r="A508" t="s">
        <v>9</v>
      </c>
      <c r="B508">
        <v>1521</v>
      </c>
      <c r="C508">
        <v>156</v>
      </c>
      <c r="D508">
        <v>71</v>
      </c>
      <c r="E508" t="s">
        <v>12</v>
      </c>
      <c r="F508" s="1">
        <v>45166</v>
      </c>
      <c r="G508" t="s">
        <v>13</v>
      </c>
      <c r="H508" s="2">
        <v>12.33</v>
      </c>
      <c r="I508" s="2">
        <v>48.95</v>
      </c>
      <c r="J508" s="2">
        <v>46.2</v>
      </c>
      <c r="K508" s="2">
        <f t="shared" si="161"/>
        <v>322.09999999999997</v>
      </c>
      <c r="L508" s="2">
        <v>8.76</v>
      </c>
      <c r="M508" s="2">
        <v>0.04</v>
      </c>
      <c r="N508" s="6">
        <f t="shared" si="173"/>
        <v>10.206950907813107</v>
      </c>
      <c r="O508" s="6">
        <f t="shared" si="174"/>
        <v>1.4466331474237448</v>
      </c>
      <c r="P508" s="6">
        <f t="shared" si="175"/>
        <v>97.322200716801618</v>
      </c>
      <c r="Q508" s="6">
        <f t="shared" si="162"/>
        <v>0.59470537951503899</v>
      </c>
      <c r="R508" s="10">
        <f t="shared" si="176"/>
        <v>5.9470537951503903E-4</v>
      </c>
      <c r="S508" s="3">
        <f t="shared" si="177"/>
        <v>1.0704696831270703E-2</v>
      </c>
      <c r="T508" s="4">
        <f t="shared" si="178"/>
        <v>1.0704696831270703E-5</v>
      </c>
      <c r="U508" s="3">
        <f t="shared" si="179"/>
        <v>3.8536908592574533E-2</v>
      </c>
      <c r="V508" s="2">
        <v>3.35</v>
      </c>
      <c r="W508" s="2">
        <v>0.65</v>
      </c>
      <c r="X508" s="2">
        <f t="shared" si="180"/>
        <v>6500</v>
      </c>
      <c r="Y508" s="5">
        <v>-0.68</v>
      </c>
      <c r="Z508" s="5">
        <v>-1.55</v>
      </c>
      <c r="AA508" s="2">
        <f t="shared" si="181"/>
        <v>0.87</v>
      </c>
      <c r="AB508" s="3">
        <f t="shared" si="182"/>
        <v>4.429529723284429E-2</v>
      </c>
    </row>
    <row r="509" spans="1:28" x14ac:dyDescent="0.2">
      <c r="A509" t="s">
        <v>9</v>
      </c>
      <c r="B509">
        <v>1521</v>
      </c>
      <c r="C509">
        <v>156</v>
      </c>
      <c r="D509">
        <v>74</v>
      </c>
      <c r="E509" t="s">
        <v>12</v>
      </c>
      <c r="F509" s="1">
        <v>45166</v>
      </c>
      <c r="G509" t="s">
        <v>13</v>
      </c>
      <c r="H509" s="2">
        <v>13.65</v>
      </c>
      <c r="I509" s="2">
        <v>47.27</v>
      </c>
      <c r="J509" s="2">
        <v>46.24</v>
      </c>
      <c r="K509" s="2">
        <f t="shared" si="161"/>
        <v>320.41999999999996</v>
      </c>
      <c r="L509" s="2">
        <v>8.76</v>
      </c>
      <c r="M509" s="2">
        <v>0.01</v>
      </c>
      <c r="N509" s="6">
        <f t="shared" si="173"/>
        <v>10.227849270961348</v>
      </c>
      <c r="O509" s="6">
        <f t="shared" si="174"/>
        <v>1.4713148198814572</v>
      </c>
      <c r="P509" s="6">
        <f t="shared" si="175"/>
        <v>97.301635852546141</v>
      </c>
      <c r="Q509" s="6">
        <f t="shared" si="162"/>
        <v>0.15085555942613052</v>
      </c>
      <c r="R509" s="10">
        <f t="shared" si="176"/>
        <v>1.5085555942613053E-4</v>
      </c>
      <c r="S509" s="3">
        <f t="shared" si="177"/>
        <v>2.7154000696703495E-3</v>
      </c>
      <c r="T509" s="4">
        <f t="shared" si="178"/>
        <v>2.7154000696703495E-6</v>
      </c>
      <c r="U509" s="3">
        <f t="shared" si="179"/>
        <v>9.7754402508132589E-3</v>
      </c>
      <c r="V509" s="2">
        <v>2.92</v>
      </c>
      <c r="W509" s="2">
        <v>0.64</v>
      </c>
      <c r="X509" s="2">
        <f t="shared" si="180"/>
        <v>6400</v>
      </c>
      <c r="Y509" s="5">
        <v>-1</v>
      </c>
      <c r="Z509" s="5">
        <v>-1.97</v>
      </c>
      <c r="AA509" s="2">
        <f t="shared" si="181"/>
        <v>0.97</v>
      </c>
      <c r="AB509" s="3">
        <f t="shared" si="182"/>
        <v>1.0077773454446659E-2</v>
      </c>
    </row>
    <row r="510" spans="1:28" x14ac:dyDescent="0.2">
      <c r="A510" t="s">
        <v>9</v>
      </c>
      <c r="B510">
        <v>1521</v>
      </c>
      <c r="C510">
        <v>156</v>
      </c>
      <c r="D510">
        <v>75</v>
      </c>
      <c r="E510" t="s">
        <v>12</v>
      </c>
      <c r="F510" s="1">
        <v>45166</v>
      </c>
      <c r="G510" t="s">
        <v>13</v>
      </c>
      <c r="H510" s="2">
        <v>13.44</v>
      </c>
      <c r="I510" s="2">
        <v>46.72</v>
      </c>
      <c r="J510" s="2">
        <v>45.62</v>
      </c>
      <c r="K510" s="2">
        <f t="shared" si="161"/>
        <v>319.87</v>
      </c>
      <c r="L510" s="2">
        <v>8.49</v>
      </c>
      <c r="M510" s="2">
        <v>0.02</v>
      </c>
      <c r="N510" s="6">
        <f t="shared" si="173"/>
        <v>9.9080436202667919</v>
      </c>
      <c r="O510" s="6">
        <f t="shared" si="174"/>
        <v>1.4087172709439677</v>
      </c>
      <c r="P510" s="6">
        <f t="shared" si="175"/>
        <v>97.29485732366166</v>
      </c>
      <c r="Q510" s="6">
        <f t="shared" si="162"/>
        <v>0.29149405411007884</v>
      </c>
      <c r="R510" s="10">
        <f t="shared" si="176"/>
        <v>2.9149405411007883E-4</v>
      </c>
      <c r="S510" s="3">
        <f t="shared" si="177"/>
        <v>5.2468929739814194E-3</v>
      </c>
      <c r="T510" s="4">
        <f t="shared" si="178"/>
        <v>5.2468929739814193E-6</v>
      </c>
      <c r="U510" s="3">
        <f t="shared" si="179"/>
        <v>1.888881470633311E-2</v>
      </c>
      <c r="V510" s="2">
        <v>2.78</v>
      </c>
      <c r="W510" s="2">
        <v>0.57999999999999996</v>
      </c>
      <c r="X510" s="2">
        <f t="shared" si="180"/>
        <v>5800</v>
      </c>
      <c r="Y510" s="5">
        <v>-1.3</v>
      </c>
      <c r="Z510" s="5">
        <v>-2.14</v>
      </c>
      <c r="AA510" s="2">
        <f t="shared" si="181"/>
        <v>0.84000000000000008</v>
      </c>
      <c r="AB510" s="3">
        <f t="shared" si="182"/>
        <v>2.248668417420608E-2</v>
      </c>
    </row>
    <row r="511" spans="1:28" x14ac:dyDescent="0.2">
      <c r="A511" t="s">
        <v>9</v>
      </c>
      <c r="B511">
        <v>1521</v>
      </c>
      <c r="C511">
        <v>157</v>
      </c>
      <c r="D511">
        <v>67</v>
      </c>
      <c r="E511" t="s">
        <v>12</v>
      </c>
      <c r="F511" s="1">
        <v>45166</v>
      </c>
      <c r="G511" t="s">
        <v>13</v>
      </c>
      <c r="H511" s="2">
        <v>13.3</v>
      </c>
      <c r="I511" s="2">
        <v>47.69</v>
      </c>
      <c r="J511" s="2">
        <v>46.63</v>
      </c>
      <c r="K511" s="2">
        <f t="shared" si="161"/>
        <v>320.83999999999997</v>
      </c>
      <c r="L511" s="2">
        <v>8.9600000000000009</v>
      </c>
      <c r="M511" s="2">
        <v>0.02</v>
      </c>
      <c r="N511" s="6">
        <f t="shared" si="173"/>
        <v>10.43355305196722</v>
      </c>
      <c r="O511" s="6">
        <f t="shared" si="174"/>
        <v>1.4644359300141936</v>
      </c>
      <c r="P511" s="6">
        <f t="shared" si="175"/>
        <v>97.306796850656951</v>
      </c>
      <c r="Q511" s="6">
        <f t="shared" si="162"/>
        <v>0.3028674459871033</v>
      </c>
      <c r="R511" s="10">
        <f t="shared" si="176"/>
        <v>3.0286744598710333E-4</v>
      </c>
      <c r="S511" s="3">
        <f t="shared" si="177"/>
        <v>5.4516140277678597E-3</v>
      </c>
      <c r="T511" s="4">
        <f t="shared" si="178"/>
        <v>5.4516140277678597E-6</v>
      </c>
      <c r="U511" s="3">
        <f t="shared" si="179"/>
        <v>1.9625810499964296E-2</v>
      </c>
      <c r="V511" s="2">
        <v>2.46</v>
      </c>
      <c r="W511" s="2">
        <v>0.65</v>
      </c>
      <c r="X511" s="2">
        <f t="shared" si="180"/>
        <v>6500</v>
      </c>
      <c r="Y511" s="5">
        <v>-0.99</v>
      </c>
      <c r="Z511" s="5">
        <v>-2.1</v>
      </c>
      <c r="AA511" s="2">
        <f t="shared" si="181"/>
        <v>1.1100000000000001</v>
      </c>
      <c r="AB511" s="3">
        <f t="shared" si="182"/>
        <v>1.7680910360328192E-2</v>
      </c>
    </row>
    <row r="512" spans="1:28" x14ac:dyDescent="0.2">
      <c r="A512" t="s">
        <v>9</v>
      </c>
      <c r="B512">
        <v>1521</v>
      </c>
      <c r="C512">
        <v>157</v>
      </c>
      <c r="D512">
        <v>68</v>
      </c>
      <c r="E512" t="s">
        <v>12</v>
      </c>
      <c r="F512" s="1">
        <v>45166</v>
      </c>
      <c r="G512" t="s">
        <v>13</v>
      </c>
      <c r="H512" s="2">
        <v>13.13</v>
      </c>
      <c r="I512" s="2">
        <v>47.96</v>
      </c>
      <c r="J512" s="2">
        <v>47.17</v>
      </c>
      <c r="K512" s="2">
        <f t="shared" si="161"/>
        <v>321.10999999999996</v>
      </c>
      <c r="L512" s="2">
        <v>9.25</v>
      </c>
      <c r="M512" s="2">
        <v>0.01</v>
      </c>
      <c r="N512" s="6">
        <f t="shared" si="173"/>
        <v>10.724266799620274</v>
      </c>
      <c r="O512" s="6">
        <f t="shared" si="174"/>
        <v>1.4655916439653047</v>
      </c>
      <c r="P512" s="6">
        <f t="shared" si="175"/>
        <v>97.31010765003515</v>
      </c>
      <c r="Q512" s="6">
        <f t="shared" si="162"/>
        <v>0.15150191847719549</v>
      </c>
      <c r="R512" s="10">
        <f t="shared" si="176"/>
        <v>1.5150191847719549E-4</v>
      </c>
      <c r="S512" s="3">
        <f t="shared" si="177"/>
        <v>2.7270345325895186E-3</v>
      </c>
      <c r="T512" s="4">
        <f t="shared" si="178"/>
        <v>2.7270345325895186E-6</v>
      </c>
      <c r="U512" s="3">
        <f t="shared" si="179"/>
        <v>9.817324317322268E-3</v>
      </c>
      <c r="V512" s="2">
        <v>2.9</v>
      </c>
      <c r="W512" s="2">
        <v>0.85</v>
      </c>
      <c r="X512" s="2">
        <f t="shared" si="180"/>
        <v>8500</v>
      </c>
      <c r="Y512" s="5">
        <v>-1.8</v>
      </c>
      <c r="Z512" s="5">
        <v>-2.52</v>
      </c>
      <c r="AA512" s="2">
        <f t="shared" si="181"/>
        <v>0.72</v>
      </c>
      <c r="AB512" s="3">
        <f t="shared" si="182"/>
        <v>1.3635172662947595E-2</v>
      </c>
    </row>
    <row r="513" spans="1:28" x14ac:dyDescent="0.2">
      <c r="A513" t="s">
        <v>9</v>
      </c>
      <c r="B513">
        <v>1521</v>
      </c>
      <c r="C513">
        <v>157</v>
      </c>
      <c r="D513">
        <v>72</v>
      </c>
      <c r="E513" t="s">
        <v>12</v>
      </c>
      <c r="F513" s="1">
        <v>45166</v>
      </c>
      <c r="G513" t="s">
        <v>13</v>
      </c>
      <c r="H513" s="2">
        <v>13.74</v>
      </c>
      <c r="I513" s="2">
        <v>47.65</v>
      </c>
      <c r="J513" s="2">
        <v>46.98</v>
      </c>
      <c r="K513" s="2">
        <f t="shared" si="161"/>
        <v>320.79999999999995</v>
      </c>
      <c r="L513" s="2">
        <v>9.11</v>
      </c>
      <c r="M513" s="2">
        <v>0.01</v>
      </c>
      <c r="N513" s="6">
        <f t="shared" si="173"/>
        <v>10.621191233111452</v>
      </c>
      <c r="O513" s="6">
        <f t="shared" si="174"/>
        <v>1.509823138250642</v>
      </c>
      <c r="P513" s="6">
        <f t="shared" si="175"/>
        <v>97.3063058974748</v>
      </c>
      <c r="Q513" s="6">
        <f t="shared" si="162"/>
        <v>0.15530249752813491</v>
      </c>
      <c r="R513" s="10">
        <f t="shared" si="176"/>
        <v>1.5530249752813491E-4</v>
      </c>
      <c r="S513" s="3">
        <f t="shared" si="177"/>
        <v>2.7954449555064285E-3</v>
      </c>
      <c r="T513" s="4">
        <f t="shared" si="178"/>
        <v>2.7954449555064284E-6</v>
      </c>
      <c r="U513" s="3">
        <f t="shared" si="179"/>
        <v>1.0063601839823142E-2</v>
      </c>
      <c r="V513" s="2">
        <v>1.89</v>
      </c>
      <c r="W513" s="2">
        <v>1.52</v>
      </c>
      <c r="X513" s="2">
        <f t="shared" si="180"/>
        <v>15200</v>
      </c>
      <c r="Y513" s="5">
        <v>-1.74</v>
      </c>
      <c r="Z513" s="5">
        <v>-2.2599999999999998</v>
      </c>
      <c r="AA513" s="2">
        <f t="shared" si="181"/>
        <v>0.5199999999999998</v>
      </c>
      <c r="AB513" s="3">
        <f t="shared" si="182"/>
        <v>1.9353080461198355E-2</v>
      </c>
    </row>
    <row r="514" spans="1:28" x14ac:dyDescent="0.2">
      <c r="A514" t="s">
        <v>9</v>
      </c>
      <c r="B514">
        <v>1521</v>
      </c>
      <c r="C514">
        <v>158</v>
      </c>
      <c r="D514">
        <v>70</v>
      </c>
      <c r="E514" t="s">
        <v>12</v>
      </c>
      <c r="F514" s="1">
        <v>45166</v>
      </c>
      <c r="G514" t="s">
        <v>13</v>
      </c>
      <c r="H514" s="2">
        <v>13.9</v>
      </c>
      <c r="I514" s="2">
        <v>46.43</v>
      </c>
      <c r="J514" s="2">
        <v>45.02</v>
      </c>
      <c r="K514" s="2">
        <f t="shared" si="161"/>
        <v>319.58</v>
      </c>
      <c r="L514" s="2">
        <v>8.16</v>
      </c>
      <c r="M514" s="2">
        <v>0.02</v>
      </c>
      <c r="N514" s="6">
        <f t="shared" si="173"/>
        <v>9.6068186112155693</v>
      </c>
      <c r="O514" s="6">
        <f t="shared" si="174"/>
        <v>1.4355394617798063</v>
      </c>
      <c r="P514" s="6">
        <f t="shared" si="175"/>
        <v>97.291273986633925</v>
      </c>
      <c r="Q514" s="6">
        <f t="shared" si="162"/>
        <v>0.29742001557392211</v>
      </c>
      <c r="R514" s="10">
        <f t="shared" si="176"/>
        <v>2.974200155739221E-4</v>
      </c>
      <c r="S514" s="3">
        <f t="shared" si="177"/>
        <v>5.3535602803305975E-3</v>
      </c>
      <c r="T514" s="4">
        <f t="shared" si="178"/>
        <v>5.3535602803305976E-6</v>
      </c>
      <c r="U514" s="3">
        <f t="shared" si="179"/>
        <v>1.927281700919015E-2</v>
      </c>
      <c r="V514" s="2">
        <v>1.25</v>
      </c>
      <c r="W514" s="2">
        <v>0.24</v>
      </c>
      <c r="X514" s="2">
        <f t="shared" si="180"/>
        <v>2400</v>
      </c>
      <c r="Y514" s="5">
        <v>-1.06</v>
      </c>
      <c r="Z514" s="5">
        <v>-2.06</v>
      </c>
      <c r="AA514" s="2">
        <f t="shared" si="181"/>
        <v>1</v>
      </c>
      <c r="AB514" s="3">
        <f t="shared" si="182"/>
        <v>1.927281700919015E-2</v>
      </c>
    </row>
    <row r="515" spans="1:28" x14ac:dyDescent="0.2">
      <c r="A515" t="s">
        <v>9</v>
      </c>
      <c r="B515">
        <v>1521</v>
      </c>
      <c r="C515">
        <v>158</v>
      </c>
      <c r="D515">
        <v>73</v>
      </c>
      <c r="E515" t="s">
        <v>12</v>
      </c>
      <c r="F515" s="1">
        <v>45166</v>
      </c>
      <c r="G515" t="s">
        <v>13</v>
      </c>
      <c r="H515" s="2">
        <v>14.04</v>
      </c>
      <c r="I515" s="2">
        <v>47.19</v>
      </c>
      <c r="J515" s="2">
        <v>46.08</v>
      </c>
      <c r="K515" s="2">
        <f t="shared" si="161"/>
        <v>320.33999999999997</v>
      </c>
      <c r="L515" s="2">
        <v>8.6300000000000008</v>
      </c>
      <c r="M515" s="2">
        <v>0.02</v>
      </c>
      <c r="N515" s="6">
        <f t="shared" si="173"/>
        <v>10.144476980293922</v>
      </c>
      <c r="O515" s="6">
        <f t="shared" si="174"/>
        <v>1.5072174367514488</v>
      </c>
      <c r="P515" s="6">
        <f t="shared" si="175"/>
        <v>97.300651301997803</v>
      </c>
      <c r="Q515" s="6">
        <f t="shared" si="162"/>
        <v>0.31129842606980068</v>
      </c>
      <c r="R515" s="10">
        <f t="shared" si="176"/>
        <v>3.112984260698007E-4</v>
      </c>
      <c r="S515" s="3">
        <f t="shared" si="177"/>
        <v>5.6033716692564127E-3</v>
      </c>
      <c r="T515" s="4">
        <f t="shared" si="178"/>
        <v>5.603371669256413E-6</v>
      </c>
      <c r="U515" s="3">
        <f t="shared" si="179"/>
        <v>2.0172138009323087E-2</v>
      </c>
      <c r="V515" s="2">
        <v>1.75</v>
      </c>
      <c r="W515" s="2">
        <v>0.39</v>
      </c>
      <c r="X515" s="2">
        <f t="shared" si="180"/>
        <v>3900</v>
      </c>
      <c r="Y515" s="5">
        <v>-0.96</v>
      </c>
      <c r="Z515" s="5">
        <v>-1.93</v>
      </c>
      <c r="AA515" s="2">
        <f t="shared" si="181"/>
        <v>0.97</v>
      </c>
      <c r="AB515" s="3">
        <f t="shared" si="182"/>
        <v>2.0796018566312462E-2</v>
      </c>
    </row>
    <row r="516" spans="1:28" x14ac:dyDescent="0.2">
      <c r="A516" t="s">
        <v>9</v>
      </c>
      <c r="B516">
        <v>1521</v>
      </c>
      <c r="C516">
        <v>158</v>
      </c>
      <c r="D516">
        <v>81</v>
      </c>
      <c r="E516" t="s">
        <v>12</v>
      </c>
      <c r="F516" s="1">
        <v>45166</v>
      </c>
      <c r="G516" t="s">
        <v>13</v>
      </c>
      <c r="H516" s="2">
        <v>14.86</v>
      </c>
      <c r="I516" s="2">
        <v>46.48</v>
      </c>
      <c r="J516" s="2">
        <v>45.57</v>
      </c>
      <c r="K516" s="2">
        <f t="shared" ref="K516:K579" si="183">273.15+I516</f>
        <v>319.63</v>
      </c>
      <c r="L516" s="2">
        <v>8.34</v>
      </c>
      <c r="M516" s="2">
        <v>0.02</v>
      </c>
      <c r="N516" s="6">
        <f t="shared" si="173"/>
        <v>9.8826336127162673</v>
      </c>
      <c r="O516" s="6">
        <f t="shared" si="174"/>
        <v>1.5386069722118527</v>
      </c>
      <c r="P516" s="6">
        <f t="shared" si="175"/>
        <v>97.291892257840587</v>
      </c>
      <c r="Q516" s="6">
        <f t="shared" ref="Q516:Q579" si="184">(M516*(N516-L516)/P516)*1000</f>
        <v>0.31711452556149644</v>
      </c>
      <c r="R516" s="10">
        <f t="shared" si="176"/>
        <v>3.1711452556149646E-4</v>
      </c>
      <c r="S516" s="3">
        <f t="shared" si="177"/>
        <v>5.7080614601069364E-3</v>
      </c>
      <c r="T516" s="4">
        <f t="shared" si="178"/>
        <v>5.7080614601069362E-6</v>
      </c>
      <c r="U516" s="3">
        <f t="shared" si="179"/>
        <v>2.0549021256384969E-2</v>
      </c>
      <c r="V516" s="2">
        <v>0.53</v>
      </c>
      <c r="W516" s="2">
        <v>0.2</v>
      </c>
      <c r="X516" s="2">
        <f t="shared" si="180"/>
        <v>2000</v>
      </c>
      <c r="Y516" s="5">
        <v>-1.1499999999999999</v>
      </c>
      <c r="Z516" s="5">
        <v>-2.16</v>
      </c>
      <c r="AA516" s="2">
        <f t="shared" si="181"/>
        <v>1.0100000000000002</v>
      </c>
      <c r="AB516" s="3">
        <f t="shared" si="182"/>
        <v>2.0345565600381154E-2</v>
      </c>
    </row>
    <row r="517" spans="1:28" x14ac:dyDescent="0.2">
      <c r="A517" t="s">
        <v>10</v>
      </c>
      <c r="B517">
        <v>666</v>
      </c>
      <c r="C517">
        <v>101</v>
      </c>
      <c r="D517">
        <v>1</v>
      </c>
      <c r="E517" t="s">
        <v>12</v>
      </c>
      <c r="F517" s="1">
        <v>45166</v>
      </c>
      <c r="G517" t="s">
        <v>13</v>
      </c>
      <c r="H517" s="2">
        <v>13.44</v>
      </c>
      <c r="I517" s="2">
        <v>48.45</v>
      </c>
      <c r="J517" s="2">
        <v>47.12</v>
      </c>
      <c r="K517" s="2">
        <f t="shared" si="183"/>
        <v>321.59999999999997</v>
      </c>
      <c r="L517" s="2">
        <v>9.14</v>
      </c>
      <c r="M517" s="2">
        <v>0.01</v>
      </c>
      <c r="N517" s="6">
        <f t="shared" si="173"/>
        <v>10.697058272758589</v>
      </c>
      <c r="O517" s="6">
        <f t="shared" si="174"/>
        <v>1.5377305573425886</v>
      </c>
      <c r="P517" s="6">
        <f t="shared" si="175"/>
        <v>97.316102225241394</v>
      </c>
      <c r="Q517" s="6">
        <f t="shared" si="184"/>
        <v>0.1600000654726928</v>
      </c>
      <c r="R517" s="10">
        <f t="shared" si="176"/>
        <v>1.6000006547269279E-4</v>
      </c>
      <c r="S517" s="3">
        <f t="shared" si="177"/>
        <v>2.8800011785084702E-3</v>
      </c>
      <c r="T517" s="4">
        <f t="shared" si="178"/>
        <v>2.8800011785084703E-6</v>
      </c>
      <c r="U517" s="3">
        <f t="shared" si="179"/>
        <v>1.0368004242630492E-2</v>
      </c>
      <c r="V517" s="2">
        <v>5.47</v>
      </c>
      <c r="W517" s="2">
        <v>1.21</v>
      </c>
      <c r="X517" s="2">
        <f t="shared" si="180"/>
        <v>12100</v>
      </c>
      <c r="Y517" s="5">
        <v>-0.42</v>
      </c>
      <c r="Z517" s="5">
        <v>-2.08</v>
      </c>
      <c r="AA517" s="2">
        <f t="shared" si="181"/>
        <v>1.6600000000000001</v>
      </c>
      <c r="AB517" s="3">
        <f t="shared" si="182"/>
        <v>6.2457856883316211E-3</v>
      </c>
    </row>
    <row r="518" spans="1:28" x14ac:dyDescent="0.2">
      <c r="A518" t="s">
        <v>10</v>
      </c>
      <c r="B518">
        <v>666</v>
      </c>
      <c r="C518">
        <v>101</v>
      </c>
      <c r="D518">
        <v>2</v>
      </c>
      <c r="E518" t="s">
        <v>12</v>
      </c>
      <c r="F518" s="1">
        <v>45166</v>
      </c>
      <c r="G518" t="s">
        <v>13</v>
      </c>
      <c r="H518" s="2">
        <v>12.56</v>
      </c>
      <c r="I518" s="2">
        <v>48.43</v>
      </c>
      <c r="J518" s="2">
        <v>48.45</v>
      </c>
      <c r="K518" s="2">
        <f t="shared" si="183"/>
        <v>321.58</v>
      </c>
      <c r="L518" s="2">
        <v>9.99</v>
      </c>
      <c r="M518" s="2">
        <v>0.01</v>
      </c>
      <c r="N518" s="6">
        <f t="shared" si="173"/>
        <v>11.441447599275213</v>
      </c>
      <c r="O518" s="6">
        <f t="shared" si="174"/>
        <v>1.4355993614238334</v>
      </c>
      <c r="P518" s="6">
        <f t="shared" si="175"/>
        <v>97.315857899086879</v>
      </c>
      <c r="Q518" s="6">
        <f t="shared" si="184"/>
        <v>0.14914810706188428</v>
      </c>
      <c r="R518" s="10">
        <f t="shared" si="176"/>
        <v>1.4914810706188428E-4</v>
      </c>
      <c r="S518" s="3">
        <f t="shared" si="177"/>
        <v>2.684665927113917E-3</v>
      </c>
      <c r="T518" s="4">
        <f t="shared" si="178"/>
        <v>2.6846659271139171E-6</v>
      </c>
      <c r="U518" s="3">
        <f t="shared" si="179"/>
        <v>9.6647973376101023E-3</v>
      </c>
      <c r="V518" s="2">
        <v>6.42</v>
      </c>
      <c r="W518" s="2">
        <v>1.41</v>
      </c>
      <c r="X518" s="2">
        <f t="shared" si="180"/>
        <v>14100</v>
      </c>
      <c r="Y518" s="5">
        <v>-0.72</v>
      </c>
      <c r="Z518" s="5">
        <v>-1.82</v>
      </c>
      <c r="AA518" s="2">
        <f t="shared" si="181"/>
        <v>1.1000000000000001</v>
      </c>
      <c r="AB518" s="3">
        <f t="shared" si="182"/>
        <v>8.7861793978273647E-3</v>
      </c>
    </row>
    <row r="519" spans="1:28" x14ac:dyDescent="0.2">
      <c r="A519" t="s">
        <v>10</v>
      </c>
      <c r="B519">
        <v>666</v>
      </c>
      <c r="C519">
        <v>101</v>
      </c>
      <c r="D519">
        <v>3</v>
      </c>
      <c r="E519" t="s">
        <v>12</v>
      </c>
      <c r="F519" s="1">
        <v>45166</v>
      </c>
      <c r="G519" t="s">
        <v>13</v>
      </c>
      <c r="H519" s="2">
        <v>12.53</v>
      </c>
      <c r="I519" s="2">
        <v>48.72</v>
      </c>
      <c r="J519" s="2">
        <v>48.57</v>
      </c>
      <c r="K519" s="2">
        <f t="shared" si="183"/>
        <v>321.87</v>
      </c>
      <c r="L519" s="2">
        <v>10.039999999999999</v>
      </c>
      <c r="M519" s="2">
        <v>0.01</v>
      </c>
      <c r="N519" s="6">
        <f t="shared" ref="N519:N546" si="185">0.611*EXP((17.502*J519)/(240.97+J519))</f>
        <v>11.510756318258634</v>
      </c>
      <c r="O519" s="6">
        <f t="shared" ref="O519:O546" si="186">(0.611*EXP((17.502*I519)/(240.97+I519)))*(H519/100)</f>
        <v>1.4532170359889149</v>
      </c>
      <c r="P519" s="6">
        <f t="shared" ref="P519:P546" si="187">101.325*EXP(-380/(29.27*K519))</f>
        <v>97.319397716450766</v>
      </c>
      <c r="Q519" s="6">
        <f t="shared" si="184"/>
        <v>0.15112673863270532</v>
      </c>
      <c r="R519" s="10">
        <f t="shared" ref="R519:R546" si="188">Q519/1000</f>
        <v>1.5112673863270531E-4</v>
      </c>
      <c r="S519" s="3">
        <f t="shared" ref="S519:S546" si="189">R519*18</f>
        <v>2.7202812953886954E-3</v>
      </c>
      <c r="T519" s="4">
        <f t="shared" ref="T519:T546" si="190">S519/1000</f>
        <v>2.7202812953886954E-6</v>
      </c>
      <c r="U519" s="3">
        <f t="shared" ref="U519:U546" si="191">T519*3600</f>
        <v>9.7930126633993028E-3</v>
      </c>
      <c r="V519" s="2">
        <v>5.07</v>
      </c>
      <c r="W519" s="2">
        <v>1.03</v>
      </c>
      <c r="X519" s="2">
        <f t="shared" ref="X519:X546" si="192">W519*10000</f>
        <v>10300</v>
      </c>
      <c r="Y519" s="5">
        <v>-0.67</v>
      </c>
      <c r="Z519" s="5">
        <v>-1.86</v>
      </c>
      <c r="AA519" s="2">
        <f t="shared" ref="AA519:AA546" si="193">Y519-Z519</f>
        <v>1.19</v>
      </c>
      <c r="AB519" s="3">
        <f t="shared" ref="AB519:AB546" si="194">U519/AA519</f>
        <v>8.2294224062179015E-3</v>
      </c>
    </row>
    <row r="520" spans="1:28" x14ac:dyDescent="0.2">
      <c r="A520" t="s">
        <v>10</v>
      </c>
      <c r="B520">
        <v>666</v>
      </c>
      <c r="C520">
        <v>105</v>
      </c>
      <c r="D520">
        <v>7</v>
      </c>
      <c r="E520" t="s">
        <v>12</v>
      </c>
      <c r="F520" s="1">
        <v>45166</v>
      </c>
      <c r="G520" t="s">
        <v>13</v>
      </c>
      <c r="H520" s="2">
        <v>12.54</v>
      </c>
      <c r="I520" s="2">
        <v>48.79</v>
      </c>
      <c r="J520" s="2">
        <v>47.16</v>
      </c>
      <c r="K520" s="2">
        <f t="shared" si="183"/>
        <v>321.94</v>
      </c>
      <c r="L520" s="2">
        <v>9.25</v>
      </c>
      <c r="M520" s="2">
        <v>0.02</v>
      </c>
      <c r="N520" s="6">
        <f t="shared" si="185"/>
        <v>10.718820319395375</v>
      </c>
      <c r="O520" s="6">
        <f t="shared" si="186"/>
        <v>1.4595009266888501</v>
      </c>
      <c r="P520" s="6">
        <f t="shared" si="187"/>
        <v>97.320251218938694</v>
      </c>
      <c r="Q520" s="6">
        <f t="shared" si="184"/>
        <v>0.30185296503006559</v>
      </c>
      <c r="R520" s="10">
        <f t="shared" si="188"/>
        <v>3.0185296503006559E-4</v>
      </c>
      <c r="S520" s="3">
        <f t="shared" si="189"/>
        <v>5.4333533705411803E-3</v>
      </c>
      <c r="T520" s="4">
        <f t="shared" si="190"/>
        <v>5.4333533705411808E-6</v>
      </c>
      <c r="U520" s="3">
        <f t="shared" si="191"/>
        <v>1.956007213394825E-2</v>
      </c>
      <c r="V520" s="2">
        <v>3.34</v>
      </c>
      <c r="W520" s="2">
        <v>0.91</v>
      </c>
      <c r="X520" s="2">
        <f t="shared" si="192"/>
        <v>9100</v>
      </c>
      <c r="Y520" s="5">
        <v>-1.28</v>
      </c>
      <c r="Z520" s="5">
        <v>-2.2400000000000002</v>
      </c>
      <c r="AA520" s="2">
        <f t="shared" si="193"/>
        <v>0.96000000000000019</v>
      </c>
      <c r="AB520" s="3">
        <f t="shared" si="194"/>
        <v>2.0375075139529422E-2</v>
      </c>
    </row>
    <row r="521" spans="1:28" x14ac:dyDescent="0.2">
      <c r="A521" t="s">
        <v>10</v>
      </c>
      <c r="B521">
        <v>666</v>
      </c>
      <c r="C521">
        <v>105</v>
      </c>
      <c r="D521">
        <v>8</v>
      </c>
      <c r="E521" t="s">
        <v>12</v>
      </c>
      <c r="F521" s="1">
        <v>45166</v>
      </c>
      <c r="G521" t="s">
        <v>13</v>
      </c>
      <c r="H521" s="2">
        <v>13.34</v>
      </c>
      <c r="I521" s="2">
        <v>48.47</v>
      </c>
      <c r="J521" s="2">
        <v>45.33</v>
      </c>
      <c r="K521" s="2">
        <f t="shared" si="183"/>
        <v>321.62</v>
      </c>
      <c r="L521" s="2">
        <v>8.2200000000000006</v>
      </c>
      <c r="M521" s="2">
        <v>0.05</v>
      </c>
      <c r="N521" s="6">
        <f t="shared" si="185"/>
        <v>9.7614478735537134</v>
      </c>
      <c r="O521" s="6">
        <f t="shared" si="186"/>
        <v>1.5278267298065928</v>
      </c>
      <c r="P521" s="6">
        <f t="shared" si="187"/>
        <v>97.316346521622293</v>
      </c>
      <c r="Q521" s="6">
        <f t="shared" si="184"/>
        <v>0.79197787866564917</v>
      </c>
      <c r="R521" s="10">
        <f t="shared" si="188"/>
        <v>7.9197787866564916E-4</v>
      </c>
      <c r="S521" s="3">
        <f t="shared" si="189"/>
        <v>1.4255601815981685E-2</v>
      </c>
      <c r="T521" s="4">
        <f t="shared" si="190"/>
        <v>1.4255601815981684E-5</v>
      </c>
      <c r="U521" s="3">
        <f t="shared" si="191"/>
        <v>5.1320166537534059E-2</v>
      </c>
      <c r="V521" s="2">
        <v>2.64</v>
      </c>
      <c r="W521" s="2">
        <v>0.69</v>
      </c>
      <c r="X521" s="2">
        <f t="shared" si="192"/>
        <v>6899.9999999999991</v>
      </c>
      <c r="Y521" s="5">
        <v>-0.96</v>
      </c>
      <c r="Z521" s="5">
        <v>-1.73</v>
      </c>
      <c r="AA521" s="2">
        <f t="shared" si="193"/>
        <v>0.77</v>
      </c>
      <c r="AB521" s="3">
        <f t="shared" si="194"/>
        <v>6.6649566931862414E-2</v>
      </c>
    </row>
    <row r="522" spans="1:28" x14ac:dyDescent="0.2">
      <c r="A522" t="s">
        <v>10</v>
      </c>
      <c r="B522">
        <v>666</v>
      </c>
      <c r="C522">
        <v>105</v>
      </c>
      <c r="D522">
        <v>9</v>
      </c>
      <c r="E522" t="s">
        <v>12</v>
      </c>
      <c r="F522" s="1">
        <v>45166</v>
      </c>
      <c r="G522" t="s">
        <v>13</v>
      </c>
      <c r="H522" s="2">
        <v>13.87</v>
      </c>
      <c r="I522" s="2">
        <v>47.79</v>
      </c>
      <c r="J522" s="2">
        <v>46.73</v>
      </c>
      <c r="K522" s="2">
        <f t="shared" si="183"/>
        <v>320.94</v>
      </c>
      <c r="L522" s="2">
        <v>8.94</v>
      </c>
      <c r="M522" s="2">
        <v>0.01</v>
      </c>
      <c r="N522" s="6">
        <f t="shared" si="185"/>
        <v>10.48686952720427</v>
      </c>
      <c r="O522" s="6">
        <f t="shared" si="186"/>
        <v>1.534944252704713</v>
      </c>
      <c r="P522" s="6">
        <f t="shared" si="187"/>
        <v>97.308023709034202</v>
      </c>
      <c r="Q522" s="6">
        <f t="shared" si="184"/>
        <v>0.15896628749029432</v>
      </c>
      <c r="R522" s="10">
        <f t="shared" si="188"/>
        <v>1.5896628749029432E-4</v>
      </c>
      <c r="S522" s="3">
        <f t="shared" si="189"/>
        <v>2.8613931748252977E-3</v>
      </c>
      <c r="T522" s="4">
        <f t="shared" si="190"/>
        <v>2.8613931748252979E-6</v>
      </c>
      <c r="U522" s="3">
        <f t="shared" si="191"/>
        <v>1.0301015429371072E-2</v>
      </c>
      <c r="V522" s="2">
        <v>5.01</v>
      </c>
      <c r="W522" s="2">
        <v>1.0900000000000001</v>
      </c>
      <c r="X522" s="2">
        <f t="shared" si="192"/>
        <v>10900</v>
      </c>
      <c r="Y522" s="5">
        <v>-0.9</v>
      </c>
      <c r="Z522" s="5">
        <v>-2.34</v>
      </c>
      <c r="AA522" s="2">
        <f t="shared" si="193"/>
        <v>1.44</v>
      </c>
      <c r="AB522" s="3">
        <f t="shared" si="194"/>
        <v>7.1534829370632448E-3</v>
      </c>
    </row>
    <row r="523" spans="1:28" x14ac:dyDescent="0.2">
      <c r="A523" t="s">
        <v>10</v>
      </c>
      <c r="B523">
        <v>666</v>
      </c>
      <c r="C523">
        <v>118</v>
      </c>
      <c r="D523">
        <v>10</v>
      </c>
      <c r="E523" t="s">
        <v>12</v>
      </c>
      <c r="F523" s="1">
        <v>45166</v>
      </c>
      <c r="G523" t="s">
        <v>13</v>
      </c>
      <c r="H523" s="2">
        <v>14.32</v>
      </c>
      <c r="I523" s="2">
        <v>46.42</v>
      </c>
      <c r="J523" s="2">
        <v>44.79</v>
      </c>
      <c r="K523" s="2">
        <f t="shared" si="183"/>
        <v>319.57</v>
      </c>
      <c r="L523" s="2">
        <v>8.01</v>
      </c>
      <c r="M523" s="2">
        <v>0.01</v>
      </c>
      <c r="N523" s="6">
        <f t="shared" si="185"/>
        <v>9.4934661495700023</v>
      </c>
      <c r="O523" s="6">
        <f t="shared" si="186"/>
        <v>1.4781605129407642</v>
      </c>
      <c r="P523" s="6">
        <f t="shared" si="187"/>
        <v>97.291150309647804</v>
      </c>
      <c r="Q523" s="6">
        <f t="shared" si="184"/>
        <v>0.15247698735687532</v>
      </c>
      <c r="R523" s="10">
        <f t="shared" si="188"/>
        <v>1.5247698735687532E-4</v>
      </c>
      <c r="S523" s="3">
        <f t="shared" si="189"/>
        <v>2.7445857724237559E-3</v>
      </c>
      <c r="T523" s="4">
        <f t="shared" si="190"/>
        <v>2.7445857724237558E-6</v>
      </c>
      <c r="U523" s="3">
        <f t="shared" si="191"/>
        <v>9.8805087807255203E-3</v>
      </c>
      <c r="V523" s="2">
        <v>3.56</v>
      </c>
      <c r="W523" s="6">
        <v>1</v>
      </c>
      <c r="X523" s="2">
        <f t="shared" si="192"/>
        <v>10000</v>
      </c>
      <c r="Y523" s="5">
        <v>-1.25</v>
      </c>
      <c r="Z523" s="5">
        <v>-2.5299999999999998</v>
      </c>
      <c r="AA523" s="2">
        <f t="shared" si="193"/>
        <v>1.2799999999999998</v>
      </c>
      <c r="AB523" s="3">
        <f t="shared" si="194"/>
        <v>7.7191474849418141E-3</v>
      </c>
    </row>
    <row r="524" spans="1:28" x14ac:dyDescent="0.2">
      <c r="A524" t="s">
        <v>10</v>
      </c>
      <c r="B524">
        <v>666</v>
      </c>
      <c r="C524">
        <v>118</v>
      </c>
      <c r="D524">
        <v>11</v>
      </c>
      <c r="E524" t="s">
        <v>12</v>
      </c>
      <c r="F524" s="1">
        <v>45166</v>
      </c>
      <c r="G524" t="s">
        <v>13</v>
      </c>
      <c r="H524" s="2">
        <v>13.73</v>
      </c>
      <c r="I524" s="2">
        <v>47.41</v>
      </c>
      <c r="J524" s="2">
        <v>46.05</v>
      </c>
      <c r="K524" s="2">
        <f t="shared" si="183"/>
        <v>320.55999999999995</v>
      </c>
      <c r="L524" s="2">
        <v>8.6300000000000008</v>
      </c>
      <c r="M524" s="2">
        <v>0.01</v>
      </c>
      <c r="N524" s="6">
        <f t="shared" si="185"/>
        <v>10.128910212957216</v>
      </c>
      <c r="O524" s="6">
        <f t="shared" si="186"/>
        <v>1.4904877576988236</v>
      </c>
      <c r="P524" s="6">
        <f t="shared" si="187"/>
        <v>97.30335765748265</v>
      </c>
      <c r="Q524" s="6">
        <f t="shared" si="184"/>
        <v>0.15404506576571855</v>
      </c>
      <c r="R524" s="10">
        <f t="shared" si="188"/>
        <v>1.5404506576571856E-4</v>
      </c>
      <c r="S524" s="3">
        <f t="shared" si="189"/>
        <v>2.7728111837829342E-3</v>
      </c>
      <c r="T524" s="4">
        <f t="shared" si="190"/>
        <v>2.7728111837829341E-6</v>
      </c>
      <c r="U524" s="3">
        <f t="shared" si="191"/>
        <v>9.9821202616185625E-3</v>
      </c>
      <c r="V524" s="2">
        <v>3.32</v>
      </c>
      <c r="W524" s="2">
        <v>0.91</v>
      </c>
      <c r="X524" s="2">
        <f t="shared" si="192"/>
        <v>9100</v>
      </c>
      <c r="Y524" s="5">
        <v>-0.61</v>
      </c>
      <c r="Z524" s="5">
        <v>-2.62</v>
      </c>
      <c r="AA524" s="2">
        <f t="shared" si="193"/>
        <v>2.0100000000000002</v>
      </c>
      <c r="AB524" s="3">
        <f t="shared" si="194"/>
        <v>4.9662289858798808E-3</v>
      </c>
    </row>
    <row r="525" spans="1:28" x14ac:dyDescent="0.2">
      <c r="A525" t="s">
        <v>10</v>
      </c>
      <c r="B525">
        <v>666</v>
      </c>
      <c r="C525">
        <v>118</v>
      </c>
      <c r="D525">
        <v>12</v>
      </c>
      <c r="E525" t="s">
        <v>12</v>
      </c>
      <c r="F525" s="1">
        <v>45166</v>
      </c>
      <c r="G525" t="s">
        <v>13</v>
      </c>
      <c r="H525" s="2">
        <v>12.1</v>
      </c>
      <c r="I525" s="2">
        <v>49.19</v>
      </c>
      <c r="J525" s="2">
        <v>47.92</v>
      </c>
      <c r="K525" s="2">
        <f t="shared" si="183"/>
        <v>322.33999999999997</v>
      </c>
      <c r="L525" s="2">
        <v>9.69</v>
      </c>
      <c r="M525" s="2">
        <v>0.01</v>
      </c>
      <c r="N525" s="6">
        <f t="shared" si="185"/>
        <v>11.139623333521701</v>
      </c>
      <c r="O525" s="6">
        <f t="shared" si="186"/>
        <v>1.4368328134165744</v>
      </c>
      <c r="P525" s="6">
        <f t="shared" si="187"/>
        <v>97.325121407900198</v>
      </c>
      <c r="Q525" s="6">
        <f t="shared" si="184"/>
        <v>0.14894647060815597</v>
      </c>
      <c r="R525" s="10">
        <f t="shared" si="188"/>
        <v>1.4894647060815597E-4</v>
      </c>
      <c r="S525" s="3">
        <f t="shared" si="189"/>
        <v>2.6810364709468075E-3</v>
      </c>
      <c r="T525" s="4">
        <f t="shared" si="190"/>
        <v>2.6810364709468077E-6</v>
      </c>
      <c r="U525" s="3">
        <f t="shared" si="191"/>
        <v>9.6517312954085069E-3</v>
      </c>
      <c r="V525" s="2">
        <v>1.61</v>
      </c>
      <c r="W525" s="2">
        <v>0.5</v>
      </c>
      <c r="X525" s="2">
        <f t="shared" si="192"/>
        <v>5000</v>
      </c>
      <c r="Y525" s="5">
        <v>-1.27</v>
      </c>
      <c r="Z525" s="5">
        <v>-2.2400000000000002</v>
      </c>
      <c r="AA525" s="2">
        <f t="shared" si="193"/>
        <v>0.9700000000000002</v>
      </c>
      <c r="AB525" s="3">
        <f t="shared" si="194"/>
        <v>9.9502384488747465E-3</v>
      </c>
    </row>
    <row r="526" spans="1:28" x14ac:dyDescent="0.2">
      <c r="A526" t="s">
        <v>10</v>
      </c>
      <c r="B526">
        <v>666</v>
      </c>
      <c r="C526">
        <v>122</v>
      </c>
      <c r="D526">
        <v>16</v>
      </c>
      <c r="E526" t="s">
        <v>12</v>
      </c>
      <c r="F526" s="1">
        <v>45166</v>
      </c>
      <c r="G526" t="s">
        <v>13</v>
      </c>
      <c r="H526" s="2">
        <v>14.27</v>
      </c>
      <c r="I526" s="2">
        <v>47.1</v>
      </c>
      <c r="J526" s="2">
        <v>46.56</v>
      </c>
      <c r="K526" s="2">
        <f t="shared" si="183"/>
        <v>320.25</v>
      </c>
      <c r="L526" s="2">
        <v>8.8800000000000008</v>
      </c>
      <c r="M526" s="2">
        <v>0.01</v>
      </c>
      <c r="N526" s="6">
        <f t="shared" si="185"/>
        <v>10.396370954950266</v>
      </c>
      <c r="O526" s="6">
        <f t="shared" si="186"/>
        <v>1.5249195358752861</v>
      </c>
      <c r="P526" s="6">
        <f t="shared" si="187"/>
        <v>97.299543106585105</v>
      </c>
      <c r="Q526" s="6">
        <f t="shared" si="184"/>
        <v>0.15584563981859426</v>
      </c>
      <c r="R526" s="10">
        <f t="shared" si="188"/>
        <v>1.5584563981859426E-4</v>
      </c>
      <c r="S526" s="3">
        <f t="shared" si="189"/>
        <v>2.8052215167346968E-3</v>
      </c>
      <c r="T526" s="4">
        <f t="shared" si="190"/>
        <v>2.8052215167346969E-6</v>
      </c>
      <c r="U526" s="3">
        <f t="shared" si="191"/>
        <v>1.009879746024491E-2</v>
      </c>
      <c r="V526" s="2">
        <v>7.05</v>
      </c>
      <c r="W526" s="2">
        <v>2.21</v>
      </c>
      <c r="X526" s="2">
        <f t="shared" si="192"/>
        <v>22100</v>
      </c>
      <c r="Y526" s="5">
        <v>-0.89</v>
      </c>
      <c r="Z526" s="5">
        <v>-2.0299999999999998</v>
      </c>
      <c r="AA526" s="2">
        <f t="shared" si="193"/>
        <v>1.1399999999999997</v>
      </c>
      <c r="AB526" s="3">
        <f t="shared" si="194"/>
        <v>8.8585942633727308E-3</v>
      </c>
    </row>
    <row r="527" spans="1:28" x14ac:dyDescent="0.2">
      <c r="A527" t="s">
        <v>10</v>
      </c>
      <c r="B527">
        <v>666</v>
      </c>
      <c r="C527">
        <v>122</v>
      </c>
      <c r="D527">
        <v>17</v>
      </c>
      <c r="E527" t="s">
        <v>12</v>
      </c>
      <c r="F527" s="1">
        <v>45166</v>
      </c>
      <c r="G527" t="s">
        <v>13</v>
      </c>
      <c r="H527" s="2">
        <v>13.31</v>
      </c>
      <c r="I527" s="2">
        <v>46.77</v>
      </c>
      <c r="J527" s="2">
        <v>45.58</v>
      </c>
      <c r="K527" s="2">
        <f t="shared" si="183"/>
        <v>319.91999999999996</v>
      </c>
      <c r="L527" s="2">
        <v>8.48</v>
      </c>
      <c r="M527" s="2">
        <v>0.01</v>
      </c>
      <c r="N527" s="6">
        <f t="shared" si="185"/>
        <v>9.8877111044422232</v>
      </c>
      <c r="O527" s="6">
        <f t="shared" si="186"/>
        <v>1.3986496591573818</v>
      </c>
      <c r="P527" s="6">
        <f t="shared" si="187"/>
        <v>97.295474497118789</v>
      </c>
      <c r="Q527" s="6">
        <f t="shared" si="184"/>
        <v>0.14468412962865085</v>
      </c>
      <c r="R527" s="10">
        <f t="shared" si="188"/>
        <v>1.4468412962865084E-4</v>
      </c>
      <c r="S527" s="3">
        <f t="shared" si="189"/>
        <v>2.6043143333157152E-3</v>
      </c>
      <c r="T527" s="4">
        <f t="shared" si="190"/>
        <v>2.6043143333157154E-6</v>
      </c>
      <c r="U527" s="3">
        <f t="shared" si="191"/>
        <v>9.3755315999365756E-3</v>
      </c>
      <c r="V527" s="2">
        <v>4.82</v>
      </c>
      <c r="W527" s="2">
        <v>1.19</v>
      </c>
      <c r="X527" s="2">
        <f t="shared" si="192"/>
        <v>11900</v>
      </c>
      <c r="Y527" s="5">
        <v>-1</v>
      </c>
      <c r="Z527" s="5">
        <v>-2.29</v>
      </c>
      <c r="AA527" s="2">
        <f t="shared" si="193"/>
        <v>1.29</v>
      </c>
      <c r="AB527" s="3">
        <f t="shared" si="194"/>
        <v>7.2678539534392055E-3</v>
      </c>
    </row>
    <row r="528" spans="1:28" x14ac:dyDescent="0.2">
      <c r="A528" t="s">
        <v>10</v>
      </c>
      <c r="B528">
        <v>666</v>
      </c>
      <c r="C528">
        <v>122</v>
      </c>
      <c r="D528">
        <v>18</v>
      </c>
      <c r="E528" t="s">
        <v>12</v>
      </c>
      <c r="F528" s="1">
        <v>45166</v>
      </c>
      <c r="G528" t="s">
        <v>13</v>
      </c>
      <c r="H528" s="2">
        <v>12.89</v>
      </c>
      <c r="I528" s="2">
        <v>48.59</v>
      </c>
      <c r="J528" s="2">
        <v>48.03</v>
      </c>
      <c r="K528" s="2">
        <f t="shared" si="183"/>
        <v>321.74</v>
      </c>
      <c r="L528" s="2">
        <v>9.6999999999999993</v>
      </c>
      <c r="M528" s="2">
        <v>0.01</v>
      </c>
      <c r="N528" s="6">
        <f t="shared" si="185"/>
        <v>11.201694608576821</v>
      </c>
      <c r="O528" s="6">
        <f t="shared" si="186"/>
        <v>1.4852300016371236</v>
      </c>
      <c r="P528" s="6">
        <f t="shared" si="187"/>
        <v>97.317811674966038</v>
      </c>
      <c r="Q528" s="6">
        <f t="shared" si="184"/>
        <v>0.1543083000666276</v>
      </c>
      <c r="R528" s="10">
        <f t="shared" si="188"/>
        <v>1.5430830006662761E-4</v>
      </c>
      <c r="S528" s="3">
        <f t="shared" si="189"/>
        <v>2.7775494011992967E-3</v>
      </c>
      <c r="T528" s="4">
        <f t="shared" si="190"/>
        <v>2.7775494011992967E-6</v>
      </c>
      <c r="U528" s="3">
        <f t="shared" si="191"/>
        <v>9.9991778443174681E-3</v>
      </c>
      <c r="V528" s="2">
        <v>7.37</v>
      </c>
      <c r="W528" s="2">
        <v>1.96</v>
      </c>
      <c r="X528" s="2">
        <f t="shared" si="192"/>
        <v>19600</v>
      </c>
      <c r="Y528" s="5">
        <v>-0.97</v>
      </c>
      <c r="Z528" s="5">
        <v>-1.85</v>
      </c>
      <c r="AA528" s="2">
        <f t="shared" si="193"/>
        <v>0.88000000000000012</v>
      </c>
      <c r="AB528" s="3">
        <f t="shared" si="194"/>
        <v>1.1362702095815302E-2</v>
      </c>
    </row>
    <row r="529" spans="1:28" x14ac:dyDescent="0.2">
      <c r="A529" t="s">
        <v>10</v>
      </c>
      <c r="B529">
        <v>666</v>
      </c>
      <c r="C529">
        <v>123</v>
      </c>
      <c r="D529">
        <v>19</v>
      </c>
      <c r="E529" t="s">
        <v>12</v>
      </c>
      <c r="F529" s="1">
        <v>45166</v>
      </c>
      <c r="G529" t="s">
        <v>13</v>
      </c>
      <c r="H529" s="2">
        <v>17.77</v>
      </c>
      <c r="I529" s="2">
        <v>44.33</v>
      </c>
      <c r="J529" s="2">
        <v>44.33</v>
      </c>
      <c r="K529" s="2">
        <f t="shared" si="183"/>
        <v>317.47999999999996</v>
      </c>
      <c r="L529" s="2">
        <v>7.62</v>
      </c>
      <c r="M529" s="2">
        <v>0.03</v>
      </c>
      <c r="N529" s="6">
        <f t="shared" si="185"/>
        <v>9.2702256008351007</v>
      </c>
      <c r="O529" s="6">
        <f t="shared" si="186"/>
        <v>1.6473190892683973</v>
      </c>
      <c r="P529" s="6">
        <f t="shared" si="187"/>
        <v>97.26513433792374</v>
      </c>
      <c r="Q529" s="6">
        <f t="shared" si="184"/>
        <v>0.50898781317726816</v>
      </c>
      <c r="R529" s="10">
        <f t="shared" si="188"/>
        <v>5.0898781317726817E-4</v>
      </c>
      <c r="S529" s="3">
        <f t="shared" si="189"/>
        <v>9.1617806371908275E-3</v>
      </c>
      <c r="T529" s="4">
        <f t="shared" si="190"/>
        <v>9.1617806371908273E-6</v>
      </c>
      <c r="U529" s="3">
        <f t="shared" si="191"/>
        <v>3.2982410293886981E-2</v>
      </c>
      <c r="V529" s="2">
        <v>6.06</v>
      </c>
      <c r="W529" s="2">
        <v>1.55</v>
      </c>
      <c r="X529" s="2">
        <f t="shared" si="192"/>
        <v>15500</v>
      </c>
      <c r="Y529" s="5">
        <v>-1.37</v>
      </c>
      <c r="Z529" s="5">
        <v>-1.73</v>
      </c>
      <c r="AA529" s="2">
        <f t="shared" si="193"/>
        <v>0.35999999999999988</v>
      </c>
      <c r="AB529" s="3">
        <f t="shared" si="194"/>
        <v>9.1617806371908306E-2</v>
      </c>
    </row>
    <row r="530" spans="1:28" x14ac:dyDescent="0.2">
      <c r="A530" t="s">
        <v>10</v>
      </c>
      <c r="B530">
        <v>666</v>
      </c>
      <c r="C530">
        <v>123</v>
      </c>
      <c r="D530">
        <v>20</v>
      </c>
      <c r="E530" t="s">
        <v>12</v>
      </c>
      <c r="F530" s="1">
        <v>45166</v>
      </c>
      <c r="G530" t="s">
        <v>13</v>
      </c>
      <c r="H530" s="2">
        <v>15.72</v>
      </c>
      <c r="I530" s="2">
        <v>46</v>
      </c>
      <c r="J530" s="2">
        <v>46.34</v>
      </c>
      <c r="K530" s="2">
        <f t="shared" si="183"/>
        <v>319.14999999999998</v>
      </c>
      <c r="L530" s="2">
        <v>8.69</v>
      </c>
      <c r="M530" s="2">
        <v>0.02</v>
      </c>
      <c r="N530" s="6">
        <f t="shared" si="185"/>
        <v>10.280256955869545</v>
      </c>
      <c r="O530" s="6">
        <f t="shared" si="186"/>
        <v>1.5881934010179677</v>
      </c>
      <c r="P530" s="6">
        <f t="shared" si="187"/>
        <v>97.285949019965116</v>
      </c>
      <c r="Q530" s="6">
        <f t="shared" si="184"/>
        <v>0.32692428287731279</v>
      </c>
      <c r="R530" s="10">
        <f t="shared" si="188"/>
        <v>3.269242828773128E-4</v>
      </c>
      <c r="S530" s="3">
        <f t="shared" si="189"/>
        <v>5.8846370917916306E-3</v>
      </c>
      <c r="T530" s="4">
        <f t="shared" si="190"/>
        <v>5.8846370917916306E-6</v>
      </c>
      <c r="U530" s="3">
        <f t="shared" si="191"/>
        <v>2.1184693530449869E-2</v>
      </c>
      <c r="V530" s="2">
        <v>5.82</v>
      </c>
      <c r="W530" s="2">
        <v>2.02</v>
      </c>
      <c r="X530" s="2">
        <f t="shared" si="192"/>
        <v>20200</v>
      </c>
      <c r="Y530" s="5">
        <v>-0.85</v>
      </c>
      <c r="Z530" s="5">
        <v>-2.2599999999999998</v>
      </c>
      <c r="AA530" s="2">
        <f t="shared" si="193"/>
        <v>1.4099999999999997</v>
      </c>
      <c r="AB530" s="3">
        <f t="shared" si="194"/>
        <v>1.502460534074459E-2</v>
      </c>
    </row>
    <row r="531" spans="1:28" x14ac:dyDescent="0.2">
      <c r="A531" t="s">
        <v>10</v>
      </c>
      <c r="B531">
        <v>666</v>
      </c>
      <c r="C531">
        <v>123</v>
      </c>
      <c r="D531">
        <v>22</v>
      </c>
      <c r="E531" t="s">
        <v>12</v>
      </c>
      <c r="F531" s="1">
        <v>45166</v>
      </c>
      <c r="G531" t="s">
        <v>13</v>
      </c>
      <c r="H531" s="2">
        <v>13.62</v>
      </c>
      <c r="I531" s="2">
        <v>48.2</v>
      </c>
      <c r="J531" s="2">
        <v>46.8</v>
      </c>
      <c r="K531" s="2">
        <f t="shared" si="183"/>
        <v>321.34999999999997</v>
      </c>
      <c r="L531" s="2">
        <v>8.9700000000000006</v>
      </c>
      <c r="M531" s="2">
        <v>0.01</v>
      </c>
      <c r="N531" s="6">
        <f t="shared" si="185"/>
        <v>10.52433090344449</v>
      </c>
      <c r="O531" s="6">
        <f t="shared" si="186"/>
        <v>1.5388162002336558</v>
      </c>
      <c r="P531" s="6">
        <f t="shared" si="187"/>
        <v>97.313046006568499</v>
      </c>
      <c r="Q531" s="6">
        <f t="shared" si="184"/>
        <v>0.15972482285053272</v>
      </c>
      <c r="R531" s="10">
        <f t="shared" si="188"/>
        <v>1.5972482285053272E-4</v>
      </c>
      <c r="S531" s="3">
        <f t="shared" si="189"/>
        <v>2.875046811309589E-3</v>
      </c>
      <c r="T531" s="4">
        <f t="shared" si="190"/>
        <v>2.8750468113095889E-6</v>
      </c>
      <c r="U531" s="3">
        <f t="shared" si="191"/>
        <v>1.035016852071452E-2</v>
      </c>
      <c r="V531" s="2">
        <v>4.78</v>
      </c>
      <c r="W531" s="2">
        <v>1.58</v>
      </c>
      <c r="X531" s="2">
        <f t="shared" si="192"/>
        <v>15800</v>
      </c>
      <c r="Y531" s="5">
        <v>-1.19</v>
      </c>
      <c r="Z531" s="5">
        <v>-2.37</v>
      </c>
      <c r="AA531" s="2">
        <f t="shared" si="193"/>
        <v>1.1800000000000002</v>
      </c>
      <c r="AB531" s="3">
        <f t="shared" si="194"/>
        <v>8.7713292548428131E-3</v>
      </c>
    </row>
    <row r="532" spans="1:28" x14ac:dyDescent="0.2">
      <c r="A532" t="s">
        <v>11</v>
      </c>
      <c r="B532">
        <v>1212</v>
      </c>
      <c r="C532">
        <v>3</v>
      </c>
      <c r="D532">
        <v>29</v>
      </c>
      <c r="E532" t="s">
        <v>12</v>
      </c>
      <c r="F532" s="1">
        <v>45166</v>
      </c>
      <c r="G532" t="s">
        <v>13</v>
      </c>
      <c r="H532" s="2">
        <v>12.46</v>
      </c>
      <c r="I532" s="2">
        <v>49.02</v>
      </c>
      <c r="J532" s="2">
        <v>46.83</v>
      </c>
      <c r="K532" s="2">
        <f t="shared" si="183"/>
        <v>322.16999999999996</v>
      </c>
      <c r="L532" s="2">
        <v>9.07</v>
      </c>
      <c r="M532" s="2">
        <v>0.02</v>
      </c>
      <c r="N532" s="6">
        <f t="shared" si="185"/>
        <v>10.540421119519987</v>
      </c>
      <c r="O532" s="6">
        <f t="shared" si="186"/>
        <v>1.4670279383771101</v>
      </c>
      <c r="P532" s="6">
        <f t="shared" si="187"/>
        <v>97.323053025488548</v>
      </c>
      <c r="Q532" s="6">
        <f t="shared" si="184"/>
        <v>0.30217324134599211</v>
      </c>
      <c r="R532" s="10">
        <f t="shared" si="188"/>
        <v>3.0217324134599211E-4</v>
      </c>
      <c r="S532" s="3">
        <f t="shared" si="189"/>
        <v>5.4391183442278578E-3</v>
      </c>
      <c r="T532" s="4">
        <f t="shared" si="190"/>
        <v>5.4391183442278576E-6</v>
      </c>
      <c r="U532" s="3">
        <f t="shared" si="191"/>
        <v>1.9580826039220286E-2</v>
      </c>
      <c r="V532" s="2">
        <v>8.68</v>
      </c>
      <c r="W532" s="2">
        <v>2.3199999999999998</v>
      </c>
      <c r="X532" s="2">
        <f t="shared" si="192"/>
        <v>23200</v>
      </c>
      <c r="Y532" s="5">
        <v>-1.49</v>
      </c>
      <c r="Z532" s="5">
        <v>-2.54</v>
      </c>
      <c r="AA532" s="2">
        <f t="shared" si="193"/>
        <v>1.05</v>
      </c>
      <c r="AB532" s="3">
        <f t="shared" si="194"/>
        <v>1.8648405751638366E-2</v>
      </c>
    </row>
    <row r="533" spans="1:28" x14ac:dyDescent="0.2">
      <c r="A533" t="s">
        <v>11</v>
      </c>
      <c r="B533">
        <v>1212</v>
      </c>
      <c r="C533">
        <v>3</v>
      </c>
      <c r="D533">
        <v>30</v>
      </c>
      <c r="E533" t="s">
        <v>12</v>
      </c>
      <c r="F533" s="1">
        <v>45166</v>
      </c>
      <c r="G533" t="s">
        <v>13</v>
      </c>
      <c r="H533" s="2">
        <v>13.12</v>
      </c>
      <c r="I533" s="2">
        <v>48.21</v>
      </c>
      <c r="J533" s="2">
        <v>47.12</v>
      </c>
      <c r="K533" s="2">
        <f t="shared" si="183"/>
        <v>321.35999999999996</v>
      </c>
      <c r="L533" s="2">
        <v>9.1999999999999993</v>
      </c>
      <c r="M533" s="2">
        <v>0.01</v>
      </c>
      <c r="N533" s="6">
        <f t="shared" si="185"/>
        <v>10.697058272758589</v>
      </c>
      <c r="O533" s="6">
        <f t="shared" si="186"/>
        <v>1.4830729446289319</v>
      </c>
      <c r="P533" s="6">
        <f t="shared" si="187"/>
        <v>97.313168344769792</v>
      </c>
      <c r="Q533" s="6">
        <f t="shared" si="184"/>
        <v>0.15383922836164146</v>
      </c>
      <c r="R533" s="10">
        <f t="shared" si="188"/>
        <v>1.5383922836164146E-4</v>
      </c>
      <c r="S533" s="3">
        <f t="shared" si="189"/>
        <v>2.7691061105095463E-3</v>
      </c>
      <c r="T533" s="4">
        <f t="shared" si="190"/>
        <v>2.7691061105095465E-6</v>
      </c>
      <c r="U533" s="3">
        <f t="shared" si="191"/>
        <v>9.9687819978343667E-3</v>
      </c>
      <c r="V533" s="6">
        <v>7</v>
      </c>
      <c r="W533" s="2">
        <v>2.4300000000000002</v>
      </c>
      <c r="X533" s="2">
        <f t="shared" si="192"/>
        <v>24300</v>
      </c>
      <c r="Y533" s="5">
        <v>-1</v>
      </c>
      <c r="Z533" s="5">
        <v>-2.35</v>
      </c>
      <c r="AA533" s="2">
        <f t="shared" si="193"/>
        <v>1.35</v>
      </c>
      <c r="AB533" s="3">
        <f t="shared" si="194"/>
        <v>7.3842829613587893E-3</v>
      </c>
    </row>
    <row r="534" spans="1:28" x14ac:dyDescent="0.2">
      <c r="A534" t="s">
        <v>11</v>
      </c>
      <c r="B534">
        <v>1212</v>
      </c>
      <c r="C534">
        <v>3</v>
      </c>
      <c r="D534">
        <v>31</v>
      </c>
      <c r="E534" t="s">
        <v>12</v>
      </c>
      <c r="F534" s="1">
        <v>45166</v>
      </c>
      <c r="G534" t="s">
        <v>13</v>
      </c>
      <c r="H534" s="2">
        <v>13.12</v>
      </c>
      <c r="I534" s="2">
        <v>47.74</v>
      </c>
      <c r="J534" s="2">
        <v>46.5</v>
      </c>
      <c r="K534" s="2">
        <f t="shared" si="183"/>
        <v>320.89</v>
      </c>
      <c r="L534" s="2">
        <v>8.9</v>
      </c>
      <c r="M534" s="2">
        <v>0.01</v>
      </c>
      <c r="N534" s="6">
        <f t="shared" si="185"/>
        <v>10.364591725175078</v>
      </c>
      <c r="O534" s="6">
        <f t="shared" si="186"/>
        <v>1.4482764397068086</v>
      </c>
      <c r="P534" s="6">
        <f t="shared" si="187"/>
        <v>97.30741037349452</v>
      </c>
      <c r="Q534" s="6">
        <f t="shared" si="184"/>
        <v>0.1505118386722597</v>
      </c>
      <c r="R534" s="10">
        <f t="shared" si="188"/>
        <v>1.5051183867225971E-4</v>
      </c>
      <c r="S534" s="3">
        <f t="shared" si="189"/>
        <v>2.709213096100675E-3</v>
      </c>
      <c r="T534" s="4">
        <f t="shared" si="190"/>
        <v>2.7092130961006748E-6</v>
      </c>
      <c r="U534" s="3">
        <f t="shared" si="191"/>
        <v>9.7531671459624297E-3</v>
      </c>
      <c r="V534" s="2">
        <v>6.14</v>
      </c>
      <c r="W534" s="2">
        <v>1.8</v>
      </c>
      <c r="X534" s="2">
        <f t="shared" si="192"/>
        <v>18000</v>
      </c>
      <c r="Y534" s="5">
        <v>-1</v>
      </c>
      <c r="Z534" s="5">
        <v>-2.23</v>
      </c>
      <c r="AA534" s="2">
        <f t="shared" si="193"/>
        <v>1.23</v>
      </c>
      <c r="AB534" s="3">
        <f t="shared" si="194"/>
        <v>7.9294041837092918E-3</v>
      </c>
    </row>
    <row r="535" spans="1:28" x14ac:dyDescent="0.2">
      <c r="A535" t="s">
        <v>11</v>
      </c>
      <c r="B535">
        <v>1212</v>
      </c>
      <c r="C535">
        <v>4</v>
      </c>
      <c r="D535">
        <v>32</v>
      </c>
      <c r="E535" t="s">
        <v>12</v>
      </c>
      <c r="F535" s="1">
        <v>45166</v>
      </c>
      <c r="G535" t="s">
        <v>13</v>
      </c>
      <c r="H535" s="2">
        <v>12.19</v>
      </c>
      <c r="I535" s="2">
        <v>48.9</v>
      </c>
      <c r="J535" s="2">
        <v>48.22</v>
      </c>
      <c r="K535" s="2">
        <f t="shared" si="183"/>
        <v>322.04999999999995</v>
      </c>
      <c r="L535" s="2">
        <v>9.86</v>
      </c>
      <c r="M535" s="2">
        <v>0.01</v>
      </c>
      <c r="N535" s="6">
        <f t="shared" si="185"/>
        <v>11.30961177169563</v>
      </c>
      <c r="O535" s="6">
        <f t="shared" si="186"/>
        <v>1.4266232564882471</v>
      </c>
      <c r="P535" s="6">
        <f t="shared" si="187"/>
        <v>97.321591702610917</v>
      </c>
      <c r="Q535" s="6">
        <f t="shared" si="184"/>
        <v>0.14895068466669367</v>
      </c>
      <c r="R535" s="10">
        <f t="shared" si="188"/>
        <v>1.4895068466669366E-4</v>
      </c>
      <c r="S535" s="3">
        <f t="shared" si="189"/>
        <v>2.681112324000486E-3</v>
      </c>
      <c r="T535" s="4">
        <f t="shared" si="190"/>
        <v>2.6811123240004861E-6</v>
      </c>
      <c r="U535" s="3">
        <f t="shared" si="191"/>
        <v>9.6520043664017497E-3</v>
      </c>
      <c r="V535" s="2">
        <v>6.68</v>
      </c>
      <c r="W535" s="2">
        <v>1.44</v>
      </c>
      <c r="X535" s="2">
        <f t="shared" si="192"/>
        <v>14400</v>
      </c>
      <c r="Y535" s="5">
        <v>-0.91</v>
      </c>
      <c r="Z535" s="5">
        <v>-2.4900000000000002</v>
      </c>
      <c r="AA535" s="2">
        <f t="shared" si="193"/>
        <v>1.58</v>
      </c>
      <c r="AB535" s="3">
        <f t="shared" si="194"/>
        <v>6.1088635230390816E-3</v>
      </c>
    </row>
    <row r="536" spans="1:28" x14ac:dyDescent="0.2">
      <c r="A536" t="s">
        <v>11</v>
      </c>
      <c r="B536">
        <v>1212</v>
      </c>
      <c r="C536">
        <v>4</v>
      </c>
      <c r="D536">
        <v>33</v>
      </c>
      <c r="E536" t="s">
        <v>12</v>
      </c>
      <c r="F536" s="1">
        <v>45166</v>
      </c>
      <c r="G536" t="s">
        <v>13</v>
      </c>
      <c r="H536" s="2">
        <v>14.08</v>
      </c>
      <c r="I536" s="2">
        <v>46.77</v>
      </c>
      <c r="J536" s="2">
        <v>45.41</v>
      </c>
      <c r="K536" s="2">
        <f t="shared" si="183"/>
        <v>319.91999999999996</v>
      </c>
      <c r="L536" s="2">
        <v>8.31</v>
      </c>
      <c r="M536" s="2">
        <v>0.01</v>
      </c>
      <c r="N536" s="6">
        <f t="shared" si="185"/>
        <v>9.8016996203516733</v>
      </c>
      <c r="O536" s="6">
        <f t="shared" si="186"/>
        <v>1.4795632758028503</v>
      </c>
      <c r="P536" s="6">
        <f t="shared" si="187"/>
        <v>97.295474497118789</v>
      </c>
      <c r="Q536" s="6">
        <f t="shared" si="184"/>
        <v>0.15331644437335534</v>
      </c>
      <c r="R536" s="10">
        <f t="shared" si="188"/>
        <v>1.5331644437335535E-4</v>
      </c>
      <c r="S536" s="3">
        <f t="shared" si="189"/>
        <v>2.7596959987203963E-3</v>
      </c>
      <c r="T536" s="4">
        <f t="shared" si="190"/>
        <v>2.7596959987203961E-6</v>
      </c>
      <c r="U536" s="3">
        <f t="shared" si="191"/>
        <v>9.9349055953934264E-3</v>
      </c>
      <c r="V536" s="2">
        <v>14.08</v>
      </c>
      <c r="W536" s="2">
        <v>4.13</v>
      </c>
      <c r="X536" s="2">
        <f t="shared" si="192"/>
        <v>41300</v>
      </c>
      <c r="Y536" s="5">
        <v>-0.99</v>
      </c>
      <c r="Z536" s="5">
        <v>-2.41</v>
      </c>
      <c r="AA536" s="2">
        <f t="shared" si="193"/>
        <v>1.4200000000000002</v>
      </c>
      <c r="AB536" s="3">
        <f t="shared" si="194"/>
        <v>6.9964123911221308E-3</v>
      </c>
    </row>
    <row r="537" spans="1:28" x14ac:dyDescent="0.2">
      <c r="A537" t="s">
        <v>11</v>
      </c>
      <c r="B537">
        <v>1212</v>
      </c>
      <c r="C537">
        <v>4</v>
      </c>
      <c r="D537">
        <v>34</v>
      </c>
      <c r="E537" t="s">
        <v>12</v>
      </c>
      <c r="F537" s="1">
        <v>45166</v>
      </c>
      <c r="G537" t="s">
        <v>13</v>
      </c>
      <c r="H537" s="2">
        <v>13.46</v>
      </c>
      <c r="I537" s="2">
        <v>48.35</v>
      </c>
      <c r="J537" s="2">
        <v>48.41</v>
      </c>
      <c r="K537" s="2">
        <f t="shared" si="183"/>
        <v>321.5</v>
      </c>
      <c r="L537" s="2">
        <v>9.8699999999999992</v>
      </c>
      <c r="M537" s="2">
        <v>0.01</v>
      </c>
      <c r="N537" s="6">
        <f t="shared" si="185"/>
        <v>11.418424846111877</v>
      </c>
      <c r="O537" s="6">
        <f t="shared" si="186"/>
        <v>1.5322817780935201</v>
      </c>
      <c r="P537" s="6">
        <f t="shared" si="187"/>
        <v>97.314880296623556</v>
      </c>
      <c r="Q537" s="6">
        <f t="shared" si="184"/>
        <v>0.15911491042193704</v>
      </c>
      <c r="R537" s="10">
        <f t="shared" si="188"/>
        <v>1.5911491042193703E-4</v>
      </c>
      <c r="S537" s="3">
        <f t="shared" si="189"/>
        <v>2.8640683875948664E-3</v>
      </c>
      <c r="T537" s="4">
        <f t="shared" si="190"/>
        <v>2.8640683875948662E-6</v>
      </c>
      <c r="U537" s="3">
        <f t="shared" si="191"/>
        <v>1.0310646195341519E-2</v>
      </c>
      <c r="V537" s="2">
        <v>4.71</v>
      </c>
      <c r="W537" s="2">
        <v>1.38</v>
      </c>
      <c r="X537" s="2">
        <f t="shared" si="192"/>
        <v>13799.999999999998</v>
      </c>
      <c r="Y537" s="5">
        <v>-0.62</v>
      </c>
      <c r="Z537" s="5">
        <v>-2.4500000000000002</v>
      </c>
      <c r="AA537" s="2">
        <f t="shared" si="193"/>
        <v>1.83</v>
      </c>
      <c r="AB537" s="3">
        <f t="shared" si="194"/>
        <v>5.6342328936292447E-3</v>
      </c>
    </row>
    <row r="538" spans="1:28" x14ac:dyDescent="0.2">
      <c r="A538" t="s">
        <v>11</v>
      </c>
      <c r="B538">
        <v>1212</v>
      </c>
      <c r="C538">
        <v>7</v>
      </c>
      <c r="D538">
        <v>36</v>
      </c>
      <c r="E538" t="s">
        <v>12</v>
      </c>
      <c r="F538" s="1">
        <v>45166</v>
      </c>
      <c r="G538" t="s">
        <v>13</v>
      </c>
      <c r="H538" s="2">
        <v>12.7</v>
      </c>
      <c r="I538" s="2">
        <v>48</v>
      </c>
      <c r="J538" s="2">
        <v>47.98</v>
      </c>
      <c r="K538" s="2">
        <f t="shared" si="183"/>
        <v>321.14999999999998</v>
      </c>
      <c r="L538" s="2">
        <v>9.74</v>
      </c>
      <c r="M538" s="2">
        <v>0.02</v>
      </c>
      <c r="N538" s="6">
        <f t="shared" si="185"/>
        <v>11.173443491951934</v>
      </c>
      <c r="O538" s="6">
        <f t="shared" si="186"/>
        <v>1.420461542021926</v>
      </c>
      <c r="P538" s="6">
        <f t="shared" si="187"/>
        <v>97.310597674942343</v>
      </c>
      <c r="Q538" s="6">
        <f t="shared" si="184"/>
        <v>0.29461200037846408</v>
      </c>
      <c r="R538" s="10">
        <f t="shared" si="188"/>
        <v>2.9461200037846406E-4</v>
      </c>
      <c r="S538" s="3">
        <f t="shared" si="189"/>
        <v>5.3030160068123534E-3</v>
      </c>
      <c r="T538" s="4">
        <f t="shared" si="190"/>
        <v>5.3030160068123534E-6</v>
      </c>
      <c r="U538" s="3">
        <f t="shared" si="191"/>
        <v>1.9090857624524473E-2</v>
      </c>
      <c r="V538" s="2">
        <v>6.11</v>
      </c>
      <c r="W538" s="2">
        <v>0.97</v>
      </c>
      <c r="X538" s="2">
        <f t="shared" si="192"/>
        <v>9700</v>
      </c>
      <c r="Y538" s="5">
        <v>-0.67</v>
      </c>
      <c r="Z538" s="5">
        <v>-2.04</v>
      </c>
      <c r="AA538" s="2">
        <f t="shared" si="193"/>
        <v>1.37</v>
      </c>
      <c r="AB538" s="3">
        <f t="shared" si="194"/>
        <v>1.39349325726456E-2</v>
      </c>
    </row>
    <row r="539" spans="1:28" x14ac:dyDescent="0.2">
      <c r="A539" t="s">
        <v>11</v>
      </c>
      <c r="B539">
        <v>1212</v>
      </c>
      <c r="C539">
        <v>7</v>
      </c>
      <c r="D539">
        <v>37</v>
      </c>
      <c r="E539" t="s">
        <v>12</v>
      </c>
      <c r="F539" s="1">
        <v>45166</v>
      </c>
      <c r="G539" t="s">
        <v>13</v>
      </c>
      <c r="H539" s="2">
        <v>12.78</v>
      </c>
      <c r="I539" s="2">
        <v>48.45</v>
      </c>
      <c r="J539" s="2">
        <v>47.76</v>
      </c>
      <c r="K539" s="2">
        <f t="shared" si="183"/>
        <v>321.59999999999997</v>
      </c>
      <c r="L539" s="2">
        <v>9.58</v>
      </c>
      <c r="M539" s="2">
        <v>0.01</v>
      </c>
      <c r="N539" s="6">
        <f t="shared" si="185"/>
        <v>11.049867807042705</v>
      </c>
      <c r="O539" s="6">
        <f t="shared" si="186"/>
        <v>1.4622170031873722</v>
      </c>
      <c r="P539" s="6">
        <f t="shared" si="187"/>
        <v>97.316102225241394</v>
      </c>
      <c r="Q539" s="6">
        <f t="shared" si="184"/>
        <v>0.15104055479335238</v>
      </c>
      <c r="R539" s="10">
        <f t="shared" si="188"/>
        <v>1.5104055479335239E-4</v>
      </c>
      <c r="S539" s="3">
        <f t="shared" si="189"/>
        <v>2.718729986280343E-3</v>
      </c>
      <c r="T539" s="4">
        <f t="shared" si="190"/>
        <v>2.718729986280343E-6</v>
      </c>
      <c r="U539" s="3">
        <f t="shared" si="191"/>
        <v>9.787427950609235E-3</v>
      </c>
      <c r="V539" s="2">
        <v>3.68</v>
      </c>
      <c r="W539" s="2">
        <v>0.9</v>
      </c>
      <c r="X539" s="2">
        <f t="shared" si="192"/>
        <v>9000</v>
      </c>
      <c r="Y539" s="5">
        <v>-0.67</v>
      </c>
      <c r="Z539" s="5">
        <v>-2.06</v>
      </c>
      <c r="AA539" s="2">
        <f t="shared" si="193"/>
        <v>1.3900000000000001</v>
      </c>
      <c r="AB539" s="3">
        <f t="shared" si="194"/>
        <v>7.041315072380744E-3</v>
      </c>
    </row>
    <row r="540" spans="1:28" x14ac:dyDescent="0.2">
      <c r="A540" t="s">
        <v>11</v>
      </c>
      <c r="B540">
        <v>1212</v>
      </c>
      <c r="C540">
        <v>7</v>
      </c>
      <c r="D540">
        <v>83</v>
      </c>
      <c r="E540" t="s">
        <v>12</v>
      </c>
      <c r="F540" s="1">
        <v>45166</v>
      </c>
      <c r="G540" t="s">
        <v>13</v>
      </c>
      <c r="H540" s="2">
        <v>11.93</v>
      </c>
      <c r="I540" s="2">
        <v>49.26</v>
      </c>
      <c r="J540" s="2">
        <v>48.89</v>
      </c>
      <c r="K540" s="2">
        <f t="shared" si="183"/>
        <v>322.40999999999997</v>
      </c>
      <c r="L540" s="2">
        <v>10.26</v>
      </c>
      <c r="M540" s="2">
        <v>0.01</v>
      </c>
      <c r="N540" s="6">
        <f t="shared" si="185"/>
        <v>11.697353116301507</v>
      </c>
      <c r="O540" s="6">
        <f t="shared" si="186"/>
        <v>1.4216208894386555</v>
      </c>
      <c r="P540" s="6">
        <f t="shared" si="187"/>
        <v>97.325972473549768</v>
      </c>
      <c r="Q540" s="6">
        <f t="shared" si="184"/>
        <v>0.14768443404890053</v>
      </c>
      <c r="R540" s="10">
        <f t="shared" si="188"/>
        <v>1.4768443404890053E-4</v>
      </c>
      <c r="S540" s="3">
        <f t="shared" si="189"/>
        <v>2.6583198128802095E-3</v>
      </c>
      <c r="T540" s="4">
        <f t="shared" si="190"/>
        <v>2.6583198128802094E-6</v>
      </c>
      <c r="U540" s="3">
        <f t="shared" si="191"/>
        <v>9.5699513263687534E-3</v>
      </c>
      <c r="V540" s="2">
        <v>7.91</v>
      </c>
      <c r="W540" s="2">
        <v>2.14</v>
      </c>
      <c r="X540" s="2">
        <f t="shared" si="192"/>
        <v>21400</v>
      </c>
      <c r="Y540" s="5">
        <v>-0.54</v>
      </c>
      <c r="Z540" s="5">
        <v>-2.16</v>
      </c>
      <c r="AA540" s="2">
        <f t="shared" si="193"/>
        <v>1.62</v>
      </c>
      <c r="AB540" s="3">
        <f t="shared" si="194"/>
        <v>5.90737736195602E-3</v>
      </c>
    </row>
    <row r="541" spans="1:28" x14ac:dyDescent="0.2">
      <c r="A541" t="s">
        <v>11</v>
      </c>
      <c r="B541">
        <v>1212</v>
      </c>
      <c r="C541">
        <v>8</v>
      </c>
      <c r="D541">
        <v>38</v>
      </c>
      <c r="E541" t="s">
        <v>12</v>
      </c>
      <c r="F541" s="1">
        <v>45166</v>
      </c>
      <c r="G541" t="s">
        <v>13</v>
      </c>
      <c r="H541" s="2">
        <v>12.77</v>
      </c>
      <c r="I541" s="2">
        <v>49.07</v>
      </c>
      <c r="J541" s="2">
        <v>49.78</v>
      </c>
      <c r="K541" s="2">
        <f t="shared" si="183"/>
        <v>322.21999999999997</v>
      </c>
      <c r="L541" s="2">
        <v>10.7</v>
      </c>
      <c r="M541" s="2">
        <v>0</v>
      </c>
      <c r="N541" s="6">
        <f t="shared" si="185"/>
        <v>12.230108067831347</v>
      </c>
      <c r="O541" s="6">
        <f t="shared" si="186"/>
        <v>1.5073013205098249</v>
      </c>
      <c r="P541" s="6">
        <f t="shared" si="187"/>
        <v>97.32366159525121</v>
      </c>
      <c r="Q541" s="6">
        <f t="shared" si="184"/>
        <v>0</v>
      </c>
      <c r="R541" s="10">
        <f t="shared" si="188"/>
        <v>0</v>
      </c>
      <c r="S541" s="3">
        <f t="shared" si="189"/>
        <v>0</v>
      </c>
      <c r="T541" s="4">
        <f t="shared" si="190"/>
        <v>0</v>
      </c>
      <c r="U541" s="3">
        <f t="shared" si="191"/>
        <v>0</v>
      </c>
      <c r="V541" s="2">
        <v>13.38</v>
      </c>
      <c r="W541" s="2">
        <v>3.28</v>
      </c>
      <c r="X541" s="2">
        <f t="shared" si="192"/>
        <v>32800</v>
      </c>
      <c r="Y541" s="5">
        <v>-0.88</v>
      </c>
      <c r="Z541" s="5">
        <v>-2.08</v>
      </c>
      <c r="AA541" s="2">
        <f t="shared" si="193"/>
        <v>1.2000000000000002</v>
      </c>
      <c r="AB541" s="3">
        <f t="shared" si="194"/>
        <v>0</v>
      </c>
    </row>
    <row r="542" spans="1:28" x14ac:dyDescent="0.2">
      <c r="A542" t="s">
        <v>11</v>
      </c>
      <c r="B542">
        <v>1212</v>
      </c>
      <c r="C542">
        <v>8</v>
      </c>
      <c r="D542">
        <v>39</v>
      </c>
      <c r="E542" t="s">
        <v>12</v>
      </c>
      <c r="F542" s="1">
        <v>45166</v>
      </c>
      <c r="G542" t="s">
        <v>13</v>
      </c>
      <c r="H542" s="2">
        <v>14.15</v>
      </c>
      <c r="I542" s="2">
        <v>46.48</v>
      </c>
      <c r="J542" s="2">
        <v>45.46</v>
      </c>
      <c r="K542" s="2">
        <f t="shared" si="183"/>
        <v>319.63</v>
      </c>
      <c r="L542" s="2">
        <v>8.35</v>
      </c>
      <c r="M542" s="2">
        <v>0.02</v>
      </c>
      <c r="N542" s="6">
        <f t="shared" si="185"/>
        <v>9.8269297343765878</v>
      </c>
      <c r="O542" s="6">
        <f t="shared" si="186"/>
        <v>1.4650934493134402</v>
      </c>
      <c r="P542" s="6">
        <f t="shared" si="187"/>
        <v>97.291892257840587</v>
      </c>
      <c r="Q542" s="6">
        <f t="shared" si="184"/>
        <v>0.30360797803427753</v>
      </c>
      <c r="R542" s="10">
        <f t="shared" si="188"/>
        <v>3.0360797803427754E-4</v>
      </c>
      <c r="S542" s="3">
        <f t="shared" si="189"/>
        <v>5.4649436046169961E-3</v>
      </c>
      <c r="T542" s="4">
        <f t="shared" si="190"/>
        <v>5.4649436046169959E-6</v>
      </c>
      <c r="U542" s="3">
        <f t="shared" si="191"/>
        <v>1.9673796976621184E-2</v>
      </c>
      <c r="V542" s="2">
        <v>3.71</v>
      </c>
      <c r="W542" s="2">
        <v>1.36</v>
      </c>
      <c r="X542" s="2">
        <f t="shared" si="192"/>
        <v>13600.000000000002</v>
      </c>
      <c r="Y542" s="5">
        <v>-0.56999999999999995</v>
      </c>
      <c r="Z542" s="5">
        <v>-2.93</v>
      </c>
      <c r="AA542" s="2">
        <f t="shared" si="193"/>
        <v>2.3600000000000003</v>
      </c>
      <c r="AB542" s="3">
        <f t="shared" si="194"/>
        <v>8.3363546511106695E-3</v>
      </c>
    </row>
    <row r="543" spans="1:28" x14ac:dyDescent="0.2">
      <c r="A543" t="s">
        <v>11</v>
      </c>
      <c r="B543">
        <v>1212</v>
      </c>
      <c r="C543">
        <v>8</v>
      </c>
      <c r="D543">
        <v>40</v>
      </c>
      <c r="E543" t="s">
        <v>12</v>
      </c>
      <c r="F543" s="1">
        <v>45166</v>
      </c>
      <c r="G543" t="s">
        <v>13</v>
      </c>
      <c r="H543" s="2">
        <v>13.34</v>
      </c>
      <c r="I543" s="2">
        <v>47.83</v>
      </c>
      <c r="J543" s="2">
        <v>46.08</v>
      </c>
      <c r="K543" s="2">
        <f t="shared" si="183"/>
        <v>320.97999999999996</v>
      </c>
      <c r="L543" s="2">
        <v>8.66</v>
      </c>
      <c r="M543" s="2">
        <v>0.01</v>
      </c>
      <c r="N543" s="6">
        <f t="shared" si="185"/>
        <v>10.144476980293922</v>
      </c>
      <c r="O543" s="6">
        <f t="shared" si="186"/>
        <v>1.4792804371858301</v>
      </c>
      <c r="P543" s="6">
        <f t="shared" si="187"/>
        <v>97.308514242669133</v>
      </c>
      <c r="Q543" s="6">
        <f t="shared" si="184"/>
        <v>0.1525536580069361</v>
      </c>
      <c r="R543" s="10">
        <f t="shared" si="188"/>
        <v>1.5255365800693609E-4</v>
      </c>
      <c r="S543" s="3">
        <f t="shared" si="189"/>
        <v>2.7459658441248494E-3</v>
      </c>
      <c r="T543" s="4">
        <f t="shared" si="190"/>
        <v>2.7459658441248495E-6</v>
      </c>
      <c r="U543" s="3">
        <f t="shared" si="191"/>
        <v>9.8854770388494585E-3</v>
      </c>
      <c r="V543" s="2">
        <v>4.62</v>
      </c>
      <c r="W543" s="2">
        <v>1.66</v>
      </c>
      <c r="X543" s="2">
        <f t="shared" si="192"/>
        <v>16600</v>
      </c>
      <c r="Y543" s="5">
        <v>-0.73</v>
      </c>
      <c r="Z543" s="5">
        <v>-2.4300000000000002</v>
      </c>
      <c r="AA543" s="2">
        <f t="shared" si="193"/>
        <v>1.7000000000000002</v>
      </c>
      <c r="AB543" s="3">
        <f t="shared" si="194"/>
        <v>5.814986493440857E-3</v>
      </c>
    </row>
    <row r="544" spans="1:28" x14ac:dyDescent="0.2">
      <c r="A544" t="s">
        <v>11</v>
      </c>
      <c r="B544">
        <v>1212</v>
      </c>
      <c r="C544">
        <v>10</v>
      </c>
      <c r="D544">
        <v>21</v>
      </c>
      <c r="E544" t="s">
        <v>12</v>
      </c>
      <c r="F544" s="1">
        <v>45166</v>
      </c>
      <c r="G544" t="s">
        <v>13</v>
      </c>
      <c r="H544" s="2">
        <v>13.01</v>
      </c>
      <c r="I544" s="2">
        <v>48.36</v>
      </c>
      <c r="J544" s="2">
        <v>46.59</v>
      </c>
      <c r="K544" s="2">
        <f t="shared" si="183"/>
        <v>321.51</v>
      </c>
      <c r="L544" s="2">
        <v>8.92</v>
      </c>
      <c r="M544" s="2">
        <v>0.01</v>
      </c>
      <c r="N544" s="6">
        <f t="shared" si="185"/>
        <v>10.412292102608573</v>
      </c>
      <c r="O544" s="6">
        <f t="shared" si="186"/>
        <v>1.4818003109347553</v>
      </c>
      <c r="P544" s="6">
        <f t="shared" si="187"/>
        <v>97.315002523000075</v>
      </c>
      <c r="Q544" s="6">
        <f t="shared" si="184"/>
        <v>0.15334656157008011</v>
      </c>
      <c r="R544" s="10">
        <f t="shared" si="188"/>
        <v>1.533465615700801E-4</v>
      </c>
      <c r="S544" s="3">
        <f t="shared" si="189"/>
        <v>2.7602381082614418E-3</v>
      </c>
      <c r="T544" s="4">
        <f t="shared" si="190"/>
        <v>2.7602381082614418E-6</v>
      </c>
      <c r="U544" s="3">
        <f t="shared" si="191"/>
        <v>9.9368571897411901E-3</v>
      </c>
      <c r="V544" s="2">
        <v>4.78</v>
      </c>
      <c r="W544" s="2">
        <v>1.38</v>
      </c>
      <c r="X544" s="2">
        <f t="shared" si="192"/>
        <v>13799.999999999998</v>
      </c>
      <c r="Y544" s="5">
        <v>-0.83</v>
      </c>
      <c r="Z544" s="5">
        <v>-2.0699999999999998</v>
      </c>
      <c r="AA544" s="2">
        <f t="shared" si="193"/>
        <v>1.2399999999999998</v>
      </c>
      <c r="AB544" s="3">
        <f t="shared" si="194"/>
        <v>8.0135945078557997E-3</v>
      </c>
    </row>
    <row r="545" spans="1:28" x14ac:dyDescent="0.2">
      <c r="A545" t="s">
        <v>11</v>
      </c>
      <c r="B545">
        <v>1212</v>
      </c>
      <c r="C545">
        <v>10</v>
      </c>
      <c r="D545">
        <v>41</v>
      </c>
      <c r="E545" t="s">
        <v>12</v>
      </c>
      <c r="F545" s="1">
        <v>45166</v>
      </c>
      <c r="G545" t="s">
        <v>13</v>
      </c>
      <c r="H545" s="2">
        <v>13.4</v>
      </c>
      <c r="I545" s="2">
        <v>46.54</v>
      </c>
      <c r="J545" s="2">
        <v>45.72</v>
      </c>
      <c r="K545" s="2">
        <f t="shared" si="183"/>
        <v>319.69</v>
      </c>
      <c r="L545" s="2">
        <v>8.5500000000000007</v>
      </c>
      <c r="M545" s="2">
        <v>0.01</v>
      </c>
      <c r="N545" s="6">
        <f t="shared" si="185"/>
        <v>9.9590330433819112</v>
      </c>
      <c r="O545" s="6">
        <f t="shared" si="186"/>
        <v>1.3916929844949821</v>
      </c>
      <c r="P545" s="6">
        <f t="shared" si="187"/>
        <v>97.292633933187986</v>
      </c>
      <c r="Q545" s="6">
        <f t="shared" si="184"/>
        <v>0.14482422629749239</v>
      </c>
      <c r="R545" s="10">
        <f t="shared" si="188"/>
        <v>1.448242262974924E-4</v>
      </c>
      <c r="S545" s="3">
        <f t="shared" si="189"/>
        <v>2.6068360733548634E-3</v>
      </c>
      <c r="T545" s="4">
        <f t="shared" si="190"/>
        <v>2.6068360733548632E-6</v>
      </c>
      <c r="U545" s="3">
        <f t="shared" si="191"/>
        <v>9.3846098640775078E-3</v>
      </c>
      <c r="V545" s="2">
        <v>15.53</v>
      </c>
      <c r="W545" s="2">
        <v>3.35</v>
      </c>
      <c r="X545" s="2">
        <f t="shared" si="192"/>
        <v>33500</v>
      </c>
      <c r="Y545" s="5">
        <v>-0.97</v>
      </c>
      <c r="Z545" s="5">
        <v>-2.4</v>
      </c>
      <c r="AA545" s="2">
        <f t="shared" si="193"/>
        <v>1.43</v>
      </c>
      <c r="AB545" s="3">
        <f t="shared" si="194"/>
        <v>6.562664240613642E-3</v>
      </c>
    </row>
    <row r="546" spans="1:28" x14ac:dyDescent="0.2">
      <c r="A546" t="s">
        <v>11</v>
      </c>
      <c r="B546">
        <v>1212</v>
      </c>
      <c r="C546">
        <v>10</v>
      </c>
      <c r="D546">
        <v>42</v>
      </c>
      <c r="E546" t="s">
        <v>12</v>
      </c>
      <c r="F546" s="1">
        <v>45166</v>
      </c>
      <c r="G546" t="s">
        <v>13</v>
      </c>
      <c r="H546" s="2">
        <v>13.75</v>
      </c>
      <c r="I546" s="2">
        <v>46.74</v>
      </c>
      <c r="J546" s="2">
        <v>43.44</v>
      </c>
      <c r="K546" s="2">
        <f t="shared" si="183"/>
        <v>319.89</v>
      </c>
      <c r="L546" s="2">
        <v>7.4</v>
      </c>
      <c r="M546" s="2">
        <v>0.06</v>
      </c>
      <c r="N546" s="6">
        <f t="shared" si="185"/>
        <v>8.8511637839218213</v>
      </c>
      <c r="O546" s="6">
        <f t="shared" si="186"/>
        <v>1.4426794376508456</v>
      </c>
      <c r="P546" s="6">
        <f t="shared" si="187"/>
        <v>97.295104215726667</v>
      </c>
      <c r="Q546" s="6">
        <f t="shared" si="184"/>
        <v>0.89490450457049198</v>
      </c>
      <c r="R546" s="10">
        <f t="shared" si="188"/>
        <v>8.9490450457049202E-4</v>
      </c>
      <c r="S546" s="3">
        <f t="shared" si="189"/>
        <v>1.6108281082268857E-2</v>
      </c>
      <c r="T546" s="4">
        <f t="shared" si="190"/>
        <v>1.6108281082268859E-5</v>
      </c>
      <c r="U546" s="3">
        <f t="shared" si="191"/>
        <v>5.7989811896167892E-2</v>
      </c>
      <c r="V546" s="2">
        <v>14.52</v>
      </c>
      <c r="W546" s="2">
        <v>3.06</v>
      </c>
      <c r="X546" s="2">
        <f t="shared" si="192"/>
        <v>30600</v>
      </c>
      <c r="Y546" s="5">
        <v>-1.54</v>
      </c>
      <c r="Z546" s="5">
        <v>-1.86</v>
      </c>
      <c r="AA546" s="2">
        <f t="shared" si="193"/>
        <v>0.32000000000000006</v>
      </c>
      <c r="AB546" s="3">
        <f t="shared" si="194"/>
        <v>0.18121816217552464</v>
      </c>
    </row>
    <row r="547" spans="1:28" x14ac:dyDescent="0.2">
      <c r="F547" s="1"/>
      <c r="N547" s="6"/>
      <c r="O547" s="6"/>
      <c r="P547" s="6"/>
      <c r="Q547" s="6"/>
      <c r="R547" s="10"/>
      <c r="S547" s="3"/>
      <c r="T547" s="4"/>
      <c r="U547" s="3"/>
      <c r="Z547" s="5"/>
      <c r="AB547" s="3"/>
    </row>
    <row r="548" spans="1:28" x14ac:dyDescent="0.2">
      <c r="A548" t="s">
        <v>6</v>
      </c>
      <c r="B548">
        <v>72</v>
      </c>
      <c r="C548">
        <v>156</v>
      </c>
      <c r="D548">
        <v>43</v>
      </c>
      <c r="E548" t="s">
        <v>7</v>
      </c>
      <c r="F548" s="1">
        <v>45175</v>
      </c>
      <c r="G548" t="s">
        <v>14</v>
      </c>
      <c r="H548" s="2">
        <v>25.38</v>
      </c>
      <c r="I548" s="2">
        <v>30.53</v>
      </c>
      <c r="J548" s="2">
        <v>27.15</v>
      </c>
      <c r="K548" s="2">
        <f t="shared" si="183"/>
        <v>303.67999999999995</v>
      </c>
      <c r="L548" s="2">
        <v>2.4900000000000002</v>
      </c>
      <c r="M548" s="2">
        <v>0.18</v>
      </c>
      <c r="N548" s="6">
        <f t="shared" ref="N548:N579" si="195">0.611*EXP((17.502*J548)/(240.97+J548))</f>
        <v>3.5952201204296603</v>
      </c>
      <c r="O548" s="6">
        <f t="shared" ref="O548:O579" si="196">(0.611*EXP((17.502*I548)/(240.97+I548)))*(H548/100)</f>
        <v>1.1098463421786082</v>
      </c>
      <c r="P548" s="6">
        <f t="shared" ref="P548:P579" si="197">101.325*EXP(-380/(29.27*K548))</f>
        <v>97.084557877987564</v>
      </c>
      <c r="Q548" s="6">
        <f t="shared" si="184"/>
        <v>2.0491376386279585</v>
      </c>
      <c r="R548" s="10">
        <f t="shared" ref="R548:R579" si="198">Q548/1000</f>
        <v>2.0491376386279586E-3</v>
      </c>
      <c r="S548" s="3">
        <f t="shared" ref="S548:S579" si="199">R548*18</f>
        <v>3.6884477495303256E-2</v>
      </c>
      <c r="T548" s="4">
        <f t="shared" ref="T548:T579" si="200">S548/1000</f>
        <v>3.6884477495303254E-5</v>
      </c>
      <c r="U548" s="3">
        <f t="shared" ref="U548:U579" si="201">T548*3600</f>
        <v>0.13278411898309173</v>
      </c>
      <c r="V548" s="2">
        <v>17.37</v>
      </c>
      <c r="W548" s="2">
        <v>2.1</v>
      </c>
      <c r="X548" s="2">
        <f t="shared" ref="X548:X579" si="202">W548*10000</f>
        <v>21000</v>
      </c>
      <c r="Y548" s="5">
        <v>-0.69</v>
      </c>
      <c r="Z548" s="5">
        <v>-2.5099999999999998</v>
      </c>
      <c r="AA548" s="2">
        <f t="shared" ref="AA548:AA579" si="203">Y548-Z548</f>
        <v>1.8199999999999998</v>
      </c>
      <c r="AB548" s="3">
        <f t="shared" ref="AB548:AB579" si="204">U548/AA548</f>
        <v>7.2958307133566894E-2</v>
      </c>
    </row>
    <row r="549" spans="1:28" x14ac:dyDescent="0.2">
      <c r="A549" t="s">
        <v>6</v>
      </c>
      <c r="B549">
        <v>72</v>
      </c>
      <c r="C549">
        <v>156</v>
      </c>
      <c r="D549">
        <v>44</v>
      </c>
      <c r="E549" t="s">
        <v>7</v>
      </c>
      <c r="F549" s="1">
        <v>45176</v>
      </c>
      <c r="G549" t="s">
        <v>14</v>
      </c>
      <c r="H549" s="2">
        <v>17.64</v>
      </c>
      <c r="I549" s="2">
        <v>35.61</v>
      </c>
      <c r="J549" s="2">
        <v>33.21</v>
      </c>
      <c r="K549" s="2">
        <f t="shared" si="183"/>
        <v>308.76</v>
      </c>
      <c r="L549" s="2">
        <v>4.08</v>
      </c>
      <c r="M549" s="2">
        <v>0.11</v>
      </c>
      <c r="N549" s="6">
        <f t="shared" si="195"/>
        <v>5.0899503643088959</v>
      </c>
      <c r="O549" s="6">
        <f t="shared" si="196"/>
        <v>1.0260778394700423</v>
      </c>
      <c r="P549" s="6">
        <f t="shared" si="197"/>
        <v>97.152868818641636</v>
      </c>
      <c r="Q549" s="6">
        <f t="shared" si="184"/>
        <v>1.143502414543849</v>
      </c>
      <c r="R549" s="10">
        <f t="shared" si="198"/>
        <v>1.1435024145438491E-3</v>
      </c>
      <c r="S549" s="3">
        <f t="shared" si="199"/>
        <v>2.0583043461789283E-2</v>
      </c>
      <c r="T549" s="4">
        <f t="shared" si="200"/>
        <v>2.0583043461789282E-5</v>
      </c>
      <c r="U549" s="3">
        <f t="shared" si="201"/>
        <v>7.4098956462441412E-2</v>
      </c>
      <c r="V549" s="2">
        <v>12.19</v>
      </c>
      <c r="W549" s="2">
        <v>2.64</v>
      </c>
      <c r="X549" s="2">
        <f t="shared" si="202"/>
        <v>26400</v>
      </c>
      <c r="Y549" s="5">
        <v>-0.28999999999999998</v>
      </c>
      <c r="Z549" s="5">
        <v>-2.0099999999999998</v>
      </c>
      <c r="AA549" s="2">
        <f t="shared" si="203"/>
        <v>1.7199999999999998</v>
      </c>
      <c r="AB549" s="3">
        <f t="shared" si="204"/>
        <v>4.3080788640954312E-2</v>
      </c>
    </row>
    <row r="550" spans="1:28" x14ac:dyDescent="0.2">
      <c r="A550" t="s">
        <v>6</v>
      </c>
      <c r="B550">
        <v>72</v>
      </c>
      <c r="C550">
        <v>156</v>
      </c>
      <c r="D550">
        <v>45</v>
      </c>
      <c r="E550" t="s">
        <v>7</v>
      </c>
      <c r="F550" s="1">
        <v>45175</v>
      </c>
      <c r="G550" t="s">
        <v>14</v>
      </c>
      <c r="H550" s="2">
        <v>22.27</v>
      </c>
      <c r="I550" s="2">
        <v>31.61</v>
      </c>
      <c r="J550" s="2">
        <v>30.21</v>
      </c>
      <c r="K550" s="2">
        <f t="shared" si="183"/>
        <v>304.76</v>
      </c>
      <c r="L550" s="2">
        <v>3.26</v>
      </c>
      <c r="M550" s="2">
        <v>0.09</v>
      </c>
      <c r="N550" s="6">
        <f t="shared" si="195"/>
        <v>4.2934896830133162</v>
      </c>
      <c r="O550" s="6">
        <f t="shared" si="196"/>
        <v>1.0356695429710863</v>
      </c>
      <c r="P550" s="6">
        <f t="shared" si="197"/>
        <v>97.099267229593039</v>
      </c>
      <c r="Q550" s="6">
        <f t="shared" si="184"/>
        <v>0.95792763555326277</v>
      </c>
      <c r="R550" s="10">
        <f t="shared" si="198"/>
        <v>9.5792763555326281E-4</v>
      </c>
      <c r="S550" s="3">
        <f t="shared" si="199"/>
        <v>1.724269743995873E-2</v>
      </c>
      <c r="T550" s="4">
        <f t="shared" si="200"/>
        <v>1.724269743995873E-5</v>
      </c>
      <c r="U550" s="3">
        <f t="shared" si="201"/>
        <v>6.2073710783851425E-2</v>
      </c>
      <c r="V550" s="2">
        <v>9.84</v>
      </c>
      <c r="W550" s="2">
        <v>1.55</v>
      </c>
      <c r="X550" s="2">
        <f t="shared" si="202"/>
        <v>15500</v>
      </c>
      <c r="Y550" s="5">
        <v>-0.34</v>
      </c>
      <c r="Z550" s="5">
        <v>-1.78</v>
      </c>
      <c r="AA550" s="2">
        <f t="shared" si="203"/>
        <v>1.44</v>
      </c>
      <c r="AB550" s="3">
        <f t="shared" si="204"/>
        <v>4.3106743599896823E-2</v>
      </c>
    </row>
    <row r="551" spans="1:28" x14ac:dyDescent="0.2">
      <c r="A551" t="s">
        <v>6</v>
      </c>
      <c r="B551">
        <v>72</v>
      </c>
      <c r="C551">
        <v>149</v>
      </c>
      <c r="D551">
        <v>46</v>
      </c>
      <c r="E551" t="s">
        <v>7</v>
      </c>
      <c r="F551" s="1">
        <v>45175</v>
      </c>
      <c r="G551" t="s">
        <v>14</v>
      </c>
      <c r="H551" s="2">
        <v>23.5</v>
      </c>
      <c r="I551" s="2">
        <v>30.84</v>
      </c>
      <c r="J551" s="2">
        <v>28.32</v>
      </c>
      <c r="K551" s="2">
        <f t="shared" si="183"/>
        <v>303.98999999999995</v>
      </c>
      <c r="L551" s="2">
        <v>2.81</v>
      </c>
      <c r="M551" s="2">
        <v>0.12</v>
      </c>
      <c r="N551" s="6">
        <f t="shared" si="195"/>
        <v>3.8495148375363142</v>
      </c>
      <c r="O551" s="6">
        <f t="shared" si="196"/>
        <v>1.0460038013202013</v>
      </c>
      <c r="P551" s="6">
        <f t="shared" si="197"/>
        <v>97.088790472883346</v>
      </c>
      <c r="Q551" s="6">
        <f t="shared" si="184"/>
        <v>1.2848216554844996</v>
      </c>
      <c r="R551" s="10">
        <f t="shared" si="198"/>
        <v>1.2848216554844996E-3</v>
      </c>
      <c r="S551" s="3">
        <f t="shared" si="199"/>
        <v>2.3126789798720994E-2</v>
      </c>
      <c r="T551" s="4">
        <f t="shared" si="200"/>
        <v>2.3126789798720993E-5</v>
      </c>
      <c r="U551" s="3">
        <f t="shared" si="201"/>
        <v>8.3256443275395581E-2</v>
      </c>
      <c r="V551" s="2">
        <v>11.24</v>
      </c>
      <c r="W551" s="2">
        <v>1.25</v>
      </c>
      <c r="X551" s="2">
        <f t="shared" si="202"/>
        <v>12500</v>
      </c>
      <c r="Y551" s="5">
        <v>-0.44</v>
      </c>
      <c r="Z551" s="5">
        <v>-1.92</v>
      </c>
      <c r="AA551" s="2">
        <f t="shared" si="203"/>
        <v>1.48</v>
      </c>
      <c r="AB551" s="3">
        <f t="shared" si="204"/>
        <v>5.6254353564456475E-2</v>
      </c>
    </row>
    <row r="552" spans="1:28" x14ac:dyDescent="0.2">
      <c r="A552" t="s">
        <v>6</v>
      </c>
      <c r="B552">
        <v>72</v>
      </c>
      <c r="C552">
        <v>149</v>
      </c>
      <c r="D552">
        <v>47</v>
      </c>
      <c r="E552" t="s">
        <v>7</v>
      </c>
      <c r="F552" s="1">
        <v>45176</v>
      </c>
      <c r="G552" t="s">
        <v>14</v>
      </c>
      <c r="H552" s="2">
        <v>22.63</v>
      </c>
      <c r="I552" s="2">
        <v>31.13</v>
      </c>
      <c r="J552" s="2">
        <v>29.81</v>
      </c>
      <c r="K552" s="2">
        <f t="shared" si="183"/>
        <v>304.27999999999997</v>
      </c>
      <c r="L552" s="2">
        <v>3.17</v>
      </c>
      <c r="M552" s="2">
        <v>0.17</v>
      </c>
      <c r="N552" s="6">
        <f t="shared" si="195"/>
        <v>4.1959755319102792</v>
      </c>
      <c r="O552" s="6">
        <f t="shared" si="196"/>
        <v>1.0240751990180275</v>
      </c>
      <c r="P552" s="6">
        <f t="shared" si="197"/>
        <v>97.092742356047836</v>
      </c>
      <c r="Q552" s="6">
        <f t="shared" si="184"/>
        <v>1.7963839128690884</v>
      </c>
      <c r="R552" s="10">
        <f t="shared" si="198"/>
        <v>1.7963839128690884E-3</v>
      </c>
      <c r="S552" s="3">
        <f t="shared" si="199"/>
        <v>3.233491043164359E-2</v>
      </c>
      <c r="T552" s="4">
        <f t="shared" si="200"/>
        <v>3.2334910431643587E-5</v>
      </c>
      <c r="U552" s="3">
        <f t="shared" si="201"/>
        <v>0.11640567755391691</v>
      </c>
      <c r="V552" s="2">
        <v>20.43</v>
      </c>
      <c r="W552" s="2">
        <v>2.5299999999999998</v>
      </c>
      <c r="X552" s="2">
        <f t="shared" si="202"/>
        <v>25299.999999999996</v>
      </c>
      <c r="Y552" s="5">
        <v>-0.28000000000000003</v>
      </c>
      <c r="Z552" s="5">
        <v>-2.39</v>
      </c>
      <c r="AA552" s="2">
        <f t="shared" si="203"/>
        <v>2.1100000000000003</v>
      </c>
      <c r="AB552" s="3">
        <f t="shared" si="204"/>
        <v>5.5168567561098052E-2</v>
      </c>
    </row>
    <row r="553" spans="1:28" x14ac:dyDescent="0.2">
      <c r="A553" t="s">
        <v>6</v>
      </c>
      <c r="B553">
        <v>72</v>
      </c>
      <c r="C553">
        <v>149</v>
      </c>
      <c r="D553">
        <v>48</v>
      </c>
      <c r="E553" t="s">
        <v>7</v>
      </c>
      <c r="F553" s="1">
        <v>45176</v>
      </c>
      <c r="G553" t="s">
        <v>14</v>
      </c>
      <c r="H553" s="2">
        <v>19.47</v>
      </c>
      <c r="I553" s="2">
        <v>33.090000000000003</v>
      </c>
      <c r="J553" s="2">
        <v>31.78</v>
      </c>
      <c r="K553" s="2">
        <f t="shared" si="183"/>
        <v>306.24</v>
      </c>
      <c r="L553" s="2">
        <v>3.73</v>
      </c>
      <c r="M553" s="2">
        <v>0.1</v>
      </c>
      <c r="N553" s="6">
        <f t="shared" si="195"/>
        <v>4.695579152453595</v>
      </c>
      <c r="O553" s="6">
        <f t="shared" si="196"/>
        <v>0.98436109044751252</v>
      </c>
      <c r="P553" s="6">
        <f t="shared" si="197"/>
        <v>97.119259557527286</v>
      </c>
      <c r="Q553" s="6">
        <f t="shared" si="184"/>
        <v>0.99422005156623661</v>
      </c>
      <c r="R553" s="10">
        <f t="shared" si="198"/>
        <v>9.9422005156623661E-4</v>
      </c>
      <c r="S553" s="3">
        <f t="shared" si="199"/>
        <v>1.7895960928192258E-2</v>
      </c>
      <c r="T553" s="4">
        <f t="shared" si="200"/>
        <v>1.789596092819226E-5</v>
      </c>
      <c r="U553" s="3">
        <f t="shared" si="201"/>
        <v>6.4425459341492131E-2</v>
      </c>
      <c r="V553" s="2">
        <v>21.78</v>
      </c>
      <c r="W553" s="2">
        <v>2.31</v>
      </c>
      <c r="X553" s="2">
        <f t="shared" si="202"/>
        <v>23100</v>
      </c>
      <c r="Y553" s="5">
        <v>-0.32</v>
      </c>
      <c r="Z553" s="5">
        <v>-2.5499999999999998</v>
      </c>
      <c r="AA553" s="2">
        <f t="shared" si="203"/>
        <v>2.23</v>
      </c>
      <c r="AB553" s="3">
        <f t="shared" si="204"/>
        <v>2.8890340511879879E-2</v>
      </c>
    </row>
    <row r="554" spans="1:28" x14ac:dyDescent="0.2">
      <c r="A554" t="s">
        <v>6</v>
      </c>
      <c r="B554">
        <v>72</v>
      </c>
      <c r="C554">
        <v>152</v>
      </c>
      <c r="D554">
        <v>49</v>
      </c>
      <c r="E554" t="s">
        <v>7</v>
      </c>
      <c r="F554" s="1">
        <v>45175</v>
      </c>
      <c r="G554" t="s">
        <v>14</v>
      </c>
      <c r="H554" s="2">
        <v>25.42</v>
      </c>
      <c r="I554" s="2">
        <v>29.19</v>
      </c>
      <c r="J554" s="2">
        <v>24.52</v>
      </c>
      <c r="K554" s="2">
        <f t="shared" si="183"/>
        <v>302.33999999999997</v>
      </c>
      <c r="L554" s="2">
        <v>2.0499999999999998</v>
      </c>
      <c r="M554" s="2">
        <v>0.35</v>
      </c>
      <c r="N554" s="6">
        <f t="shared" si="195"/>
        <v>3.0764708991545224</v>
      </c>
      <c r="O554" s="6">
        <f t="shared" si="196"/>
        <v>1.0291650169315527</v>
      </c>
      <c r="P554" s="6">
        <f t="shared" si="197"/>
        <v>97.066164441089626</v>
      </c>
      <c r="Q554" s="6">
        <f t="shared" si="184"/>
        <v>3.7012363347490065</v>
      </c>
      <c r="R554" s="10">
        <f t="shared" si="198"/>
        <v>3.7012363347490064E-3</v>
      </c>
      <c r="S554" s="3">
        <f t="shared" si="199"/>
        <v>6.6622254025482108E-2</v>
      </c>
      <c r="T554" s="4">
        <f t="shared" si="200"/>
        <v>6.6622254025482114E-5</v>
      </c>
      <c r="U554" s="3">
        <f t="shared" si="201"/>
        <v>0.23984011449173562</v>
      </c>
      <c r="V554" s="2">
        <v>27.89</v>
      </c>
      <c r="W554" s="2">
        <v>2.35</v>
      </c>
      <c r="X554" s="2">
        <f t="shared" si="202"/>
        <v>23500</v>
      </c>
      <c r="Y554" s="5">
        <v>-0.62</v>
      </c>
      <c r="Z554" s="5">
        <v>-2.54</v>
      </c>
      <c r="AA554" s="2">
        <f t="shared" si="203"/>
        <v>1.92</v>
      </c>
      <c r="AB554" s="3">
        <f t="shared" si="204"/>
        <v>0.12491672629777897</v>
      </c>
    </row>
    <row r="555" spans="1:28" x14ac:dyDescent="0.2">
      <c r="A555" t="s">
        <v>6</v>
      </c>
      <c r="B555">
        <v>72</v>
      </c>
      <c r="C555">
        <v>152</v>
      </c>
      <c r="D555">
        <v>50</v>
      </c>
      <c r="E555" t="s">
        <v>7</v>
      </c>
      <c r="F555" s="1">
        <v>45176</v>
      </c>
      <c r="G555" t="s">
        <v>14</v>
      </c>
      <c r="H555" s="2">
        <v>22.93</v>
      </c>
      <c r="I555" s="2">
        <v>31.69</v>
      </c>
      <c r="J555" s="2">
        <v>28.84</v>
      </c>
      <c r="K555" s="2">
        <f t="shared" si="183"/>
        <v>304.83999999999997</v>
      </c>
      <c r="L555" s="2">
        <v>2.92</v>
      </c>
      <c r="M555" s="2">
        <v>0.25</v>
      </c>
      <c r="N555" s="6">
        <f t="shared" si="195"/>
        <v>3.9674796748219232</v>
      </c>
      <c r="O555" s="6">
        <f t="shared" si="196"/>
        <v>1.0712148887616717</v>
      </c>
      <c r="P555" s="6">
        <f t="shared" si="197"/>
        <v>97.100352753327101</v>
      </c>
      <c r="Q555" s="6">
        <f t="shared" si="184"/>
        <v>2.6968997668909909</v>
      </c>
      <c r="R555" s="10">
        <f t="shared" si="198"/>
        <v>2.6968997668909908E-3</v>
      </c>
      <c r="S555" s="3">
        <f t="shared" si="199"/>
        <v>4.8544195804037835E-2</v>
      </c>
      <c r="T555" s="4">
        <f t="shared" si="200"/>
        <v>4.8544195804037834E-5</v>
      </c>
      <c r="U555" s="3">
        <f t="shared" si="201"/>
        <v>0.17475910489453619</v>
      </c>
      <c r="V555" s="2">
        <v>25.57</v>
      </c>
      <c r="W555" s="2">
        <v>2.29</v>
      </c>
      <c r="X555" s="2">
        <f t="shared" si="202"/>
        <v>22900</v>
      </c>
      <c r="Y555" s="5">
        <v>-0.34</v>
      </c>
      <c r="Z555" s="5">
        <v>-2.48</v>
      </c>
      <c r="AA555" s="2">
        <f t="shared" si="203"/>
        <v>2.14</v>
      </c>
      <c r="AB555" s="3">
        <f t="shared" si="204"/>
        <v>8.1663133128287935E-2</v>
      </c>
    </row>
    <row r="556" spans="1:28" x14ac:dyDescent="0.2">
      <c r="A556" t="s">
        <v>6</v>
      </c>
      <c r="B556">
        <v>72</v>
      </c>
      <c r="C556">
        <v>152</v>
      </c>
      <c r="D556">
        <v>51</v>
      </c>
      <c r="E556" t="s">
        <v>7</v>
      </c>
      <c r="F556" s="1">
        <v>45176</v>
      </c>
      <c r="G556" t="s">
        <v>14</v>
      </c>
      <c r="H556" s="2">
        <v>18.45</v>
      </c>
      <c r="I556" s="2">
        <v>35.78</v>
      </c>
      <c r="J556" s="2">
        <v>30.67</v>
      </c>
      <c r="K556" s="2">
        <f t="shared" si="183"/>
        <v>308.92999999999995</v>
      </c>
      <c r="L556" s="2">
        <v>3.34</v>
      </c>
      <c r="M556" s="2">
        <v>0.38</v>
      </c>
      <c r="N556" s="6">
        <f t="shared" si="195"/>
        <v>4.4080670852134469</v>
      </c>
      <c r="O556" s="6">
        <f t="shared" si="196"/>
        <v>1.0832932740464327</v>
      </c>
      <c r="P556" s="6">
        <f t="shared" si="197"/>
        <v>97.155116782541754</v>
      </c>
      <c r="Q556" s="6">
        <f t="shared" si="184"/>
        <v>4.1774999178843224</v>
      </c>
      <c r="R556" s="10">
        <f t="shared" si="198"/>
        <v>4.1774999178843227E-3</v>
      </c>
      <c r="S556" s="3">
        <f t="shared" si="199"/>
        <v>7.5194998521917814E-2</v>
      </c>
      <c r="T556" s="4">
        <f t="shared" si="200"/>
        <v>7.5194998521917818E-5</v>
      </c>
      <c r="U556" s="3">
        <f t="shared" si="201"/>
        <v>0.27070199467890416</v>
      </c>
      <c r="V556" s="2">
        <v>18.57</v>
      </c>
      <c r="W556" s="2">
        <v>1.84</v>
      </c>
      <c r="X556" s="2">
        <f t="shared" si="202"/>
        <v>18400</v>
      </c>
      <c r="Y556" s="5">
        <v>-0.4</v>
      </c>
      <c r="Z556" s="5">
        <v>-2.52</v>
      </c>
      <c r="AA556" s="2">
        <f t="shared" si="203"/>
        <v>2.12</v>
      </c>
      <c r="AB556" s="3">
        <f t="shared" si="204"/>
        <v>0.12768962013155855</v>
      </c>
    </row>
    <row r="557" spans="1:28" x14ac:dyDescent="0.2">
      <c r="A557" t="s">
        <v>6</v>
      </c>
      <c r="B557">
        <v>72</v>
      </c>
      <c r="C557">
        <v>155</v>
      </c>
      <c r="D557">
        <v>58</v>
      </c>
      <c r="E557" t="s">
        <v>7</v>
      </c>
      <c r="F557" s="1">
        <v>45176</v>
      </c>
      <c r="G557" t="s">
        <v>14</v>
      </c>
      <c r="H557" s="2">
        <v>22.52</v>
      </c>
      <c r="I557" s="2">
        <v>31.28</v>
      </c>
      <c r="J557" s="2">
        <v>29.16</v>
      </c>
      <c r="K557" s="2">
        <f t="shared" si="183"/>
        <v>304.42999999999995</v>
      </c>
      <c r="L557" s="2">
        <v>3.04</v>
      </c>
      <c r="M557" s="2">
        <v>0.16</v>
      </c>
      <c r="N557" s="6">
        <f t="shared" si="195"/>
        <v>4.0416297503382621</v>
      </c>
      <c r="O557" s="6">
        <f t="shared" si="196"/>
        <v>1.0278374793921088</v>
      </c>
      <c r="P557" s="6">
        <f t="shared" si="197"/>
        <v>97.09478354218821</v>
      </c>
      <c r="Q557" s="6">
        <f t="shared" si="184"/>
        <v>1.6505599395511064</v>
      </c>
      <c r="R557" s="10">
        <f t="shared" si="198"/>
        <v>1.6505599395511064E-3</v>
      </c>
      <c r="S557" s="3">
        <f t="shared" si="199"/>
        <v>2.9710078911919915E-2</v>
      </c>
      <c r="T557" s="4">
        <f t="shared" si="200"/>
        <v>2.9710078911919915E-5</v>
      </c>
      <c r="U557" s="3">
        <f t="shared" si="201"/>
        <v>0.10695628408291169</v>
      </c>
      <c r="V557" s="2">
        <v>4.1100000000000003</v>
      </c>
      <c r="W557" s="2">
        <v>0.5</v>
      </c>
      <c r="X557" s="2">
        <f t="shared" si="202"/>
        <v>5000</v>
      </c>
      <c r="Y557" s="5">
        <v>-0.4</v>
      </c>
      <c r="Z557" s="5">
        <v>-2.41</v>
      </c>
      <c r="AA557" s="2">
        <f t="shared" si="203"/>
        <v>2.0100000000000002</v>
      </c>
      <c r="AB557" s="3">
        <f t="shared" si="204"/>
        <v>5.3212081633289394E-2</v>
      </c>
    </row>
    <row r="558" spans="1:28" x14ac:dyDescent="0.2">
      <c r="A558" t="s">
        <v>6</v>
      </c>
      <c r="B558">
        <v>72</v>
      </c>
      <c r="C558">
        <v>155</v>
      </c>
      <c r="D558">
        <v>59</v>
      </c>
      <c r="E558" t="s">
        <v>7</v>
      </c>
      <c r="F558" s="1">
        <v>45175</v>
      </c>
      <c r="G558" t="s">
        <v>14</v>
      </c>
      <c r="H558" s="2">
        <v>25.53</v>
      </c>
      <c r="I558" s="2">
        <v>29.51</v>
      </c>
      <c r="J558" s="2">
        <v>28.15</v>
      </c>
      <c r="K558" s="2">
        <f t="shared" si="183"/>
        <v>302.65999999999997</v>
      </c>
      <c r="L558" s="2">
        <v>2.76</v>
      </c>
      <c r="M558" s="2">
        <v>0.09</v>
      </c>
      <c r="N558" s="6">
        <f t="shared" si="195"/>
        <v>3.8116188801916557</v>
      </c>
      <c r="O558" s="6">
        <f t="shared" si="196"/>
        <v>1.0528858475571459</v>
      </c>
      <c r="P558" s="6">
        <f t="shared" si="197"/>
        <v>97.070571389266689</v>
      </c>
      <c r="Q558" s="6">
        <f t="shared" si="184"/>
        <v>0.97501949213532935</v>
      </c>
      <c r="R558" s="10">
        <f t="shared" si="198"/>
        <v>9.7501949213532938E-4</v>
      </c>
      <c r="S558" s="3">
        <f t="shared" si="199"/>
        <v>1.7550350858435929E-2</v>
      </c>
      <c r="T558" s="4">
        <f t="shared" si="200"/>
        <v>1.7550350858435929E-5</v>
      </c>
      <c r="U558" s="3">
        <f t="shared" si="201"/>
        <v>6.3181263090369338E-2</v>
      </c>
      <c r="V558" s="2">
        <v>22.47</v>
      </c>
      <c r="W558" s="2">
        <v>2.37</v>
      </c>
      <c r="X558" s="2">
        <f t="shared" si="202"/>
        <v>23700</v>
      </c>
      <c r="Y558" s="5">
        <v>-0.53</v>
      </c>
      <c r="Z558" s="5">
        <v>-2.2200000000000002</v>
      </c>
      <c r="AA558" s="2">
        <f t="shared" si="203"/>
        <v>1.6900000000000002</v>
      </c>
      <c r="AB558" s="3">
        <f t="shared" si="204"/>
        <v>3.7385362775366471E-2</v>
      </c>
    </row>
    <row r="559" spans="1:28" x14ac:dyDescent="0.2">
      <c r="A559" t="s">
        <v>6</v>
      </c>
      <c r="B559">
        <v>72</v>
      </c>
      <c r="C559">
        <v>155</v>
      </c>
      <c r="D559">
        <v>60</v>
      </c>
      <c r="E559" t="s">
        <v>7</v>
      </c>
      <c r="F559" s="1">
        <v>45176</v>
      </c>
      <c r="G559" t="s">
        <v>14</v>
      </c>
      <c r="H559" s="2">
        <v>22.9</v>
      </c>
      <c r="I559" s="2">
        <v>30.89</v>
      </c>
      <c r="J559" s="2">
        <v>30.12</v>
      </c>
      <c r="K559" s="2">
        <f t="shared" si="183"/>
        <v>304.03999999999996</v>
      </c>
      <c r="L559" s="2">
        <v>3.25</v>
      </c>
      <c r="M559" s="2">
        <v>0.05</v>
      </c>
      <c r="N559" s="6">
        <f t="shared" si="195"/>
        <v>4.2713785123759171</v>
      </c>
      <c r="O559" s="6">
        <f t="shared" si="196"/>
        <v>1.0222102551477392</v>
      </c>
      <c r="P559" s="6">
        <f t="shared" si="197"/>
        <v>97.089472358411015</v>
      </c>
      <c r="Q559" s="6">
        <f t="shared" si="184"/>
        <v>0.52599859056059317</v>
      </c>
      <c r="R559" s="10">
        <f t="shared" si="198"/>
        <v>5.2599859056059312E-4</v>
      </c>
      <c r="S559" s="3">
        <f t="shared" si="199"/>
        <v>9.4679746300906763E-3</v>
      </c>
      <c r="T559" s="4">
        <f t="shared" si="200"/>
        <v>9.467974630090676E-6</v>
      </c>
      <c r="U559" s="3">
        <f t="shared" si="201"/>
        <v>3.4084708668326434E-2</v>
      </c>
      <c r="V559" s="2">
        <v>10.28</v>
      </c>
      <c r="W559" s="2">
        <v>1.1299999999999999</v>
      </c>
      <c r="X559" s="2">
        <f t="shared" si="202"/>
        <v>11299.999999999998</v>
      </c>
      <c r="Y559" s="5">
        <v>-0.25</v>
      </c>
      <c r="Z559" s="5">
        <v>-2.0299999999999998</v>
      </c>
      <c r="AA559" s="2">
        <f t="shared" si="203"/>
        <v>1.7799999999999998</v>
      </c>
      <c r="AB559" s="3">
        <f t="shared" si="204"/>
        <v>1.9148712735014853E-2</v>
      </c>
    </row>
    <row r="560" spans="1:28" x14ac:dyDescent="0.2">
      <c r="A560" t="s">
        <v>6</v>
      </c>
      <c r="B560">
        <v>72</v>
      </c>
      <c r="C560">
        <v>5</v>
      </c>
      <c r="D560">
        <v>61</v>
      </c>
      <c r="E560" t="s">
        <v>7</v>
      </c>
      <c r="F560" s="1">
        <v>45176</v>
      </c>
      <c r="G560" t="s">
        <v>14</v>
      </c>
      <c r="H560" s="2">
        <v>21.52</v>
      </c>
      <c r="I560" s="2">
        <v>32.86</v>
      </c>
      <c r="J560" s="2">
        <v>31.11</v>
      </c>
      <c r="K560" s="2">
        <f t="shared" si="183"/>
        <v>306.01</v>
      </c>
      <c r="L560" s="2">
        <v>3.45</v>
      </c>
      <c r="M560" s="2">
        <v>7.0000000000000007E-2</v>
      </c>
      <c r="N560" s="6">
        <f t="shared" si="195"/>
        <v>4.5201462122845459</v>
      </c>
      <c r="O560" s="6">
        <f t="shared" si="196"/>
        <v>1.0740320052853967</v>
      </c>
      <c r="P560" s="6">
        <f t="shared" si="197"/>
        <v>97.11616506371324</v>
      </c>
      <c r="Q560" s="6">
        <f t="shared" si="184"/>
        <v>0.77134671463574789</v>
      </c>
      <c r="R560" s="10">
        <f t="shared" si="198"/>
        <v>7.7134671463574794E-4</v>
      </c>
      <c r="S560" s="3">
        <f t="shared" si="199"/>
        <v>1.3884240863443463E-2</v>
      </c>
      <c r="T560" s="4">
        <f t="shared" si="200"/>
        <v>1.3884240863443463E-5</v>
      </c>
      <c r="U560" s="3">
        <f t="shared" si="201"/>
        <v>4.9983267108396463E-2</v>
      </c>
      <c r="V560" s="2">
        <v>20.64</v>
      </c>
      <c r="W560" s="2">
        <v>4.72</v>
      </c>
      <c r="X560" s="2">
        <f t="shared" si="202"/>
        <v>47200</v>
      </c>
      <c r="Y560" s="5">
        <v>-0.24</v>
      </c>
      <c r="Z560" s="5">
        <v>-1.92</v>
      </c>
      <c r="AA560" s="2">
        <f t="shared" si="203"/>
        <v>1.68</v>
      </c>
      <c r="AB560" s="3">
        <f t="shared" si="204"/>
        <v>2.9751944707378849E-2</v>
      </c>
    </row>
    <row r="561" spans="1:28" x14ac:dyDescent="0.2">
      <c r="A561" t="s">
        <v>6</v>
      </c>
      <c r="B561">
        <v>72</v>
      </c>
      <c r="C561">
        <v>5</v>
      </c>
      <c r="D561">
        <v>63</v>
      </c>
      <c r="E561" t="s">
        <v>7</v>
      </c>
      <c r="F561" s="1">
        <v>45175</v>
      </c>
      <c r="G561" t="s">
        <v>14</v>
      </c>
      <c r="H561" s="2">
        <v>26.03</v>
      </c>
      <c r="I561" s="2">
        <v>29.29</v>
      </c>
      <c r="J561" s="2">
        <v>27.11</v>
      </c>
      <c r="K561" s="2">
        <f t="shared" si="183"/>
        <v>302.44</v>
      </c>
      <c r="L561" s="2">
        <v>2.5299999999999998</v>
      </c>
      <c r="M561" s="2">
        <v>0.12</v>
      </c>
      <c r="N561" s="6">
        <f t="shared" si="195"/>
        <v>3.5867919567935842</v>
      </c>
      <c r="O561" s="6">
        <f t="shared" si="196"/>
        <v>1.0599667484320208</v>
      </c>
      <c r="P561" s="6">
        <f t="shared" si="197"/>
        <v>97.067542592671629</v>
      </c>
      <c r="Q561" s="6">
        <f t="shared" si="184"/>
        <v>1.3064617834963546</v>
      </c>
      <c r="R561" s="10">
        <f t="shared" si="198"/>
        <v>1.3064617834963545E-3</v>
      </c>
      <c r="S561" s="3">
        <f t="shared" si="199"/>
        <v>2.3516312102934381E-2</v>
      </c>
      <c r="T561" s="4">
        <f t="shared" si="200"/>
        <v>2.3516312102934381E-5</v>
      </c>
      <c r="U561" s="3">
        <f t="shared" si="201"/>
        <v>8.4658723570563768E-2</v>
      </c>
      <c r="V561" s="2">
        <v>20.28</v>
      </c>
      <c r="W561" s="2">
        <v>3.11</v>
      </c>
      <c r="X561" s="2">
        <f t="shared" si="202"/>
        <v>31100</v>
      </c>
      <c r="Y561" s="5">
        <v>-1.1100000000000001</v>
      </c>
      <c r="Z561" s="5">
        <v>-2.11</v>
      </c>
      <c r="AA561" s="2">
        <f t="shared" si="203"/>
        <v>0.99999999999999978</v>
      </c>
      <c r="AB561" s="3">
        <f t="shared" si="204"/>
        <v>8.4658723570563782E-2</v>
      </c>
    </row>
    <row r="562" spans="1:28" x14ac:dyDescent="0.2">
      <c r="A562" t="s">
        <v>6</v>
      </c>
      <c r="B562">
        <v>72</v>
      </c>
      <c r="C562">
        <v>5</v>
      </c>
      <c r="D562">
        <v>85</v>
      </c>
      <c r="E562" t="s">
        <v>7</v>
      </c>
      <c r="F562" s="1">
        <v>45176</v>
      </c>
      <c r="G562" t="s">
        <v>14</v>
      </c>
      <c r="H562" s="2">
        <v>24.14</v>
      </c>
      <c r="I562" s="2">
        <v>30.46</v>
      </c>
      <c r="J562" s="2">
        <v>29.84</v>
      </c>
      <c r="K562" s="2">
        <f t="shared" si="183"/>
        <v>303.60999999999996</v>
      </c>
      <c r="L562" s="2">
        <v>3.16</v>
      </c>
      <c r="M562" s="2">
        <v>0.08</v>
      </c>
      <c r="N562" s="6">
        <f t="shared" si="195"/>
        <v>4.2032215313857053</v>
      </c>
      <c r="O562" s="6">
        <f t="shared" si="196"/>
        <v>1.0514017099447126</v>
      </c>
      <c r="P562" s="6">
        <f t="shared" si="197"/>
        <v>97.083600960109678</v>
      </c>
      <c r="Q562" s="6">
        <f t="shared" si="184"/>
        <v>0.85964799086045485</v>
      </c>
      <c r="R562" s="10">
        <f t="shared" si="198"/>
        <v>8.5964799086045483E-4</v>
      </c>
      <c r="S562" s="3">
        <f t="shared" si="199"/>
        <v>1.5473663835488188E-2</v>
      </c>
      <c r="T562" s="4">
        <f t="shared" si="200"/>
        <v>1.5473663835488189E-5</v>
      </c>
      <c r="U562" s="3">
        <f t="shared" si="201"/>
        <v>5.5705189807757481E-2</v>
      </c>
      <c r="V562" s="2">
        <v>7.85</v>
      </c>
      <c r="W562" s="2">
        <v>1.36</v>
      </c>
      <c r="X562" s="2">
        <f t="shared" si="202"/>
        <v>13600.000000000002</v>
      </c>
      <c r="Y562" s="5">
        <v>-0.38</v>
      </c>
      <c r="Z562" s="5">
        <v>-1.92</v>
      </c>
      <c r="AA562" s="2">
        <f t="shared" si="203"/>
        <v>1.54</v>
      </c>
      <c r="AB562" s="3">
        <f t="shared" si="204"/>
        <v>3.617220117386849E-2</v>
      </c>
    </row>
    <row r="563" spans="1:28" x14ac:dyDescent="0.2">
      <c r="A563" t="s">
        <v>9</v>
      </c>
      <c r="B563">
        <v>1521</v>
      </c>
      <c r="C563">
        <v>153</v>
      </c>
      <c r="D563">
        <v>69</v>
      </c>
      <c r="E563" t="s">
        <v>7</v>
      </c>
      <c r="F563" s="1">
        <v>45176</v>
      </c>
      <c r="G563" t="s">
        <v>14</v>
      </c>
      <c r="H563" s="2">
        <v>20.93</v>
      </c>
      <c r="I563" s="2">
        <v>33.020000000000003</v>
      </c>
      <c r="J563" s="2">
        <v>31.72</v>
      </c>
      <c r="K563" s="2">
        <f t="shared" si="183"/>
        <v>306.16999999999996</v>
      </c>
      <c r="L563" s="2">
        <v>3.63</v>
      </c>
      <c r="M563" s="2">
        <v>0.15</v>
      </c>
      <c r="N563" s="6">
        <f t="shared" si="195"/>
        <v>4.6796307010474214</v>
      </c>
      <c r="O563" s="6">
        <f t="shared" si="196"/>
        <v>1.0540233869964264</v>
      </c>
      <c r="P563" s="6">
        <f t="shared" si="197"/>
        <v>97.118318236799581</v>
      </c>
      <c r="Q563" s="6">
        <f t="shared" si="184"/>
        <v>1.6211628044590161</v>
      </c>
      <c r="R563" s="10">
        <f t="shared" si="198"/>
        <v>1.6211628044590161E-3</v>
      </c>
      <c r="S563" s="3">
        <f t="shared" si="199"/>
        <v>2.9180930480262289E-2</v>
      </c>
      <c r="T563" s="4">
        <f t="shared" si="200"/>
        <v>2.918093048026229E-5</v>
      </c>
      <c r="U563" s="3">
        <f t="shared" si="201"/>
        <v>0.10505134972894424</v>
      </c>
      <c r="V563" s="2">
        <v>1.69</v>
      </c>
      <c r="W563" s="2">
        <v>0.31</v>
      </c>
      <c r="X563" s="2">
        <f t="shared" si="202"/>
        <v>3100</v>
      </c>
      <c r="Y563" s="5">
        <v>-0.33</v>
      </c>
      <c r="Z563" s="5">
        <v>-1.6</v>
      </c>
      <c r="AA563" s="2">
        <f t="shared" si="203"/>
        <v>1.27</v>
      </c>
      <c r="AB563" s="3">
        <f t="shared" si="204"/>
        <v>8.2717598211767121E-2</v>
      </c>
    </row>
    <row r="564" spans="1:28" x14ac:dyDescent="0.2">
      <c r="A564" t="s">
        <v>9</v>
      </c>
      <c r="B564">
        <v>1521</v>
      </c>
      <c r="C564">
        <v>153</v>
      </c>
      <c r="D564">
        <v>76</v>
      </c>
      <c r="E564" t="s">
        <v>7</v>
      </c>
      <c r="F564" s="1">
        <v>45176</v>
      </c>
      <c r="G564" t="s">
        <v>14</v>
      </c>
      <c r="H564" s="2">
        <v>20.98</v>
      </c>
      <c r="I564" s="2">
        <v>33.43</v>
      </c>
      <c r="J564" s="2">
        <v>33.090000000000003</v>
      </c>
      <c r="K564" s="2">
        <f t="shared" si="183"/>
        <v>306.58</v>
      </c>
      <c r="L564" s="2">
        <v>3.98</v>
      </c>
      <c r="M564" s="2">
        <v>0.06</v>
      </c>
      <c r="N564" s="6">
        <f t="shared" si="195"/>
        <v>5.055783720839818</v>
      </c>
      <c r="O564" s="6">
        <f t="shared" si="196"/>
        <v>1.0811227258987199</v>
      </c>
      <c r="P564" s="6">
        <f t="shared" si="197"/>
        <v>97.123825701775289</v>
      </c>
      <c r="Q564" s="6">
        <f t="shared" si="184"/>
        <v>0.66458485118352628</v>
      </c>
      <c r="R564" s="10">
        <f t="shared" si="198"/>
        <v>6.645848511835263E-4</v>
      </c>
      <c r="S564" s="3">
        <f t="shared" si="199"/>
        <v>1.1962527321303474E-2</v>
      </c>
      <c r="T564" s="4">
        <f t="shared" si="200"/>
        <v>1.1962527321303475E-5</v>
      </c>
      <c r="U564" s="3">
        <f t="shared" si="201"/>
        <v>4.3065098356692512E-2</v>
      </c>
      <c r="V564" s="2">
        <v>2.0299999999999998</v>
      </c>
      <c r="W564" s="2">
        <v>0.31</v>
      </c>
      <c r="X564" s="2">
        <f t="shared" si="202"/>
        <v>3100</v>
      </c>
      <c r="Y564" s="5">
        <v>-0.57999999999999996</v>
      </c>
      <c r="Z564" s="5">
        <v>-1.77</v>
      </c>
      <c r="AA564" s="2">
        <f t="shared" si="203"/>
        <v>1.19</v>
      </c>
      <c r="AB564" s="3">
        <f t="shared" si="204"/>
        <v>3.6189158282934883E-2</v>
      </c>
    </row>
    <row r="565" spans="1:28" x14ac:dyDescent="0.2">
      <c r="A565" t="s">
        <v>9</v>
      </c>
      <c r="B565">
        <v>1521</v>
      </c>
      <c r="C565">
        <v>153</v>
      </c>
      <c r="D565">
        <v>90</v>
      </c>
      <c r="E565" t="s">
        <v>7</v>
      </c>
      <c r="F565" s="1">
        <v>45175</v>
      </c>
      <c r="G565" t="s">
        <v>14</v>
      </c>
      <c r="H565" s="2">
        <v>21.76</v>
      </c>
      <c r="I565" s="2">
        <v>31.2</v>
      </c>
      <c r="J565" s="2">
        <v>29.11</v>
      </c>
      <c r="K565" s="2">
        <f t="shared" si="183"/>
        <v>304.34999999999997</v>
      </c>
      <c r="L565" s="2">
        <v>3.04</v>
      </c>
      <c r="M565" s="2">
        <v>0.09</v>
      </c>
      <c r="N565" s="6">
        <f t="shared" si="195"/>
        <v>4.029964758046904</v>
      </c>
      <c r="O565" s="6">
        <f t="shared" si="196"/>
        <v>0.98863835050614934</v>
      </c>
      <c r="P565" s="6">
        <f t="shared" si="197"/>
        <v>97.093695154623447</v>
      </c>
      <c r="Q565" s="6">
        <f t="shared" si="184"/>
        <v>0.91763762912033631</v>
      </c>
      <c r="R565" s="10">
        <f t="shared" si="198"/>
        <v>9.1763762912033635E-4</v>
      </c>
      <c r="S565" s="3">
        <f t="shared" si="199"/>
        <v>1.6517477324166054E-2</v>
      </c>
      <c r="T565" s="4">
        <f t="shared" si="200"/>
        <v>1.6517477324166054E-5</v>
      </c>
      <c r="U565" s="3">
        <f t="shared" si="201"/>
        <v>5.9462918366997797E-2</v>
      </c>
      <c r="V565" s="2">
        <v>1.27</v>
      </c>
      <c r="W565" s="2">
        <v>0.15</v>
      </c>
      <c r="X565" s="2">
        <f t="shared" si="202"/>
        <v>1500</v>
      </c>
      <c r="Y565" s="5">
        <v>-1.06</v>
      </c>
      <c r="Z565" s="5">
        <v>-2.11</v>
      </c>
      <c r="AA565" s="2">
        <f t="shared" si="203"/>
        <v>1.0499999999999998</v>
      </c>
      <c r="AB565" s="3">
        <f t="shared" si="204"/>
        <v>5.6631350825712197E-2</v>
      </c>
    </row>
    <row r="566" spans="1:28" x14ac:dyDescent="0.2">
      <c r="A566" t="s">
        <v>9</v>
      </c>
      <c r="B566">
        <v>1521</v>
      </c>
      <c r="C566">
        <v>155</v>
      </c>
      <c r="D566">
        <v>62</v>
      </c>
      <c r="E566" t="s">
        <v>7</v>
      </c>
      <c r="F566" s="1">
        <v>45175</v>
      </c>
      <c r="G566" t="s">
        <v>14</v>
      </c>
      <c r="H566" s="2">
        <v>25.16</v>
      </c>
      <c r="I566" s="2">
        <v>30.1</v>
      </c>
      <c r="J566" s="2">
        <v>26.44</v>
      </c>
      <c r="K566" s="2">
        <f t="shared" si="183"/>
        <v>303.25</v>
      </c>
      <c r="L566" s="2">
        <v>2.38</v>
      </c>
      <c r="M566" s="2">
        <v>0.22</v>
      </c>
      <c r="N566" s="6">
        <f t="shared" si="195"/>
        <v>3.4481615768623488</v>
      </c>
      <c r="O566" s="6">
        <f t="shared" si="196"/>
        <v>1.0734459697290033</v>
      </c>
      <c r="P566" s="6">
        <f t="shared" si="197"/>
        <v>97.078672839284039</v>
      </c>
      <c r="Q566" s="6">
        <f t="shared" si="184"/>
        <v>2.420671194163905</v>
      </c>
      <c r="R566" s="10">
        <f t="shared" si="198"/>
        <v>2.4206711941639051E-3</v>
      </c>
      <c r="S566" s="3">
        <f t="shared" si="199"/>
        <v>4.3572081494950295E-2</v>
      </c>
      <c r="T566" s="4">
        <f t="shared" si="200"/>
        <v>4.3572081494950296E-5</v>
      </c>
      <c r="U566" s="3">
        <f t="shared" si="201"/>
        <v>0.15685949338182106</v>
      </c>
      <c r="V566" s="2">
        <v>2.31</v>
      </c>
      <c r="W566" s="2">
        <v>0.45</v>
      </c>
      <c r="X566" s="2">
        <f t="shared" si="202"/>
        <v>4500</v>
      </c>
      <c r="Y566" s="5">
        <v>-1.21</v>
      </c>
      <c r="Z566" s="5">
        <v>-2.71</v>
      </c>
      <c r="AA566" s="2">
        <f t="shared" si="203"/>
        <v>1.5</v>
      </c>
      <c r="AB566" s="3">
        <f t="shared" si="204"/>
        <v>0.1045729955878807</v>
      </c>
    </row>
    <row r="567" spans="1:28" x14ac:dyDescent="0.2">
      <c r="A567" t="s">
        <v>9</v>
      </c>
      <c r="B567">
        <v>1521</v>
      </c>
      <c r="C567">
        <v>155</v>
      </c>
      <c r="D567">
        <v>64</v>
      </c>
      <c r="E567" t="s">
        <v>7</v>
      </c>
      <c r="F567" s="1">
        <v>45175</v>
      </c>
      <c r="G567" t="s">
        <v>14</v>
      </c>
      <c r="H567" s="2">
        <v>26.38</v>
      </c>
      <c r="I567" s="2">
        <v>29.11</v>
      </c>
      <c r="J567" s="2">
        <v>26.91</v>
      </c>
      <c r="K567" s="2">
        <f t="shared" si="183"/>
        <v>302.26</v>
      </c>
      <c r="L567" s="2">
        <v>2.4900000000000002</v>
      </c>
      <c r="M567" s="2">
        <v>0.16</v>
      </c>
      <c r="N567" s="6">
        <f t="shared" si="195"/>
        <v>3.5449093116304367</v>
      </c>
      <c r="O567" s="6">
        <f t="shared" si="196"/>
        <v>1.0631047031727732</v>
      </c>
      <c r="P567" s="6">
        <f t="shared" si="197"/>
        <v>97.065061277357643</v>
      </c>
      <c r="Q567" s="6">
        <f t="shared" si="184"/>
        <v>1.7388902622600251</v>
      </c>
      <c r="R567" s="10">
        <f t="shared" si="198"/>
        <v>1.738890262260025E-3</v>
      </c>
      <c r="S567" s="3">
        <f t="shared" si="199"/>
        <v>3.1300024720680449E-2</v>
      </c>
      <c r="T567" s="4">
        <f t="shared" si="200"/>
        <v>3.1300024720680447E-5</v>
      </c>
      <c r="U567" s="3">
        <f t="shared" si="201"/>
        <v>0.1126800889944496</v>
      </c>
      <c r="V567" s="2">
        <v>2.25</v>
      </c>
      <c r="W567" s="2">
        <v>0.5</v>
      </c>
      <c r="X567" s="2">
        <f t="shared" si="202"/>
        <v>5000</v>
      </c>
      <c r="Y567" s="5">
        <v>-1.17</v>
      </c>
      <c r="Z567" s="5">
        <v>-1.79</v>
      </c>
      <c r="AA567" s="2">
        <f t="shared" si="203"/>
        <v>0.62000000000000011</v>
      </c>
      <c r="AB567" s="3">
        <f t="shared" si="204"/>
        <v>0.18174207902330577</v>
      </c>
    </row>
    <row r="568" spans="1:28" x14ac:dyDescent="0.2">
      <c r="A568" t="s">
        <v>9</v>
      </c>
      <c r="B568">
        <v>1521</v>
      </c>
      <c r="C568">
        <v>155</v>
      </c>
      <c r="D568">
        <v>66</v>
      </c>
      <c r="E568" t="s">
        <v>7</v>
      </c>
      <c r="F568" s="1">
        <v>45176</v>
      </c>
      <c r="G568" t="s">
        <v>14</v>
      </c>
      <c r="H568" s="2">
        <v>20.010000000000002</v>
      </c>
      <c r="I568" s="2">
        <v>34.049999999999997</v>
      </c>
      <c r="J568" s="2">
        <v>30.52</v>
      </c>
      <c r="K568" s="2">
        <f t="shared" si="183"/>
        <v>307.2</v>
      </c>
      <c r="L568" s="2">
        <v>3.31</v>
      </c>
      <c r="M568" s="2">
        <v>0.16</v>
      </c>
      <c r="N568" s="6">
        <f t="shared" si="195"/>
        <v>4.3704156826317968</v>
      </c>
      <c r="O568" s="6">
        <f t="shared" si="196"/>
        <v>1.0674918886670175</v>
      </c>
      <c r="P568" s="6">
        <f t="shared" si="197"/>
        <v>97.132126729644511</v>
      </c>
      <c r="Q568" s="6">
        <f t="shared" si="184"/>
        <v>1.7467599540297682</v>
      </c>
      <c r="R568" s="10">
        <f t="shared" si="198"/>
        <v>1.7467599540297682E-3</v>
      </c>
      <c r="S568" s="3">
        <f t="shared" si="199"/>
        <v>3.1441679172535826E-2</v>
      </c>
      <c r="T568" s="4">
        <f t="shared" si="200"/>
        <v>3.1441679172535824E-5</v>
      </c>
      <c r="U568" s="3">
        <f t="shared" si="201"/>
        <v>0.11319004502112896</v>
      </c>
      <c r="V568" s="2">
        <v>3.09</v>
      </c>
      <c r="W568" s="2">
        <v>0.44</v>
      </c>
      <c r="X568" s="2">
        <f t="shared" si="202"/>
        <v>4400</v>
      </c>
      <c r="Y568" s="5">
        <v>-0.44</v>
      </c>
      <c r="Z568" s="5">
        <v>-2.21</v>
      </c>
      <c r="AA568" s="2">
        <f t="shared" si="203"/>
        <v>1.77</v>
      </c>
      <c r="AB568" s="3">
        <f t="shared" si="204"/>
        <v>6.3949177978038965E-2</v>
      </c>
    </row>
    <row r="569" spans="1:28" x14ac:dyDescent="0.2">
      <c r="A569" t="s">
        <v>9</v>
      </c>
      <c r="B569">
        <v>1521</v>
      </c>
      <c r="C569">
        <v>156</v>
      </c>
      <c r="D569">
        <v>71</v>
      </c>
      <c r="E569" t="s">
        <v>7</v>
      </c>
      <c r="F569" s="1">
        <v>45175</v>
      </c>
      <c r="G569" t="s">
        <v>14</v>
      </c>
      <c r="H569" s="2">
        <v>24.8</v>
      </c>
      <c r="I569" s="2">
        <v>30.23</v>
      </c>
      <c r="J569" s="2">
        <v>28.3</v>
      </c>
      <c r="K569" s="2">
        <f t="shared" si="183"/>
        <v>303.38</v>
      </c>
      <c r="L569" s="2">
        <v>2.79</v>
      </c>
      <c r="M569" s="2">
        <v>0.12</v>
      </c>
      <c r="N569" s="6">
        <f t="shared" si="195"/>
        <v>3.8450394991098089</v>
      </c>
      <c r="O569" s="6">
        <f t="shared" si="196"/>
        <v>1.0660073662178755</v>
      </c>
      <c r="P569" s="6">
        <f t="shared" si="197"/>
        <v>97.08045375876263</v>
      </c>
      <c r="Q569" s="6">
        <f t="shared" si="184"/>
        <v>1.3041218390653591</v>
      </c>
      <c r="R569" s="10">
        <f t="shared" si="198"/>
        <v>1.304121839065359E-3</v>
      </c>
      <c r="S569" s="3">
        <f t="shared" si="199"/>
        <v>2.3474193103176461E-2</v>
      </c>
      <c r="T569" s="4">
        <f t="shared" si="200"/>
        <v>2.347419310317646E-5</v>
      </c>
      <c r="U569" s="3">
        <f t="shared" si="201"/>
        <v>8.4507095171435259E-2</v>
      </c>
      <c r="V569" s="2">
        <v>1.53</v>
      </c>
      <c r="W569" s="2">
        <v>0.24</v>
      </c>
      <c r="X569" s="2">
        <f t="shared" si="202"/>
        <v>2400</v>
      </c>
      <c r="Y569" s="5">
        <v>-0.45</v>
      </c>
      <c r="Z569" s="5">
        <v>-1.85</v>
      </c>
      <c r="AA569" s="2">
        <f t="shared" si="203"/>
        <v>1.4000000000000001</v>
      </c>
      <c r="AB569" s="3">
        <f t="shared" si="204"/>
        <v>6.0362210836739462E-2</v>
      </c>
    </row>
    <row r="570" spans="1:28" x14ac:dyDescent="0.2">
      <c r="A570" t="s">
        <v>9</v>
      </c>
      <c r="B570">
        <v>1521</v>
      </c>
      <c r="C570">
        <v>156</v>
      </c>
      <c r="D570">
        <v>74</v>
      </c>
      <c r="E570" t="s">
        <v>7</v>
      </c>
      <c r="F570" s="1">
        <v>45176</v>
      </c>
      <c r="G570" t="s">
        <v>14</v>
      </c>
      <c r="H570" s="2">
        <v>19.98</v>
      </c>
      <c r="I570" s="2">
        <v>33.65</v>
      </c>
      <c r="J570" s="2">
        <v>33.159999999999997</v>
      </c>
      <c r="K570" s="2">
        <f t="shared" si="183"/>
        <v>306.79999999999995</v>
      </c>
      <c r="L570" s="2">
        <v>4.04</v>
      </c>
      <c r="M570" s="2">
        <v>0.09</v>
      </c>
      <c r="N570" s="6">
        <f t="shared" si="195"/>
        <v>5.0756899290568516</v>
      </c>
      <c r="O570" s="6">
        <f t="shared" si="196"/>
        <v>1.0423471438382241</v>
      </c>
      <c r="P570" s="6">
        <f t="shared" si="197"/>
        <v>97.126774986860809</v>
      </c>
      <c r="Q570" s="6">
        <f t="shared" si="184"/>
        <v>0.95969513687370189</v>
      </c>
      <c r="R570" s="10">
        <f t="shared" si="198"/>
        <v>9.5969513687370193E-4</v>
      </c>
      <c r="S570" s="3">
        <f t="shared" si="199"/>
        <v>1.7274512463726636E-2</v>
      </c>
      <c r="T570" s="4">
        <f t="shared" si="200"/>
        <v>1.7274512463726637E-5</v>
      </c>
      <c r="U570" s="3">
        <f t="shared" si="201"/>
        <v>6.218824486941589E-2</v>
      </c>
      <c r="V570" s="2">
        <v>2.2200000000000002</v>
      </c>
      <c r="W570" s="2">
        <v>0.32</v>
      </c>
      <c r="X570" s="2">
        <f t="shared" si="202"/>
        <v>3200</v>
      </c>
      <c r="Y570" s="5">
        <v>-0.68</v>
      </c>
      <c r="Z570" s="5">
        <v>-1.58</v>
      </c>
      <c r="AA570" s="2">
        <f t="shared" si="203"/>
        <v>0.9</v>
      </c>
      <c r="AB570" s="3">
        <f t="shared" si="204"/>
        <v>6.9098049854906543E-2</v>
      </c>
    </row>
    <row r="571" spans="1:28" x14ac:dyDescent="0.2">
      <c r="A571" t="s">
        <v>9</v>
      </c>
      <c r="B571">
        <v>1521</v>
      </c>
      <c r="C571">
        <v>156</v>
      </c>
      <c r="D571">
        <v>75</v>
      </c>
      <c r="E571" t="s">
        <v>7</v>
      </c>
      <c r="F571" s="1">
        <v>45176</v>
      </c>
      <c r="G571" t="s">
        <v>14</v>
      </c>
      <c r="H571" s="2">
        <v>19.61</v>
      </c>
      <c r="I571" s="2">
        <v>34.42</v>
      </c>
      <c r="J571" s="2">
        <v>34.380000000000003</v>
      </c>
      <c r="K571" s="2">
        <f t="shared" si="183"/>
        <v>307.57</v>
      </c>
      <c r="L571" s="2">
        <v>4.37</v>
      </c>
      <c r="M571" s="2">
        <v>0.11</v>
      </c>
      <c r="N571" s="6">
        <f t="shared" si="195"/>
        <v>5.4337452224219067</v>
      </c>
      <c r="O571" s="6">
        <f t="shared" si="196"/>
        <v>1.067930655114979</v>
      </c>
      <c r="P571" s="6">
        <f t="shared" si="197"/>
        <v>97.137064960078462</v>
      </c>
      <c r="Q571" s="6">
        <f t="shared" si="184"/>
        <v>1.2046068564507222</v>
      </c>
      <c r="R571" s="10">
        <f t="shared" si="198"/>
        <v>1.2046068564507222E-3</v>
      </c>
      <c r="S571" s="3">
        <f t="shared" si="199"/>
        <v>2.1682923416112998E-2</v>
      </c>
      <c r="T571" s="4">
        <f t="shared" si="200"/>
        <v>2.1682923416112997E-5</v>
      </c>
      <c r="U571" s="3">
        <f t="shared" si="201"/>
        <v>7.805852429800679E-2</v>
      </c>
      <c r="V571" s="2">
        <v>3.2</v>
      </c>
      <c r="W571" s="2">
        <v>0.59</v>
      </c>
      <c r="X571" s="2">
        <f t="shared" si="202"/>
        <v>5900</v>
      </c>
      <c r="Y571" s="5">
        <v>-0.53</v>
      </c>
      <c r="Z571" s="5">
        <v>-1.72</v>
      </c>
      <c r="AA571" s="2">
        <f t="shared" si="203"/>
        <v>1.19</v>
      </c>
      <c r="AB571" s="3">
        <f t="shared" si="204"/>
        <v>6.5595398569753605E-2</v>
      </c>
    </row>
    <row r="572" spans="1:28" x14ac:dyDescent="0.2">
      <c r="A572" t="s">
        <v>9</v>
      </c>
      <c r="B572">
        <v>1521</v>
      </c>
      <c r="C572">
        <v>157</v>
      </c>
      <c r="D572">
        <v>67</v>
      </c>
      <c r="E572" t="s">
        <v>7</v>
      </c>
      <c r="F572" s="1">
        <v>45176</v>
      </c>
      <c r="G572" t="s">
        <v>14</v>
      </c>
      <c r="H572" s="2">
        <v>24.3</v>
      </c>
      <c r="I572" s="2">
        <v>30.18</v>
      </c>
      <c r="J572" s="2">
        <v>29.16</v>
      </c>
      <c r="K572" s="2">
        <f t="shared" si="183"/>
        <v>303.33</v>
      </c>
      <c r="L572" s="2">
        <v>3.01</v>
      </c>
      <c r="M572" s="2">
        <v>0.16</v>
      </c>
      <c r="N572" s="6">
        <f t="shared" si="195"/>
        <v>4.0416297503382621</v>
      </c>
      <c r="O572" s="6">
        <f t="shared" si="196"/>
        <v>1.0415243014613826</v>
      </c>
      <c r="P572" s="6">
        <f t="shared" si="197"/>
        <v>97.079768966519566</v>
      </c>
      <c r="Q572" s="6">
        <f t="shared" si="184"/>
        <v>1.7002590942614151</v>
      </c>
      <c r="R572" s="10">
        <f t="shared" si="198"/>
        <v>1.7002590942614151E-3</v>
      </c>
      <c r="S572" s="3">
        <f t="shared" si="199"/>
        <v>3.0604663696705472E-2</v>
      </c>
      <c r="T572" s="4">
        <f t="shared" si="200"/>
        <v>3.0604663696705471E-5</v>
      </c>
      <c r="U572" s="3">
        <f t="shared" si="201"/>
        <v>0.11017678930813969</v>
      </c>
      <c r="V572" s="2">
        <v>2.02</v>
      </c>
      <c r="W572" s="2">
        <v>0.35</v>
      </c>
      <c r="X572" s="2">
        <f t="shared" si="202"/>
        <v>3500</v>
      </c>
      <c r="Y572" s="5">
        <v>-0.73</v>
      </c>
      <c r="Z572" s="5">
        <v>-1.98</v>
      </c>
      <c r="AA572" s="2">
        <f t="shared" si="203"/>
        <v>1.25</v>
      </c>
      <c r="AB572" s="3">
        <f t="shared" si="204"/>
        <v>8.814143144651175E-2</v>
      </c>
    </row>
    <row r="573" spans="1:28" x14ac:dyDescent="0.2">
      <c r="A573" t="s">
        <v>9</v>
      </c>
      <c r="B573">
        <v>1521</v>
      </c>
      <c r="C573">
        <v>157</v>
      </c>
      <c r="D573">
        <v>68</v>
      </c>
      <c r="E573" t="s">
        <v>7</v>
      </c>
      <c r="F573" s="1">
        <v>45176</v>
      </c>
      <c r="G573" t="s">
        <v>14</v>
      </c>
      <c r="H573" s="2">
        <v>22.08</v>
      </c>
      <c r="I573" s="2">
        <v>31.03</v>
      </c>
      <c r="J573" s="2">
        <v>29.48</v>
      </c>
      <c r="K573" s="2">
        <f t="shared" si="183"/>
        <v>304.17999999999995</v>
      </c>
      <c r="L573" s="2">
        <v>3.13</v>
      </c>
      <c r="M573" s="2">
        <v>0.09</v>
      </c>
      <c r="N573" s="6">
        <f t="shared" si="195"/>
        <v>4.1169852448976636</v>
      </c>
      <c r="O573" s="6">
        <f t="shared" si="196"/>
        <v>0.9935084800968732</v>
      </c>
      <c r="P573" s="6">
        <f t="shared" si="197"/>
        <v>97.091380470745435</v>
      </c>
      <c r="Q573" s="6">
        <f t="shared" si="184"/>
        <v>0.91489761099395073</v>
      </c>
      <c r="R573" s="10">
        <f t="shared" si="198"/>
        <v>9.1489761099395077E-4</v>
      </c>
      <c r="S573" s="3">
        <f t="shared" si="199"/>
        <v>1.6468156997891115E-2</v>
      </c>
      <c r="T573" s="4">
        <f t="shared" si="200"/>
        <v>1.6468156997891113E-5</v>
      </c>
      <c r="U573" s="3">
        <f t="shared" si="201"/>
        <v>5.9285365192408006E-2</v>
      </c>
      <c r="V573" s="2">
        <v>2.2400000000000002</v>
      </c>
      <c r="W573" s="2">
        <v>0.41</v>
      </c>
      <c r="X573" s="2">
        <f t="shared" si="202"/>
        <v>4100</v>
      </c>
      <c r="Y573" s="5">
        <v>-0.84</v>
      </c>
      <c r="Z573" s="5">
        <v>-2.2599999999999998</v>
      </c>
      <c r="AA573" s="2">
        <f t="shared" si="203"/>
        <v>1.42</v>
      </c>
      <c r="AB573" s="3">
        <f t="shared" si="204"/>
        <v>4.1750257177752118E-2</v>
      </c>
    </row>
    <row r="574" spans="1:28" x14ac:dyDescent="0.2">
      <c r="A574" t="s">
        <v>9</v>
      </c>
      <c r="B574">
        <v>1521</v>
      </c>
      <c r="C574">
        <v>157</v>
      </c>
      <c r="D574">
        <v>72</v>
      </c>
      <c r="E574" t="s">
        <v>7</v>
      </c>
      <c r="F574" s="1">
        <v>45175</v>
      </c>
      <c r="G574" t="s">
        <v>14</v>
      </c>
      <c r="H574" s="2">
        <v>24.74</v>
      </c>
      <c r="I574" s="2">
        <v>29.79</v>
      </c>
      <c r="J574" s="2">
        <v>28.06</v>
      </c>
      <c r="K574" s="2">
        <f t="shared" si="183"/>
        <v>302.94</v>
      </c>
      <c r="L574" s="2">
        <v>2.76</v>
      </c>
      <c r="M574" s="2">
        <v>0.1</v>
      </c>
      <c r="N574" s="6">
        <f t="shared" si="195"/>
        <v>3.7916883876196916</v>
      </c>
      <c r="O574" s="6">
        <f t="shared" si="196"/>
        <v>1.0368907367120164</v>
      </c>
      <c r="P574" s="6">
        <f t="shared" si="197"/>
        <v>97.074419995260968</v>
      </c>
      <c r="Q574" s="6">
        <f t="shared" si="184"/>
        <v>1.0627808929170603</v>
      </c>
      <c r="R574" s="10">
        <f t="shared" si="198"/>
        <v>1.0627808929170603E-3</v>
      </c>
      <c r="S574" s="3">
        <f t="shared" si="199"/>
        <v>1.9130056072507087E-2</v>
      </c>
      <c r="T574" s="4">
        <f t="shared" si="200"/>
        <v>1.9130056072507086E-5</v>
      </c>
      <c r="U574" s="3">
        <f t="shared" si="201"/>
        <v>6.8868201861025505E-2</v>
      </c>
      <c r="V574" s="2">
        <v>2.52</v>
      </c>
      <c r="W574" s="2">
        <v>0.46</v>
      </c>
      <c r="X574" s="2">
        <f t="shared" si="202"/>
        <v>4600</v>
      </c>
      <c r="Y574" s="5">
        <v>-1.19</v>
      </c>
      <c r="Z574" s="5">
        <v>-2.08</v>
      </c>
      <c r="AA574" s="2">
        <f t="shared" si="203"/>
        <v>0.89000000000000012</v>
      </c>
      <c r="AB574" s="3">
        <f t="shared" si="204"/>
        <v>7.7380002091039887E-2</v>
      </c>
    </row>
    <row r="575" spans="1:28" x14ac:dyDescent="0.2">
      <c r="A575" t="s">
        <v>9</v>
      </c>
      <c r="B575">
        <v>1521</v>
      </c>
      <c r="C575">
        <v>158</v>
      </c>
      <c r="D575">
        <v>70</v>
      </c>
      <c r="E575" t="s">
        <v>7</v>
      </c>
      <c r="F575" s="1">
        <v>45176</v>
      </c>
      <c r="G575" t="s">
        <v>14</v>
      </c>
      <c r="H575" s="2">
        <v>17.100000000000001</v>
      </c>
      <c r="I575" s="2">
        <v>35.92</v>
      </c>
      <c r="J575" s="2">
        <v>33.979999999999997</v>
      </c>
      <c r="K575" s="2">
        <f t="shared" si="183"/>
        <v>309.07</v>
      </c>
      <c r="L575" s="2">
        <v>4.3099999999999996</v>
      </c>
      <c r="M575" s="2">
        <v>0.13</v>
      </c>
      <c r="N575" s="6">
        <f t="shared" si="195"/>
        <v>5.314004622913604</v>
      </c>
      <c r="O575" s="6">
        <f t="shared" si="196"/>
        <v>1.0117940274971917</v>
      </c>
      <c r="P575" s="6">
        <f t="shared" si="197"/>
        <v>97.156966229094039</v>
      </c>
      <c r="Q575" s="6">
        <f t="shared" si="184"/>
        <v>1.3433993057276388</v>
      </c>
      <c r="R575" s="10">
        <f t="shared" si="198"/>
        <v>1.3433993057276388E-3</v>
      </c>
      <c r="S575" s="3">
        <f t="shared" si="199"/>
        <v>2.4181187503097501E-2</v>
      </c>
      <c r="T575" s="4">
        <f t="shared" si="200"/>
        <v>2.4181187503097502E-5</v>
      </c>
      <c r="U575" s="3">
        <f t="shared" si="201"/>
        <v>8.7052275011151009E-2</v>
      </c>
      <c r="V575" s="2">
        <v>1.21</v>
      </c>
      <c r="W575" s="2">
        <v>0.27</v>
      </c>
      <c r="X575" s="2">
        <f t="shared" si="202"/>
        <v>2700</v>
      </c>
      <c r="Y575" s="5">
        <v>-0.45</v>
      </c>
      <c r="Z575" s="5">
        <v>-1.75</v>
      </c>
      <c r="AA575" s="2">
        <f t="shared" si="203"/>
        <v>1.3</v>
      </c>
      <c r="AB575" s="3">
        <f t="shared" si="204"/>
        <v>6.6963288470116164E-2</v>
      </c>
    </row>
    <row r="576" spans="1:28" x14ac:dyDescent="0.2">
      <c r="A576" t="s">
        <v>9</v>
      </c>
      <c r="B576">
        <v>1521</v>
      </c>
      <c r="C576">
        <v>158</v>
      </c>
      <c r="D576">
        <v>73</v>
      </c>
      <c r="E576" t="s">
        <v>7</v>
      </c>
      <c r="F576" s="1">
        <v>45176</v>
      </c>
      <c r="G576" t="s">
        <v>14</v>
      </c>
      <c r="H576" s="2">
        <v>19.190000000000001</v>
      </c>
      <c r="I576" s="2">
        <v>33.590000000000003</v>
      </c>
      <c r="J576" s="2">
        <v>31.19</v>
      </c>
      <c r="K576" s="2">
        <f t="shared" si="183"/>
        <v>306.74</v>
      </c>
      <c r="L576" s="2">
        <v>3.55</v>
      </c>
      <c r="M576" s="2">
        <v>0.17</v>
      </c>
      <c r="N576" s="6">
        <f t="shared" si="195"/>
        <v>4.5407886979927303</v>
      </c>
      <c r="O576" s="6">
        <f t="shared" si="196"/>
        <v>0.99777896493700557</v>
      </c>
      <c r="P576" s="6">
        <f t="shared" si="197"/>
        <v>97.125971047064894</v>
      </c>
      <c r="Q576" s="6">
        <f t="shared" si="184"/>
        <v>1.7341816698763826</v>
      </c>
      <c r="R576" s="10">
        <f t="shared" si="198"/>
        <v>1.7341816698763827E-3</v>
      </c>
      <c r="S576" s="3">
        <f t="shared" si="199"/>
        <v>3.1215270057774889E-2</v>
      </c>
      <c r="T576" s="4">
        <f t="shared" si="200"/>
        <v>3.1215270057774888E-5</v>
      </c>
      <c r="U576" s="3">
        <f t="shared" si="201"/>
        <v>0.1123749722079896</v>
      </c>
      <c r="V576" s="2">
        <v>0.73</v>
      </c>
      <c r="W576" s="2">
        <v>0.16</v>
      </c>
      <c r="X576" s="2">
        <f t="shared" si="202"/>
        <v>1600</v>
      </c>
      <c r="Y576" s="5">
        <v>-0.48</v>
      </c>
      <c r="Z576" s="5">
        <v>-1.73</v>
      </c>
      <c r="AA576" s="2">
        <f t="shared" si="203"/>
        <v>1.25</v>
      </c>
      <c r="AB576" s="3">
        <f t="shared" si="204"/>
        <v>8.9899977766391678E-2</v>
      </c>
    </row>
    <row r="577" spans="1:28" x14ac:dyDescent="0.2">
      <c r="A577" t="s">
        <v>9</v>
      </c>
      <c r="B577">
        <v>1521</v>
      </c>
      <c r="C577">
        <v>158</v>
      </c>
      <c r="D577">
        <v>81</v>
      </c>
      <c r="E577" t="s">
        <v>7</v>
      </c>
      <c r="F577" s="1">
        <v>45176</v>
      </c>
      <c r="G577" t="s">
        <v>14</v>
      </c>
      <c r="H577" s="2">
        <v>16.420000000000002</v>
      </c>
      <c r="I577" s="2">
        <v>36.299999999999997</v>
      </c>
      <c r="J577" s="2">
        <v>33.83</v>
      </c>
      <c r="K577" s="2">
        <f t="shared" si="183"/>
        <v>309.45</v>
      </c>
      <c r="L577" s="2">
        <v>4.28</v>
      </c>
      <c r="M577" s="2">
        <v>0.13</v>
      </c>
      <c r="N577" s="6">
        <f t="shared" si="195"/>
        <v>5.2696971963104096</v>
      </c>
      <c r="O577" s="6">
        <f t="shared" si="196"/>
        <v>0.99205328931757364</v>
      </c>
      <c r="P577" s="6">
        <f t="shared" si="197"/>
        <v>97.161977896916056</v>
      </c>
      <c r="Q577" s="6">
        <f t="shared" si="184"/>
        <v>1.3241870771389159</v>
      </c>
      <c r="R577" s="10">
        <f t="shared" si="198"/>
        <v>1.324187077138916E-3</v>
      </c>
      <c r="S577" s="3">
        <f t="shared" si="199"/>
        <v>2.3835367388500488E-2</v>
      </c>
      <c r="T577" s="4">
        <f t="shared" si="200"/>
        <v>2.3835367388500489E-5</v>
      </c>
      <c r="U577" s="3">
        <f t="shared" si="201"/>
        <v>8.5807322598601757E-2</v>
      </c>
      <c r="V577" s="2">
        <v>0.69</v>
      </c>
      <c r="W577" s="2">
        <v>0.22</v>
      </c>
      <c r="X577" s="2">
        <f t="shared" si="202"/>
        <v>2200</v>
      </c>
      <c r="Y577" s="5">
        <v>-0.42</v>
      </c>
      <c r="Z577" s="5">
        <v>-2.09</v>
      </c>
      <c r="AA577" s="2">
        <f t="shared" si="203"/>
        <v>1.67</v>
      </c>
      <c r="AB577" s="3">
        <f t="shared" si="204"/>
        <v>5.1381630298563928E-2</v>
      </c>
    </row>
    <row r="578" spans="1:28" x14ac:dyDescent="0.2">
      <c r="A578" t="s">
        <v>10</v>
      </c>
      <c r="B578">
        <v>666</v>
      </c>
      <c r="C578">
        <v>101</v>
      </c>
      <c r="D578">
        <v>1</v>
      </c>
      <c r="E578" t="s">
        <v>7</v>
      </c>
      <c r="F578" s="1">
        <v>45175</v>
      </c>
      <c r="G578" t="s">
        <v>14</v>
      </c>
      <c r="H578" s="2">
        <v>22.44</v>
      </c>
      <c r="I578" s="2">
        <v>31.88</v>
      </c>
      <c r="J578" s="2">
        <v>29.08</v>
      </c>
      <c r="K578" s="2">
        <f t="shared" si="183"/>
        <v>305.02999999999997</v>
      </c>
      <c r="L578" s="2">
        <v>2.97</v>
      </c>
      <c r="M578" s="2">
        <v>0.1</v>
      </c>
      <c r="N578" s="6">
        <f t="shared" si="195"/>
        <v>4.0229798625443767</v>
      </c>
      <c r="O578" s="6">
        <f t="shared" si="196"/>
        <v>1.0596762837077778</v>
      </c>
      <c r="P578" s="6">
        <f t="shared" si="197"/>
        <v>97.102928638715113</v>
      </c>
      <c r="Q578" s="6">
        <f t="shared" si="184"/>
        <v>1.0843955762262678</v>
      </c>
      <c r="R578" s="10">
        <f t="shared" si="198"/>
        <v>1.0843955762262678E-3</v>
      </c>
      <c r="S578" s="3">
        <f t="shared" si="199"/>
        <v>1.9519120372072821E-2</v>
      </c>
      <c r="T578" s="4">
        <f t="shared" si="200"/>
        <v>1.9519120372072821E-5</v>
      </c>
      <c r="U578" s="3">
        <f t="shared" si="201"/>
        <v>7.0268833339462156E-2</v>
      </c>
      <c r="V578" s="2">
        <v>5.48</v>
      </c>
      <c r="W578" s="2">
        <v>0.73</v>
      </c>
      <c r="X578" s="2">
        <f t="shared" si="202"/>
        <v>7300</v>
      </c>
      <c r="Y578" s="5">
        <v>-0.26</v>
      </c>
      <c r="Z578" s="5">
        <v>-2.2999999999999998</v>
      </c>
      <c r="AA578" s="2">
        <f t="shared" si="203"/>
        <v>2.04</v>
      </c>
      <c r="AB578" s="3">
        <f t="shared" si="204"/>
        <v>3.4445506538952037E-2</v>
      </c>
    </row>
    <row r="579" spans="1:28" x14ac:dyDescent="0.2">
      <c r="A579" t="s">
        <v>10</v>
      </c>
      <c r="B579">
        <v>666</v>
      </c>
      <c r="C579">
        <v>101</v>
      </c>
      <c r="D579">
        <v>2</v>
      </c>
      <c r="E579" t="s">
        <v>7</v>
      </c>
      <c r="F579" s="1">
        <v>45175</v>
      </c>
      <c r="G579" t="s">
        <v>14</v>
      </c>
      <c r="H579" s="2">
        <v>22.92</v>
      </c>
      <c r="I579" s="2">
        <v>31.5</v>
      </c>
      <c r="J579" s="2">
        <v>30.16</v>
      </c>
      <c r="K579" s="2">
        <f t="shared" si="183"/>
        <v>304.64999999999998</v>
      </c>
      <c r="L579" s="2">
        <v>3.25</v>
      </c>
      <c r="M579" s="2">
        <v>0.11</v>
      </c>
      <c r="N579" s="6">
        <f t="shared" si="195"/>
        <v>4.2811934179552669</v>
      </c>
      <c r="O579" s="6">
        <f t="shared" si="196"/>
        <v>1.0592605994412616</v>
      </c>
      <c r="P579" s="6">
        <f t="shared" si="197"/>
        <v>97.097773723411606</v>
      </c>
      <c r="Q579" s="6">
        <f t="shared" si="184"/>
        <v>1.1682170623004666</v>
      </c>
      <c r="R579" s="10">
        <f t="shared" si="198"/>
        <v>1.1682170623004667E-3</v>
      </c>
      <c r="S579" s="3">
        <f t="shared" si="199"/>
        <v>2.1027907121408399E-2</v>
      </c>
      <c r="T579" s="4">
        <f t="shared" si="200"/>
        <v>2.1027907121408398E-5</v>
      </c>
      <c r="U579" s="3">
        <f t="shared" si="201"/>
        <v>7.5700465637070238E-2</v>
      </c>
      <c r="V579" s="2">
        <v>4.08</v>
      </c>
      <c r="W579" s="2">
        <v>0.49</v>
      </c>
      <c r="X579" s="2">
        <f t="shared" si="202"/>
        <v>4900</v>
      </c>
      <c r="Y579" s="5">
        <v>-1.3</v>
      </c>
      <c r="Z579" s="5">
        <v>-2.2000000000000002</v>
      </c>
      <c r="AA579" s="2">
        <f t="shared" si="203"/>
        <v>0.90000000000000013</v>
      </c>
      <c r="AB579" s="3">
        <f t="shared" si="204"/>
        <v>8.4111628485633583E-2</v>
      </c>
    </row>
    <row r="580" spans="1:28" x14ac:dyDescent="0.2">
      <c r="A580" t="s">
        <v>10</v>
      </c>
      <c r="B580">
        <v>666</v>
      </c>
      <c r="C580">
        <v>101</v>
      </c>
      <c r="D580">
        <v>3</v>
      </c>
      <c r="E580" t="s">
        <v>7</v>
      </c>
      <c r="F580" s="1">
        <v>45175</v>
      </c>
      <c r="G580" t="s">
        <v>14</v>
      </c>
      <c r="H580" s="2">
        <v>21.59</v>
      </c>
      <c r="I580" s="2">
        <v>31.31</v>
      </c>
      <c r="J580" s="2">
        <v>29.65</v>
      </c>
      <c r="K580" s="2">
        <f t="shared" ref="K580:K643" si="205">273.15+I580</f>
        <v>304.45999999999998</v>
      </c>
      <c r="L580" s="2">
        <v>3.17</v>
      </c>
      <c r="M580" s="2">
        <v>0.15</v>
      </c>
      <c r="N580" s="6">
        <f t="shared" ref="N580:N611" si="206">0.611*EXP((17.502*J580)/(240.97+J580))</f>
        <v>4.1575137834679703</v>
      </c>
      <c r="O580" s="6">
        <f t="shared" ref="O580:O611" si="207">(0.611*EXP((17.502*I580)/(240.97+I580)))*(H580/100)</f>
        <v>0.98707458404824444</v>
      </c>
      <c r="P580" s="6">
        <f t="shared" ref="P580:P611" si="208">101.325*EXP(-380/(29.27*K580))</f>
        <v>97.095191543207946</v>
      </c>
      <c r="Q580" s="6">
        <f t="shared" ref="Q580:Q643" si="209">(M580*(N580-L580)/P580)*1000</f>
        <v>1.5255860271337756</v>
      </c>
      <c r="R580" s="10">
        <f t="shared" ref="R580:R643" si="210">Q580/1000</f>
        <v>1.5255860271337755E-3</v>
      </c>
      <c r="S580" s="3">
        <f t="shared" ref="S580:S611" si="211">R580*18</f>
        <v>2.7460548488407958E-2</v>
      </c>
      <c r="T580" s="4">
        <f t="shared" ref="T580:T611" si="212">S580/1000</f>
        <v>2.7460548488407956E-5</v>
      </c>
      <c r="U580" s="3">
        <f t="shared" ref="U580:U611" si="213">T580*3600</f>
        <v>9.8857974558268641E-2</v>
      </c>
      <c r="V580" s="2">
        <v>6.39</v>
      </c>
      <c r="W580" s="2">
        <v>0.75</v>
      </c>
      <c r="X580" s="2">
        <f t="shared" ref="X580:X611" si="214">W580*10000</f>
        <v>7500</v>
      </c>
      <c r="Y580" s="5">
        <v>-1.1100000000000001</v>
      </c>
      <c r="Z580" s="5">
        <v>-2.37</v>
      </c>
      <c r="AA580" s="2">
        <f t="shared" ref="AA580:AA611" si="215">Y580-Z580</f>
        <v>1.26</v>
      </c>
      <c r="AB580" s="3">
        <f t="shared" ref="AB580:AB611" si="216">U580/AA580</f>
        <v>7.8458709966879869E-2</v>
      </c>
    </row>
    <row r="581" spans="1:28" x14ac:dyDescent="0.2">
      <c r="A581" t="s">
        <v>10</v>
      </c>
      <c r="B581">
        <v>666</v>
      </c>
      <c r="C581">
        <v>105</v>
      </c>
      <c r="D581">
        <v>7</v>
      </c>
      <c r="E581" t="s">
        <v>7</v>
      </c>
      <c r="F581" s="1">
        <v>45175</v>
      </c>
      <c r="G581" t="s">
        <v>14</v>
      </c>
      <c r="H581" s="2">
        <v>24.82</v>
      </c>
      <c r="I581" s="2">
        <v>30.41</v>
      </c>
      <c r="J581" s="2">
        <v>28.89</v>
      </c>
      <c r="K581" s="2">
        <f t="shared" si="205"/>
        <v>303.56</v>
      </c>
      <c r="L581" s="2">
        <v>2.9</v>
      </c>
      <c r="M581" s="2">
        <v>7.0000000000000007E-2</v>
      </c>
      <c r="N581" s="6">
        <f t="shared" si="206"/>
        <v>3.9789868271259992</v>
      </c>
      <c r="O581" s="6">
        <f t="shared" si="207"/>
        <v>1.0779283877484223</v>
      </c>
      <c r="P581" s="6">
        <f t="shared" si="208"/>
        <v>97.082917182918877</v>
      </c>
      <c r="Q581" s="6">
        <f t="shared" si="209"/>
        <v>0.77798525312658007</v>
      </c>
      <c r="R581" s="10">
        <f t="shared" si="210"/>
        <v>7.7798525312658005E-4</v>
      </c>
      <c r="S581" s="3">
        <f t="shared" si="211"/>
        <v>1.400373455627844E-2</v>
      </c>
      <c r="T581" s="4">
        <f t="shared" si="212"/>
        <v>1.400373455627844E-5</v>
      </c>
      <c r="U581" s="3">
        <f t="shared" si="213"/>
        <v>5.0413444402602384E-2</v>
      </c>
      <c r="V581" s="2">
        <v>3.32</v>
      </c>
      <c r="W581" s="2">
        <v>0.56000000000000005</v>
      </c>
      <c r="X581" s="2">
        <f t="shared" si="214"/>
        <v>5600.0000000000009</v>
      </c>
      <c r="Y581" s="5">
        <v>-1.32</v>
      </c>
      <c r="Z581" s="5">
        <v>-1.82</v>
      </c>
      <c r="AA581" s="2">
        <f t="shared" si="215"/>
        <v>0.5</v>
      </c>
      <c r="AB581" s="3">
        <f t="shared" si="216"/>
        <v>0.10082688880520477</v>
      </c>
    </row>
    <row r="582" spans="1:28" x14ac:dyDescent="0.2">
      <c r="A582" t="s">
        <v>10</v>
      </c>
      <c r="B582">
        <v>666</v>
      </c>
      <c r="C582">
        <v>105</v>
      </c>
      <c r="D582">
        <v>8</v>
      </c>
      <c r="E582" t="s">
        <v>7</v>
      </c>
      <c r="F582" s="1">
        <v>45175</v>
      </c>
      <c r="G582" t="s">
        <v>14</v>
      </c>
      <c r="H582" s="2">
        <v>24.96</v>
      </c>
      <c r="I582" s="2">
        <v>29.9</v>
      </c>
      <c r="J582" s="2">
        <v>27.04</v>
      </c>
      <c r="K582" s="2">
        <f t="shared" si="205"/>
        <v>303.04999999999995</v>
      </c>
      <c r="L582" s="2">
        <v>2.5299999999999998</v>
      </c>
      <c r="M582" s="2">
        <v>0.18</v>
      </c>
      <c r="N582" s="6">
        <f t="shared" si="206"/>
        <v>3.5720841632760849</v>
      </c>
      <c r="O582" s="6">
        <f t="shared" si="207"/>
        <v>1.052749465291269</v>
      </c>
      <c r="P582" s="6">
        <f t="shared" si="208"/>
        <v>97.075930043537966</v>
      </c>
      <c r="Q582" s="6">
        <f t="shared" si="209"/>
        <v>1.9322518909225901</v>
      </c>
      <c r="R582" s="10">
        <f t="shared" si="210"/>
        <v>1.9322518909225901E-3</v>
      </c>
      <c r="S582" s="3">
        <f t="shared" si="211"/>
        <v>3.4780534036606622E-2</v>
      </c>
      <c r="T582" s="4">
        <f t="shared" si="212"/>
        <v>3.4780534036606619E-5</v>
      </c>
      <c r="U582" s="3">
        <f t="shared" si="213"/>
        <v>0.12520992253178384</v>
      </c>
      <c r="V582" s="2">
        <v>1.18</v>
      </c>
      <c r="W582" s="2">
        <v>0.18</v>
      </c>
      <c r="X582" s="2">
        <f t="shared" si="214"/>
        <v>1800</v>
      </c>
      <c r="Y582" s="5">
        <v>-1.2</v>
      </c>
      <c r="Z582" s="5">
        <v>-2.1</v>
      </c>
      <c r="AA582" s="2">
        <f t="shared" si="215"/>
        <v>0.90000000000000013</v>
      </c>
      <c r="AB582" s="3">
        <f t="shared" si="216"/>
        <v>0.13912213614642646</v>
      </c>
    </row>
    <row r="583" spans="1:28" x14ac:dyDescent="0.2">
      <c r="A583" t="s">
        <v>10</v>
      </c>
      <c r="B583">
        <v>666</v>
      </c>
      <c r="C583">
        <v>105</v>
      </c>
      <c r="D583">
        <v>9</v>
      </c>
      <c r="E583" t="s">
        <v>7</v>
      </c>
      <c r="F583" s="1">
        <v>45176</v>
      </c>
      <c r="G583" t="s">
        <v>14</v>
      </c>
      <c r="H583" s="2">
        <v>21.93</v>
      </c>
      <c r="I583" s="2">
        <v>32.450000000000003</v>
      </c>
      <c r="J583" s="2">
        <v>31.72</v>
      </c>
      <c r="K583" s="2">
        <f t="shared" si="205"/>
        <v>305.59999999999997</v>
      </c>
      <c r="L583" s="2">
        <v>3.61</v>
      </c>
      <c r="M583" s="2">
        <v>0.1</v>
      </c>
      <c r="N583" s="6">
        <f t="shared" si="206"/>
        <v>4.6796307010474214</v>
      </c>
      <c r="O583" s="6">
        <f t="shared" si="207"/>
        <v>1.0695065181524956</v>
      </c>
      <c r="P583" s="6">
        <f t="shared" si="208"/>
        <v>97.110637485110487</v>
      </c>
      <c r="Q583" s="6">
        <f t="shared" si="209"/>
        <v>1.1014557506240477</v>
      </c>
      <c r="R583" s="10">
        <f t="shared" si="210"/>
        <v>1.1014557506240476E-3</v>
      </c>
      <c r="S583" s="3">
        <f t="shared" si="211"/>
        <v>1.9826203511232855E-2</v>
      </c>
      <c r="T583" s="4">
        <f t="shared" si="212"/>
        <v>1.9826203511232856E-5</v>
      </c>
      <c r="U583" s="3">
        <f t="shared" si="213"/>
        <v>7.1374332640438284E-2</v>
      </c>
      <c r="V583" s="2">
        <v>4.63</v>
      </c>
      <c r="W583" s="2">
        <v>0.75</v>
      </c>
      <c r="X583" s="2">
        <f t="shared" si="214"/>
        <v>7500</v>
      </c>
      <c r="Y583" s="5">
        <v>-0.56000000000000005</v>
      </c>
      <c r="Z583" s="5">
        <v>-2.61</v>
      </c>
      <c r="AA583" s="2">
        <f t="shared" si="215"/>
        <v>2.0499999999999998</v>
      </c>
      <c r="AB583" s="3">
        <f t="shared" si="216"/>
        <v>3.4816747629482094E-2</v>
      </c>
    </row>
    <row r="584" spans="1:28" x14ac:dyDescent="0.2">
      <c r="A584" t="s">
        <v>10</v>
      </c>
      <c r="B584">
        <v>666</v>
      </c>
      <c r="C584">
        <v>118</v>
      </c>
      <c r="D584">
        <v>10</v>
      </c>
      <c r="E584" t="s">
        <v>7</v>
      </c>
      <c r="F584" s="1">
        <v>45176</v>
      </c>
      <c r="G584" t="s">
        <v>14</v>
      </c>
      <c r="H584" s="2">
        <v>16.829999999999998</v>
      </c>
      <c r="I584" s="2">
        <v>36.159999999999997</v>
      </c>
      <c r="J584" s="2">
        <v>34.07</v>
      </c>
      <c r="K584" s="2">
        <f t="shared" si="205"/>
        <v>309.30999999999995</v>
      </c>
      <c r="L584" s="2">
        <v>4.33</v>
      </c>
      <c r="M584" s="2">
        <v>0.08</v>
      </c>
      <c r="N584" s="6">
        <f t="shared" si="206"/>
        <v>5.3407442838014756</v>
      </c>
      <c r="O584" s="6">
        <f t="shared" si="207"/>
        <v>1.0090409882488482</v>
      </c>
      <c r="P584" s="6">
        <f t="shared" si="208"/>
        <v>97.160132895578045</v>
      </c>
      <c r="Q584" s="6">
        <f t="shared" si="209"/>
        <v>0.83222964290323787</v>
      </c>
      <c r="R584" s="10">
        <f t="shared" si="210"/>
        <v>8.3222964290323789E-4</v>
      </c>
      <c r="S584" s="3">
        <f t="shared" si="211"/>
        <v>1.4980133572258282E-2</v>
      </c>
      <c r="T584" s="4">
        <f t="shared" si="212"/>
        <v>1.4980133572258283E-5</v>
      </c>
      <c r="U584" s="3">
        <f t="shared" si="213"/>
        <v>5.3928480860129815E-2</v>
      </c>
      <c r="V584" s="2">
        <v>10.06</v>
      </c>
      <c r="W584" s="2">
        <v>1.55</v>
      </c>
      <c r="X584" s="2">
        <f t="shared" si="214"/>
        <v>15500</v>
      </c>
      <c r="Y584" s="5">
        <v>-0.26</v>
      </c>
      <c r="Z584" s="5">
        <v>-1.83</v>
      </c>
      <c r="AA584" s="2">
        <f t="shared" si="215"/>
        <v>1.57</v>
      </c>
      <c r="AB584" s="3">
        <f t="shared" si="216"/>
        <v>3.4349350866324721E-2</v>
      </c>
    </row>
    <row r="585" spans="1:28" x14ac:dyDescent="0.2">
      <c r="A585" t="s">
        <v>10</v>
      </c>
      <c r="B585">
        <v>666</v>
      </c>
      <c r="C585">
        <v>118</v>
      </c>
      <c r="D585">
        <v>11</v>
      </c>
      <c r="E585" t="s">
        <v>7</v>
      </c>
      <c r="F585" s="1">
        <v>45176</v>
      </c>
      <c r="G585" t="s">
        <v>14</v>
      </c>
      <c r="H585" s="2">
        <v>22.56</v>
      </c>
      <c r="I585" s="2">
        <v>31.45</v>
      </c>
      <c r="J585" s="2">
        <v>30.13</v>
      </c>
      <c r="K585" s="2">
        <f t="shared" si="205"/>
        <v>304.59999999999997</v>
      </c>
      <c r="L585" s="2">
        <v>3.24</v>
      </c>
      <c r="M585" s="2">
        <v>7.0000000000000007E-2</v>
      </c>
      <c r="N585" s="6">
        <f t="shared" si="206"/>
        <v>4.2738303986314419</v>
      </c>
      <c r="O585" s="6">
        <f t="shared" si="207"/>
        <v>1.0396651662603871</v>
      </c>
      <c r="P585" s="6">
        <f t="shared" si="208"/>
        <v>97.097094507970453</v>
      </c>
      <c r="Q585" s="6">
        <f t="shared" si="209"/>
        <v>0.74531713096997365</v>
      </c>
      <c r="R585" s="10">
        <f t="shared" si="210"/>
        <v>7.453171309699737E-4</v>
      </c>
      <c r="S585" s="3">
        <f t="shared" si="211"/>
        <v>1.3415708357459526E-2</v>
      </c>
      <c r="T585" s="4">
        <f t="shared" si="212"/>
        <v>1.3415708357459526E-5</v>
      </c>
      <c r="U585" s="3">
        <f t="shared" si="213"/>
        <v>4.8296550086854295E-2</v>
      </c>
      <c r="V585" s="2">
        <v>2.44</v>
      </c>
      <c r="W585" s="2">
        <v>0.45</v>
      </c>
      <c r="X585" s="2">
        <f t="shared" si="214"/>
        <v>4500</v>
      </c>
      <c r="Y585" s="5">
        <v>-0.36</v>
      </c>
      <c r="Z585" s="5">
        <v>-1.71</v>
      </c>
      <c r="AA585" s="2">
        <f t="shared" si="215"/>
        <v>1.35</v>
      </c>
      <c r="AB585" s="3">
        <f t="shared" si="216"/>
        <v>3.5775222286558737E-2</v>
      </c>
    </row>
    <row r="586" spans="1:28" x14ac:dyDescent="0.2">
      <c r="A586" t="s">
        <v>10</v>
      </c>
      <c r="B586">
        <v>666</v>
      </c>
      <c r="C586">
        <v>118</v>
      </c>
      <c r="D586">
        <v>12</v>
      </c>
      <c r="E586" t="s">
        <v>7</v>
      </c>
      <c r="F586" s="1">
        <v>45175</v>
      </c>
      <c r="G586" t="s">
        <v>14</v>
      </c>
      <c r="H586" s="2">
        <v>23.09</v>
      </c>
      <c r="I586" s="2">
        <v>30.79</v>
      </c>
      <c r="J586" s="2">
        <v>29.55</v>
      </c>
      <c r="K586" s="2">
        <f t="shared" si="205"/>
        <v>303.94</v>
      </c>
      <c r="L586" s="2">
        <v>3.12</v>
      </c>
      <c r="M586" s="2">
        <v>0.06</v>
      </c>
      <c r="N586" s="6">
        <f t="shared" si="206"/>
        <v>4.1336315620538491</v>
      </c>
      <c r="O586" s="6">
        <f t="shared" si="207"/>
        <v>1.0248245645275227</v>
      </c>
      <c r="P586" s="6">
        <f t="shared" si="208"/>
        <v>97.088108367798384</v>
      </c>
      <c r="Q586" s="6">
        <f t="shared" si="209"/>
        <v>0.62641959706161776</v>
      </c>
      <c r="R586" s="10">
        <f t="shared" si="210"/>
        <v>6.2641959706161772E-4</v>
      </c>
      <c r="S586" s="3">
        <f t="shared" si="211"/>
        <v>1.1275552747109119E-2</v>
      </c>
      <c r="T586" s="4">
        <f t="shared" si="212"/>
        <v>1.1275552747109119E-5</v>
      </c>
      <c r="U586" s="3">
        <f t="shared" si="213"/>
        <v>4.0591989889592825E-2</v>
      </c>
      <c r="V586" s="2">
        <v>1.93</v>
      </c>
      <c r="W586" s="2">
        <v>0.33</v>
      </c>
      <c r="X586" s="2">
        <f t="shared" si="214"/>
        <v>3300</v>
      </c>
      <c r="Y586" s="5">
        <v>-0.47</v>
      </c>
      <c r="Z586" s="5">
        <v>-1.91</v>
      </c>
      <c r="AA586" s="2">
        <f t="shared" si="215"/>
        <v>1.44</v>
      </c>
      <c r="AB586" s="3">
        <f t="shared" si="216"/>
        <v>2.8188881867772797E-2</v>
      </c>
    </row>
    <row r="587" spans="1:28" x14ac:dyDescent="0.2">
      <c r="A587" t="s">
        <v>10</v>
      </c>
      <c r="B587">
        <v>666</v>
      </c>
      <c r="C587">
        <v>122</v>
      </c>
      <c r="D587">
        <v>16</v>
      </c>
      <c r="E587" t="s">
        <v>7</v>
      </c>
      <c r="F587" s="1">
        <v>45176</v>
      </c>
      <c r="G587" t="s">
        <v>14</v>
      </c>
      <c r="H587" s="2">
        <v>20.47</v>
      </c>
      <c r="I587" s="2">
        <v>33.200000000000003</v>
      </c>
      <c r="J587" s="2">
        <v>33.69</v>
      </c>
      <c r="K587" s="2">
        <f t="shared" si="205"/>
        <v>306.34999999999997</v>
      </c>
      <c r="L587" s="2">
        <v>4.2</v>
      </c>
      <c r="M587" s="2">
        <v>7.0000000000000007E-2</v>
      </c>
      <c r="N587" s="6">
        <f t="shared" si="206"/>
        <v>5.2286338251475915</v>
      </c>
      <c r="O587" s="6">
        <f t="shared" si="207"/>
        <v>1.0413284472269062</v>
      </c>
      <c r="P587" s="6">
        <f t="shared" si="208"/>
        <v>97.120737925095682</v>
      </c>
      <c r="Q587" s="6">
        <f t="shared" si="209"/>
        <v>0.7413902457770114</v>
      </c>
      <c r="R587" s="10">
        <f t="shared" si="210"/>
        <v>7.4139024577701146E-4</v>
      </c>
      <c r="S587" s="3">
        <f t="shared" si="211"/>
        <v>1.3345024423986206E-2</v>
      </c>
      <c r="T587" s="4">
        <f t="shared" si="212"/>
        <v>1.3345024423986207E-5</v>
      </c>
      <c r="U587" s="3">
        <f t="shared" si="213"/>
        <v>4.8042087926350341E-2</v>
      </c>
      <c r="V587" s="2">
        <v>8.4700000000000006</v>
      </c>
      <c r="W587" s="2">
        <v>1.37</v>
      </c>
      <c r="X587" s="2">
        <f t="shared" si="214"/>
        <v>13700.000000000002</v>
      </c>
      <c r="Y587" s="5">
        <v>-0.27</v>
      </c>
      <c r="Z587" s="5">
        <v>-1.65</v>
      </c>
      <c r="AA587" s="2">
        <f t="shared" si="215"/>
        <v>1.38</v>
      </c>
      <c r="AB587" s="3">
        <f t="shared" si="216"/>
        <v>3.4813107193007495E-2</v>
      </c>
    </row>
    <row r="588" spans="1:28" x14ac:dyDescent="0.2">
      <c r="A588" t="s">
        <v>10</v>
      </c>
      <c r="B588">
        <v>666</v>
      </c>
      <c r="C588">
        <v>122</v>
      </c>
      <c r="D588">
        <v>17</v>
      </c>
      <c r="E588" t="s">
        <v>7</v>
      </c>
      <c r="F588" s="1">
        <v>45176</v>
      </c>
      <c r="G588" t="s">
        <v>14</v>
      </c>
      <c r="H588" s="2">
        <v>19.61</v>
      </c>
      <c r="I588" s="2">
        <v>34.61</v>
      </c>
      <c r="J588" s="2">
        <v>33.29</v>
      </c>
      <c r="K588" s="2">
        <f t="shared" si="205"/>
        <v>307.76</v>
      </c>
      <c r="L588" s="2">
        <v>4.04</v>
      </c>
      <c r="M588" s="2">
        <v>0.09</v>
      </c>
      <c r="N588" s="6">
        <f t="shared" si="206"/>
        <v>5.112839564678592</v>
      </c>
      <c r="O588" s="6">
        <f t="shared" si="207"/>
        <v>1.0792663004274814</v>
      </c>
      <c r="P588" s="6">
        <f t="shared" si="208"/>
        <v>97.139596291235975</v>
      </c>
      <c r="Q588" s="6">
        <f t="shared" si="209"/>
        <v>0.99398766834060448</v>
      </c>
      <c r="R588" s="10">
        <f t="shared" si="210"/>
        <v>9.9398766834060443E-4</v>
      </c>
      <c r="S588" s="3">
        <f t="shared" si="211"/>
        <v>1.7891778030130881E-2</v>
      </c>
      <c r="T588" s="4">
        <f t="shared" si="212"/>
        <v>1.789177803013088E-5</v>
      </c>
      <c r="U588" s="3">
        <f t="shared" si="213"/>
        <v>6.4410400908471166E-2</v>
      </c>
      <c r="V588" s="2">
        <v>8.18</v>
      </c>
      <c r="W588" s="2">
        <v>1.23</v>
      </c>
      <c r="X588" s="2">
        <f t="shared" si="214"/>
        <v>12300</v>
      </c>
      <c r="Y588" s="5">
        <v>-0.26</v>
      </c>
      <c r="Z588" s="5">
        <v>-2.09</v>
      </c>
      <c r="AA588" s="2">
        <f t="shared" si="215"/>
        <v>1.8299999999999998</v>
      </c>
      <c r="AB588" s="3">
        <f t="shared" si="216"/>
        <v>3.5196940387142717E-2</v>
      </c>
    </row>
    <row r="589" spans="1:28" x14ac:dyDescent="0.2">
      <c r="A589" t="s">
        <v>10</v>
      </c>
      <c r="B589">
        <v>666</v>
      </c>
      <c r="C589">
        <v>122</v>
      </c>
      <c r="D589">
        <v>18</v>
      </c>
      <c r="E589" t="s">
        <v>7</v>
      </c>
      <c r="F589" s="1">
        <v>45175</v>
      </c>
      <c r="G589" t="s">
        <v>14</v>
      </c>
      <c r="H589" s="2">
        <v>21.64</v>
      </c>
      <c r="I589" s="2">
        <v>31.41</v>
      </c>
      <c r="J589" s="2">
        <v>29.45</v>
      </c>
      <c r="K589" s="2">
        <f t="shared" si="205"/>
        <v>304.56</v>
      </c>
      <c r="L589" s="2">
        <v>3.12</v>
      </c>
      <c r="M589" s="2">
        <v>0.15</v>
      </c>
      <c r="N589" s="6">
        <f t="shared" si="206"/>
        <v>4.1098690174976253</v>
      </c>
      <c r="O589" s="6">
        <f t="shared" si="207"/>
        <v>0.99500275335733779</v>
      </c>
      <c r="P589" s="6">
        <f t="shared" si="208"/>
        <v>97.096550978468869</v>
      </c>
      <c r="Q589" s="6">
        <f t="shared" si="209"/>
        <v>1.5292031604456193</v>
      </c>
      <c r="R589" s="10">
        <f t="shared" si="210"/>
        <v>1.5292031604456193E-3</v>
      </c>
      <c r="S589" s="3">
        <f t="shared" si="211"/>
        <v>2.7525656888021145E-2</v>
      </c>
      <c r="T589" s="4">
        <f t="shared" si="212"/>
        <v>2.7525656888021145E-5</v>
      </c>
      <c r="U589" s="3">
        <f t="shared" si="213"/>
        <v>9.9092364796876123E-2</v>
      </c>
      <c r="V589" s="2">
        <v>7.71</v>
      </c>
      <c r="W589" s="2">
        <v>1.2</v>
      </c>
      <c r="X589" s="2">
        <f t="shared" si="214"/>
        <v>12000</v>
      </c>
      <c r="Y589" s="5">
        <v>-0.88</v>
      </c>
      <c r="Z589" s="5">
        <v>-1.99</v>
      </c>
      <c r="AA589" s="2">
        <f t="shared" si="215"/>
        <v>1.1099999999999999</v>
      </c>
      <c r="AB589" s="3">
        <f t="shared" si="216"/>
        <v>8.9272400717906431E-2</v>
      </c>
    </row>
    <row r="590" spans="1:28" x14ac:dyDescent="0.2">
      <c r="A590" t="s">
        <v>10</v>
      </c>
      <c r="B590">
        <v>666</v>
      </c>
      <c r="C590">
        <v>123</v>
      </c>
      <c r="D590">
        <v>19</v>
      </c>
      <c r="E590" t="s">
        <v>7</v>
      </c>
      <c r="F590" s="1">
        <v>45175</v>
      </c>
      <c r="G590" t="s">
        <v>14</v>
      </c>
      <c r="H590" s="2">
        <v>27.75</v>
      </c>
      <c r="I590" s="2">
        <v>29.05</v>
      </c>
      <c r="J590" s="2">
        <v>26.23</v>
      </c>
      <c r="K590" s="2">
        <f t="shared" si="205"/>
        <v>302.2</v>
      </c>
      <c r="L590" s="2">
        <v>2.2999999999999998</v>
      </c>
      <c r="M590" s="2">
        <v>0.21</v>
      </c>
      <c r="N590" s="6">
        <f t="shared" si="206"/>
        <v>3.4056844978145802</v>
      </c>
      <c r="O590" s="6">
        <f t="shared" si="207"/>
        <v>1.114441533323747</v>
      </c>
      <c r="P590" s="6">
        <f t="shared" si="208"/>
        <v>97.064233529495382</v>
      </c>
      <c r="Q590" s="6">
        <f t="shared" si="209"/>
        <v>2.3921658483039896</v>
      </c>
      <c r="R590" s="10">
        <f t="shared" si="210"/>
        <v>2.3921658483039895E-3</v>
      </c>
      <c r="S590" s="3">
        <f t="shared" si="211"/>
        <v>4.3058985269471814E-2</v>
      </c>
      <c r="T590" s="4">
        <f t="shared" si="212"/>
        <v>4.3058985269471817E-5</v>
      </c>
      <c r="U590" s="3">
        <f t="shared" si="213"/>
        <v>0.15501234697009855</v>
      </c>
      <c r="V590" s="2">
        <v>8.61</v>
      </c>
      <c r="W590" s="2">
        <v>1.52</v>
      </c>
      <c r="X590" s="2">
        <f t="shared" si="214"/>
        <v>15200</v>
      </c>
      <c r="Y590" s="5">
        <v>-0.86</v>
      </c>
      <c r="Z590" s="5">
        <v>-2.4300000000000002</v>
      </c>
      <c r="AA590" s="2">
        <f t="shared" si="215"/>
        <v>1.5700000000000003</v>
      </c>
      <c r="AB590" s="3">
        <f t="shared" si="216"/>
        <v>9.87339789618462E-2</v>
      </c>
    </row>
    <row r="591" spans="1:28" x14ac:dyDescent="0.2">
      <c r="A591" t="s">
        <v>10</v>
      </c>
      <c r="B591">
        <v>666</v>
      </c>
      <c r="C591">
        <v>123</v>
      </c>
      <c r="D591">
        <v>20</v>
      </c>
      <c r="E591" t="s">
        <v>7</v>
      </c>
      <c r="F591" s="1">
        <v>45175</v>
      </c>
      <c r="G591" t="s">
        <v>14</v>
      </c>
      <c r="H591" s="2">
        <v>25.26</v>
      </c>
      <c r="I591" s="2">
        <v>29.16</v>
      </c>
      <c r="J591" s="2">
        <v>27.11</v>
      </c>
      <c r="K591" s="2">
        <f t="shared" si="205"/>
        <v>302.31</v>
      </c>
      <c r="L591" s="2">
        <v>2.57</v>
      </c>
      <c r="M591" s="2">
        <v>0.11</v>
      </c>
      <c r="N591" s="6">
        <f t="shared" si="206"/>
        <v>3.5867919567935842</v>
      </c>
      <c r="O591" s="6">
        <f t="shared" si="207"/>
        <v>1.0209156749354449</v>
      </c>
      <c r="P591" s="6">
        <f t="shared" si="208"/>
        <v>97.065750821641871</v>
      </c>
      <c r="Q591" s="6">
        <f t="shared" si="209"/>
        <v>1.1522819769128776</v>
      </c>
      <c r="R591" s="10">
        <f t="shared" si="210"/>
        <v>1.1522819769128776E-3</v>
      </c>
      <c r="S591" s="3">
        <f t="shared" si="211"/>
        <v>2.0741075584431799E-2</v>
      </c>
      <c r="T591" s="4">
        <f t="shared" si="212"/>
        <v>2.07410755844318E-5</v>
      </c>
      <c r="U591" s="3">
        <f t="shared" si="213"/>
        <v>7.466787210395448E-2</v>
      </c>
      <c r="V591" s="2">
        <v>1.94</v>
      </c>
      <c r="W591" s="2">
        <v>0.35</v>
      </c>
      <c r="X591" s="2">
        <f t="shared" si="214"/>
        <v>3500</v>
      </c>
      <c r="Y591" s="5">
        <v>-1.21</v>
      </c>
      <c r="Z591" s="5">
        <v>-1.88</v>
      </c>
      <c r="AA591" s="2">
        <f t="shared" si="215"/>
        <v>0.66999999999999993</v>
      </c>
      <c r="AB591" s="3">
        <f t="shared" si="216"/>
        <v>0.11144458522978282</v>
      </c>
    </row>
    <row r="592" spans="1:28" x14ac:dyDescent="0.2">
      <c r="A592" t="s">
        <v>10</v>
      </c>
      <c r="B592">
        <v>666</v>
      </c>
      <c r="C592">
        <v>123</v>
      </c>
      <c r="D592">
        <v>22</v>
      </c>
      <c r="E592" t="s">
        <v>7</v>
      </c>
      <c r="F592" s="1">
        <v>45175</v>
      </c>
      <c r="G592" t="s">
        <v>14</v>
      </c>
      <c r="H592" s="2">
        <v>23.56</v>
      </c>
      <c r="I592" s="2">
        <v>31.65</v>
      </c>
      <c r="J592" s="2">
        <v>29.94</v>
      </c>
      <c r="K592" s="2">
        <f t="shared" si="205"/>
        <v>304.79999999999995</v>
      </c>
      <c r="L592" s="2">
        <v>3.13</v>
      </c>
      <c r="M592" s="2">
        <v>0.1</v>
      </c>
      <c r="N592" s="6">
        <f t="shared" si="206"/>
        <v>4.2274536893345003</v>
      </c>
      <c r="O592" s="6">
        <f t="shared" si="207"/>
        <v>1.0981513437966679</v>
      </c>
      <c r="P592" s="6">
        <f t="shared" si="208"/>
        <v>97.099810061171709</v>
      </c>
      <c r="Q592" s="6">
        <f t="shared" si="209"/>
        <v>1.130232580932051</v>
      </c>
      <c r="R592" s="10">
        <f t="shared" si="210"/>
        <v>1.1302325809320511E-3</v>
      </c>
      <c r="S592" s="3">
        <f t="shared" si="211"/>
        <v>2.0344186456776919E-2</v>
      </c>
      <c r="T592" s="4">
        <f t="shared" si="212"/>
        <v>2.0344186456776919E-5</v>
      </c>
      <c r="U592" s="3">
        <f t="shared" si="213"/>
        <v>7.3239071244396908E-2</v>
      </c>
      <c r="V592" s="2">
        <v>7.09</v>
      </c>
      <c r="W592" s="2">
        <v>0.5</v>
      </c>
      <c r="X592" s="2">
        <f t="shared" si="214"/>
        <v>5000</v>
      </c>
      <c r="Y592" s="5">
        <v>-0.92</v>
      </c>
      <c r="Z592" s="5">
        <v>-1.96</v>
      </c>
      <c r="AA592" s="2">
        <f t="shared" si="215"/>
        <v>1.04</v>
      </c>
      <c r="AB592" s="3">
        <f t="shared" si="216"/>
        <v>7.0422183888843179E-2</v>
      </c>
    </row>
    <row r="593" spans="1:28" x14ac:dyDescent="0.2">
      <c r="A593" t="s">
        <v>11</v>
      </c>
      <c r="B593">
        <v>1212</v>
      </c>
      <c r="C593">
        <v>3</v>
      </c>
      <c r="D593">
        <v>29</v>
      </c>
      <c r="E593" t="s">
        <v>7</v>
      </c>
      <c r="F593" s="1">
        <v>45175</v>
      </c>
      <c r="G593" t="s">
        <v>14</v>
      </c>
      <c r="H593" s="2">
        <v>23.07</v>
      </c>
      <c r="I593" s="2">
        <v>30.94</v>
      </c>
      <c r="J593" s="2">
        <v>29.66</v>
      </c>
      <c r="K593" s="2">
        <f t="shared" si="205"/>
        <v>304.08999999999997</v>
      </c>
      <c r="L593" s="2">
        <v>3.13</v>
      </c>
      <c r="M593" s="2">
        <v>0.06</v>
      </c>
      <c r="N593" s="6">
        <f t="shared" si="206"/>
        <v>4.1599086073445415</v>
      </c>
      <c r="O593" s="6">
        <f t="shared" si="207"/>
        <v>1.0327405762909139</v>
      </c>
      <c r="P593" s="6">
        <f t="shared" si="208"/>
        <v>97.090154024487362</v>
      </c>
      <c r="Q593" s="6">
        <f t="shared" si="209"/>
        <v>0.63646532505332254</v>
      </c>
      <c r="R593" s="10">
        <f t="shared" si="210"/>
        <v>6.3646532505332249E-4</v>
      </c>
      <c r="S593" s="3">
        <f t="shared" si="211"/>
        <v>1.1456375850959804E-2</v>
      </c>
      <c r="T593" s="4">
        <f t="shared" si="212"/>
        <v>1.1456375850959803E-5</v>
      </c>
      <c r="U593" s="3">
        <f t="shared" si="213"/>
        <v>4.1242953063455288E-2</v>
      </c>
      <c r="V593" s="2">
        <v>0.9</v>
      </c>
      <c r="W593" s="2">
        <v>0.17</v>
      </c>
      <c r="X593" s="2">
        <f t="shared" si="214"/>
        <v>1700.0000000000002</v>
      </c>
      <c r="Y593" s="5">
        <v>-0.74</v>
      </c>
      <c r="Z593" s="5">
        <v>-2.06</v>
      </c>
      <c r="AA593" s="2">
        <f t="shared" si="215"/>
        <v>1.32</v>
      </c>
      <c r="AB593" s="3">
        <f t="shared" si="216"/>
        <v>3.1244661411708549E-2</v>
      </c>
    </row>
    <row r="594" spans="1:28" x14ac:dyDescent="0.2">
      <c r="A594" t="s">
        <v>11</v>
      </c>
      <c r="B594">
        <v>1212</v>
      </c>
      <c r="C594">
        <v>3</v>
      </c>
      <c r="D594">
        <v>30</v>
      </c>
      <c r="E594" t="s">
        <v>7</v>
      </c>
      <c r="F594" s="1">
        <v>45175</v>
      </c>
      <c r="G594" t="s">
        <v>14</v>
      </c>
      <c r="H594" s="2">
        <v>21.33</v>
      </c>
      <c r="I594" s="2">
        <v>32.119999999999997</v>
      </c>
      <c r="J594" s="2">
        <v>29.12</v>
      </c>
      <c r="K594" s="2">
        <f t="shared" si="205"/>
        <v>305.27</v>
      </c>
      <c r="L594" s="2">
        <v>3.01</v>
      </c>
      <c r="M594" s="2">
        <v>0.09</v>
      </c>
      <c r="N594" s="6">
        <f t="shared" si="206"/>
        <v>4.0322954051959732</v>
      </c>
      <c r="O594" s="6">
        <f t="shared" si="207"/>
        <v>1.0210352467813928</v>
      </c>
      <c r="P594" s="6">
        <f t="shared" si="208"/>
        <v>97.106177902941155</v>
      </c>
      <c r="Q594" s="6">
        <f t="shared" si="209"/>
        <v>0.94748437694251897</v>
      </c>
      <c r="R594" s="10">
        <f t="shared" si="210"/>
        <v>9.4748437694251893E-4</v>
      </c>
      <c r="S594" s="3">
        <f t="shared" si="211"/>
        <v>1.7054718784965339E-2</v>
      </c>
      <c r="T594" s="4">
        <f t="shared" si="212"/>
        <v>1.7054718784965338E-5</v>
      </c>
      <c r="U594" s="3">
        <f t="shared" si="213"/>
        <v>6.139698762587522E-2</v>
      </c>
      <c r="V594" s="2">
        <v>7.13</v>
      </c>
      <c r="W594" s="2">
        <v>1.39</v>
      </c>
      <c r="X594" s="2">
        <f t="shared" si="214"/>
        <v>13899.999999999998</v>
      </c>
      <c r="Y594" s="5">
        <v>-0.86</v>
      </c>
      <c r="Z594" s="5">
        <v>-2.41</v>
      </c>
      <c r="AA594" s="2">
        <f t="shared" si="215"/>
        <v>1.5500000000000003</v>
      </c>
      <c r="AB594" s="3">
        <f t="shared" si="216"/>
        <v>3.9610959758629168E-2</v>
      </c>
    </row>
    <row r="595" spans="1:28" x14ac:dyDescent="0.2">
      <c r="A595" t="s">
        <v>11</v>
      </c>
      <c r="B595">
        <v>1212</v>
      </c>
      <c r="C595">
        <v>3</v>
      </c>
      <c r="D595">
        <v>31</v>
      </c>
      <c r="E595" t="s">
        <v>7</v>
      </c>
      <c r="F595" s="1">
        <v>45176</v>
      </c>
      <c r="G595" t="s">
        <v>14</v>
      </c>
      <c r="H595" s="2">
        <v>23</v>
      </c>
      <c r="I595" s="2">
        <v>32.020000000000003</v>
      </c>
      <c r="J595" s="2">
        <v>30.75</v>
      </c>
      <c r="K595" s="2">
        <f t="shared" si="205"/>
        <v>305.16999999999996</v>
      </c>
      <c r="L595" s="2">
        <v>3.34</v>
      </c>
      <c r="M595" s="2">
        <v>7.0000000000000007E-2</v>
      </c>
      <c r="N595" s="6">
        <f t="shared" si="206"/>
        <v>4.4282631382312267</v>
      </c>
      <c r="O595" s="6">
        <f t="shared" si="207"/>
        <v>1.0947648466569966</v>
      </c>
      <c r="P595" s="6">
        <f t="shared" si="208"/>
        <v>97.104824650733335</v>
      </c>
      <c r="Q595" s="6">
        <f t="shared" si="209"/>
        <v>0.78449675338155911</v>
      </c>
      <c r="R595" s="10">
        <f t="shared" si="210"/>
        <v>7.8449675338155916E-4</v>
      </c>
      <c r="S595" s="3">
        <f t="shared" si="211"/>
        <v>1.4120941560868065E-2</v>
      </c>
      <c r="T595" s="4">
        <f t="shared" si="212"/>
        <v>1.4120941560868065E-5</v>
      </c>
      <c r="U595" s="3">
        <f t="shared" si="213"/>
        <v>5.0835389619125031E-2</v>
      </c>
      <c r="V595" s="2">
        <v>4.1399999999999997</v>
      </c>
      <c r="W595" s="2">
        <v>0.74</v>
      </c>
      <c r="X595" s="2">
        <f t="shared" si="214"/>
        <v>7400</v>
      </c>
      <c r="Y595" s="5">
        <v>-0.52</v>
      </c>
      <c r="Z595" s="5">
        <v>-2.13</v>
      </c>
      <c r="AA595" s="2">
        <f t="shared" si="215"/>
        <v>1.6099999999999999</v>
      </c>
      <c r="AB595" s="3">
        <f t="shared" si="216"/>
        <v>3.1574776160947227E-2</v>
      </c>
    </row>
    <row r="596" spans="1:28" x14ac:dyDescent="0.2">
      <c r="A596" t="s">
        <v>11</v>
      </c>
      <c r="B596">
        <v>1212</v>
      </c>
      <c r="C596">
        <v>4</v>
      </c>
      <c r="D596">
        <v>32</v>
      </c>
      <c r="E596" t="s">
        <v>7</v>
      </c>
      <c r="F596" s="1">
        <v>45175</v>
      </c>
      <c r="G596" t="s">
        <v>14</v>
      </c>
      <c r="H596" s="2">
        <v>22.4</v>
      </c>
      <c r="I596" s="2">
        <v>31.08</v>
      </c>
      <c r="J596" s="2">
        <v>29.51</v>
      </c>
      <c r="K596" s="2">
        <f t="shared" si="205"/>
        <v>304.22999999999996</v>
      </c>
      <c r="L596" s="2">
        <v>3.11</v>
      </c>
      <c r="M596" s="2">
        <v>0.04</v>
      </c>
      <c r="N596" s="6">
        <f t="shared" si="206"/>
        <v>4.1241122113480051</v>
      </c>
      <c r="O596" s="6">
        <f t="shared" si="207"/>
        <v>1.0107835088948562</v>
      </c>
      <c r="P596" s="6">
        <f t="shared" si="208"/>
        <v>97.09206152292127</v>
      </c>
      <c r="Q596" s="6">
        <f t="shared" si="209"/>
        <v>0.41779407932690604</v>
      </c>
      <c r="R596" s="10">
        <f t="shared" si="210"/>
        <v>4.1779407932690602E-4</v>
      </c>
      <c r="S596" s="3">
        <f t="shared" si="211"/>
        <v>7.5202934278843087E-3</v>
      </c>
      <c r="T596" s="4">
        <f t="shared" si="212"/>
        <v>7.520293427884309E-6</v>
      </c>
      <c r="U596" s="3">
        <f t="shared" si="213"/>
        <v>2.7073056340383511E-2</v>
      </c>
      <c r="V596" s="2">
        <v>7.33</v>
      </c>
      <c r="W596" s="2">
        <v>1.02</v>
      </c>
      <c r="X596" s="2">
        <f t="shared" si="214"/>
        <v>10200</v>
      </c>
      <c r="Y596" s="5">
        <v>-0.86</v>
      </c>
      <c r="Z596" s="5">
        <v>-2.06</v>
      </c>
      <c r="AA596" s="2">
        <f t="shared" si="215"/>
        <v>1.2000000000000002</v>
      </c>
      <c r="AB596" s="3">
        <f t="shared" si="216"/>
        <v>2.2560880283652923E-2</v>
      </c>
    </row>
    <row r="597" spans="1:28" x14ac:dyDescent="0.2">
      <c r="A597" t="s">
        <v>11</v>
      </c>
      <c r="B597">
        <v>1212</v>
      </c>
      <c r="C597">
        <v>4</v>
      </c>
      <c r="D597">
        <v>33</v>
      </c>
      <c r="E597" t="s">
        <v>7</v>
      </c>
      <c r="F597" s="1">
        <v>45176</v>
      </c>
      <c r="G597" t="s">
        <v>14</v>
      </c>
      <c r="H597" s="2">
        <v>18.25</v>
      </c>
      <c r="I597" s="2">
        <v>34.96</v>
      </c>
      <c r="J597" s="2">
        <v>36.159999999999997</v>
      </c>
      <c r="K597" s="2">
        <f t="shared" si="205"/>
        <v>308.10999999999996</v>
      </c>
      <c r="L597" s="2">
        <v>4.97</v>
      </c>
      <c r="M597" s="2">
        <v>0.03</v>
      </c>
      <c r="N597" s="6">
        <f t="shared" si="206"/>
        <v>5.9954901262557838</v>
      </c>
      <c r="O597" s="6">
        <f t="shared" si="207"/>
        <v>1.0241049168064245</v>
      </c>
      <c r="P597" s="6">
        <f t="shared" si="208"/>
        <v>97.144251269431962</v>
      </c>
      <c r="Q597" s="6">
        <f t="shared" si="209"/>
        <v>0.31669093523966607</v>
      </c>
      <c r="R597" s="10">
        <f t="shared" si="210"/>
        <v>3.166909352396661E-4</v>
      </c>
      <c r="S597" s="3">
        <f t="shared" si="211"/>
        <v>5.70043683431399E-3</v>
      </c>
      <c r="T597" s="4">
        <f t="shared" si="212"/>
        <v>5.7004368343139901E-6</v>
      </c>
      <c r="U597" s="3">
        <f t="shared" si="213"/>
        <v>2.0521572603530363E-2</v>
      </c>
      <c r="V597" s="2">
        <v>19.41</v>
      </c>
      <c r="W597" s="2">
        <v>3.48</v>
      </c>
      <c r="X597" s="2">
        <f t="shared" si="214"/>
        <v>34800</v>
      </c>
      <c r="Y597" s="5">
        <v>-0.52</v>
      </c>
      <c r="Z597" s="5">
        <v>-1.95</v>
      </c>
      <c r="AA597" s="2">
        <f t="shared" si="215"/>
        <v>1.43</v>
      </c>
      <c r="AB597" s="3">
        <f t="shared" si="216"/>
        <v>1.4350750072398857E-2</v>
      </c>
    </row>
    <row r="598" spans="1:28" x14ac:dyDescent="0.2">
      <c r="A598" t="s">
        <v>11</v>
      </c>
      <c r="B598">
        <v>1212</v>
      </c>
      <c r="C598">
        <v>4</v>
      </c>
      <c r="D598">
        <v>34</v>
      </c>
      <c r="E598" t="s">
        <v>7</v>
      </c>
      <c r="F598" s="1">
        <v>45175</v>
      </c>
      <c r="G598" t="s">
        <v>14</v>
      </c>
      <c r="H598" s="2">
        <v>22.11</v>
      </c>
      <c r="I598" s="2">
        <v>32.049999999999997</v>
      </c>
      <c r="J598" s="2">
        <v>30.11</v>
      </c>
      <c r="K598" s="2">
        <f t="shared" si="205"/>
        <v>305.2</v>
      </c>
      <c r="L598" s="2">
        <v>3.22</v>
      </c>
      <c r="M598" s="2">
        <v>7.0000000000000007E-2</v>
      </c>
      <c r="N598" s="6">
        <f t="shared" si="206"/>
        <v>4.2689278520197007</v>
      </c>
      <c r="O598" s="6">
        <f t="shared" si="207"/>
        <v>1.0541902630300373</v>
      </c>
      <c r="P598" s="6">
        <f t="shared" si="208"/>
        <v>97.10523071752894</v>
      </c>
      <c r="Q598" s="6">
        <f t="shared" si="209"/>
        <v>0.7561379453900493</v>
      </c>
      <c r="R598" s="10">
        <f t="shared" si="210"/>
        <v>7.5613794539004927E-4</v>
      </c>
      <c r="S598" s="3">
        <f t="shared" si="211"/>
        <v>1.3610483017020888E-2</v>
      </c>
      <c r="T598" s="4">
        <f t="shared" si="212"/>
        <v>1.3610483017020888E-5</v>
      </c>
      <c r="U598" s="3">
        <f t="shared" si="213"/>
        <v>4.8997738861275196E-2</v>
      </c>
      <c r="V598" s="2">
        <v>6.58</v>
      </c>
      <c r="W598" s="2">
        <v>1.1499999999999999</v>
      </c>
      <c r="X598" s="2">
        <f t="shared" si="214"/>
        <v>11500</v>
      </c>
      <c r="Y598" s="5">
        <v>-0.38</v>
      </c>
      <c r="Z598" s="5">
        <v>-1.82</v>
      </c>
      <c r="AA598" s="2">
        <f t="shared" si="215"/>
        <v>1.44</v>
      </c>
      <c r="AB598" s="3">
        <f t="shared" si="216"/>
        <v>3.4026207542552221E-2</v>
      </c>
    </row>
    <row r="599" spans="1:28" x14ac:dyDescent="0.2">
      <c r="A599" t="s">
        <v>11</v>
      </c>
      <c r="B599">
        <v>1212</v>
      </c>
      <c r="C599">
        <v>7</v>
      </c>
      <c r="D599">
        <v>36</v>
      </c>
      <c r="E599" t="s">
        <v>7</v>
      </c>
      <c r="F599" s="1">
        <v>45175</v>
      </c>
      <c r="G599" t="s">
        <v>14</v>
      </c>
      <c r="H599" s="2">
        <v>21</v>
      </c>
      <c r="I599" s="2">
        <v>32.25</v>
      </c>
      <c r="J599" s="2">
        <v>30.85</v>
      </c>
      <c r="K599" s="2">
        <f t="shared" si="205"/>
        <v>305.39999999999998</v>
      </c>
      <c r="L599" s="2">
        <v>3.44</v>
      </c>
      <c r="M599" s="2">
        <v>0.06</v>
      </c>
      <c r="N599" s="6">
        <f t="shared" si="206"/>
        <v>4.453621523549594</v>
      </c>
      <c r="O599" s="6">
        <f t="shared" si="207"/>
        <v>1.012652450375241</v>
      </c>
      <c r="P599" s="6">
        <f t="shared" si="208"/>
        <v>97.107935834078901</v>
      </c>
      <c r="Q599" s="6">
        <f t="shared" si="209"/>
        <v>0.62628549243276699</v>
      </c>
      <c r="R599" s="10">
        <f t="shared" si="210"/>
        <v>6.2628549243276695E-4</v>
      </c>
      <c r="S599" s="3">
        <f t="shared" si="211"/>
        <v>1.1273138863789806E-2</v>
      </c>
      <c r="T599" s="4">
        <f t="shared" si="212"/>
        <v>1.1273138863789806E-5</v>
      </c>
      <c r="U599" s="3">
        <f t="shared" si="213"/>
        <v>4.0583299909643301E-2</v>
      </c>
      <c r="V599" s="2">
        <v>8.77</v>
      </c>
      <c r="W599" s="2">
        <v>0.91</v>
      </c>
      <c r="X599" s="2">
        <f t="shared" si="214"/>
        <v>9100</v>
      </c>
      <c r="Y599" s="5">
        <v>-0.41</v>
      </c>
      <c r="Z599" s="5">
        <v>-2.19</v>
      </c>
      <c r="AA599" s="2">
        <f t="shared" si="215"/>
        <v>1.78</v>
      </c>
      <c r="AB599" s="3">
        <f t="shared" si="216"/>
        <v>2.2799606690810843E-2</v>
      </c>
    </row>
    <row r="600" spans="1:28" x14ac:dyDescent="0.2">
      <c r="A600" t="s">
        <v>11</v>
      </c>
      <c r="B600">
        <v>1212</v>
      </c>
      <c r="C600">
        <v>7</v>
      </c>
      <c r="D600">
        <v>37</v>
      </c>
      <c r="E600" t="s">
        <v>7</v>
      </c>
      <c r="F600" s="1">
        <v>45175</v>
      </c>
      <c r="G600" t="s">
        <v>14</v>
      </c>
      <c r="H600" s="2">
        <v>22.87</v>
      </c>
      <c r="I600" s="2">
        <v>31.8</v>
      </c>
      <c r="J600" s="2">
        <v>27.84</v>
      </c>
      <c r="K600" s="2">
        <f t="shared" si="205"/>
        <v>304.95</v>
      </c>
      <c r="L600" s="2">
        <v>2.67</v>
      </c>
      <c r="M600" s="2">
        <v>0.24</v>
      </c>
      <c r="N600" s="6">
        <f t="shared" si="206"/>
        <v>3.7433517073481672</v>
      </c>
      <c r="O600" s="6">
        <f t="shared" si="207"/>
        <v>1.0750971584497646</v>
      </c>
      <c r="P600" s="6">
        <f t="shared" si="208"/>
        <v>97.101844438291394</v>
      </c>
      <c r="Q600" s="6">
        <f t="shared" si="209"/>
        <v>2.6529301400373377</v>
      </c>
      <c r="R600" s="10">
        <f t="shared" si="210"/>
        <v>2.6529301400373376E-3</v>
      </c>
      <c r="S600" s="3">
        <f t="shared" si="211"/>
        <v>4.7752742520672076E-2</v>
      </c>
      <c r="T600" s="4">
        <f t="shared" si="212"/>
        <v>4.7752742520672077E-5</v>
      </c>
      <c r="U600" s="3">
        <f t="shared" si="213"/>
        <v>0.17190987307441949</v>
      </c>
      <c r="V600" s="2">
        <v>4.8499999999999996</v>
      </c>
      <c r="W600" s="2">
        <v>0.94</v>
      </c>
      <c r="X600" s="2">
        <f t="shared" si="214"/>
        <v>9400</v>
      </c>
      <c r="Y600" s="5">
        <v>-0.71</v>
      </c>
      <c r="Z600" s="5">
        <v>-2.1</v>
      </c>
      <c r="AA600" s="2">
        <f t="shared" si="215"/>
        <v>1.3900000000000001</v>
      </c>
      <c r="AB600" s="3">
        <f t="shared" si="216"/>
        <v>0.12367616767943847</v>
      </c>
    </row>
    <row r="601" spans="1:28" x14ac:dyDescent="0.2">
      <c r="A601" t="s">
        <v>11</v>
      </c>
      <c r="B601">
        <v>1212</v>
      </c>
      <c r="C601">
        <v>7</v>
      </c>
      <c r="D601">
        <v>83</v>
      </c>
      <c r="E601" t="s">
        <v>7</v>
      </c>
      <c r="F601" s="1">
        <v>45175</v>
      </c>
      <c r="G601" t="s">
        <v>14</v>
      </c>
      <c r="H601" s="2">
        <v>24.34</v>
      </c>
      <c r="I601" s="2">
        <v>30.68</v>
      </c>
      <c r="J601" s="2">
        <v>29.5</v>
      </c>
      <c r="K601" s="2">
        <f t="shared" si="205"/>
        <v>303.83</v>
      </c>
      <c r="L601" s="2">
        <v>3.05</v>
      </c>
      <c r="M601" s="2">
        <v>0.14000000000000001</v>
      </c>
      <c r="N601" s="6">
        <f t="shared" si="206"/>
        <v>4.1217353617948591</v>
      </c>
      <c r="O601" s="6">
        <f t="shared" si="207"/>
        <v>1.0735369233686991</v>
      </c>
      <c r="P601" s="6">
        <f t="shared" si="208"/>
        <v>97.086606963247092</v>
      </c>
      <c r="Q601" s="6">
        <f t="shared" si="209"/>
        <v>1.5454546754124414</v>
      </c>
      <c r="R601" s="10">
        <f t="shared" si="210"/>
        <v>1.5454546754124414E-3</v>
      </c>
      <c r="S601" s="3">
        <f t="shared" si="211"/>
        <v>2.7818184157423945E-2</v>
      </c>
      <c r="T601" s="4">
        <f t="shared" si="212"/>
        <v>2.7818184157423943E-5</v>
      </c>
      <c r="U601" s="3">
        <f t="shared" si="213"/>
        <v>0.10014546296672619</v>
      </c>
      <c r="V601" s="2">
        <v>11.85</v>
      </c>
      <c r="W601" s="2">
        <v>1.4</v>
      </c>
      <c r="X601" s="2">
        <f t="shared" si="214"/>
        <v>14000</v>
      </c>
      <c r="Y601" s="5">
        <v>-1.08</v>
      </c>
      <c r="Z601" s="5">
        <v>-2.33</v>
      </c>
      <c r="AA601" s="2">
        <f t="shared" si="215"/>
        <v>1.25</v>
      </c>
      <c r="AB601" s="3">
        <f t="shared" si="216"/>
        <v>8.0116370373380957E-2</v>
      </c>
    </row>
    <row r="602" spans="1:28" x14ac:dyDescent="0.2">
      <c r="A602" t="s">
        <v>11</v>
      </c>
      <c r="B602">
        <v>1212</v>
      </c>
      <c r="C602">
        <v>8</v>
      </c>
      <c r="D602">
        <v>38</v>
      </c>
      <c r="E602" t="s">
        <v>7</v>
      </c>
      <c r="F602" s="1">
        <v>45175</v>
      </c>
      <c r="G602" t="s">
        <v>14</v>
      </c>
      <c r="H602" s="2">
        <v>23.76</v>
      </c>
      <c r="I602" s="2">
        <v>29.99</v>
      </c>
      <c r="J602" s="2">
        <v>27.8</v>
      </c>
      <c r="K602" s="2">
        <f t="shared" si="205"/>
        <v>303.14</v>
      </c>
      <c r="L602" s="2">
        <v>2.73</v>
      </c>
      <c r="M602" s="2">
        <v>0.13</v>
      </c>
      <c r="N602" s="6">
        <f t="shared" si="206"/>
        <v>3.7346212271372554</v>
      </c>
      <c r="O602" s="6">
        <f t="shared" si="207"/>
        <v>1.0073326096030468</v>
      </c>
      <c r="P602" s="6">
        <f t="shared" si="208"/>
        <v>97.077164739906721</v>
      </c>
      <c r="Q602" s="6">
        <f t="shared" si="209"/>
        <v>1.3453293560617923</v>
      </c>
      <c r="R602" s="10">
        <f t="shared" si="210"/>
        <v>1.3453293560617922E-3</v>
      </c>
      <c r="S602" s="3">
        <f t="shared" si="211"/>
        <v>2.4215928409112259E-2</v>
      </c>
      <c r="T602" s="4">
        <f t="shared" si="212"/>
        <v>2.4215928409112258E-5</v>
      </c>
      <c r="U602" s="3">
        <f t="shared" si="213"/>
        <v>8.7177342272804131E-2</v>
      </c>
      <c r="V602" s="2">
        <v>26.5</v>
      </c>
      <c r="W602" s="2">
        <v>3.13</v>
      </c>
      <c r="X602" s="2">
        <f t="shared" si="214"/>
        <v>31300</v>
      </c>
      <c r="Y602" s="5">
        <v>-1.28</v>
      </c>
      <c r="Z602" s="5">
        <v>-2.13</v>
      </c>
      <c r="AA602" s="2">
        <f t="shared" si="215"/>
        <v>0.84999999999999987</v>
      </c>
      <c r="AB602" s="3">
        <f t="shared" si="216"/>
        <v>0.10256157914447546</v>
      </c>
    </row>
    <row r="603" spans="1:28" x14ac:dyDescent="0.2">
      <c r="A603" t="s">
        <v>11</v>
      </c>
      <c r="B603">
        <v>1212</v>
      </c>
      <c r="C603">
        <v>8</v>
      </c>
      <c r="D603">
        <v>39</v>
      </c>
      <c r="E603" t="s">
        <v>7</v>
      </c>
      <c r="F603" s="1">
        <v>45176</v>
      </c>
      <c r="G603" t="s">
        <v>14</v>
      </c>
      <c r="H603" s="2">
        <v>17.5</v>
      </c>
      <c r="I603" s="2">
        <v>36.47</v>
      </c>
      <c r="J603" s="2">
        <v>34.340000000000003</v>
      </c>
      <c r="K603" s="2">
        <f t="shared" si="205"/>
        <v>309.62</v>
      </c>
      <c r="L603" s="2">
        <v>4.3600000000000003</v>
      </c>
      <c r="M603" s="2">
        <v>0.11</v>
      </c>
      <c r="N603" s="6">
        <f t="shared" si="206"/>
        <v>5.4216665359672733</v>
      </c>
      <c r="O603" s="6">
        <f t="shared" si="207"/>
        <v>1.0672044586786549</v>
      </c>
      <c r="P603" s="6">
        <f t="shared" si="208"/>
        <v>97.164216059603291</v>
      </c>
      <c r="Q603" s="6">
        <f t="shared" si="209"/>
        <v>1.2019169576252415</v>
      </c>
      <c r="R603" s="10">
        <f t="shared" si="210"/>
        <v>1.2019169576252416E-3</v>
      </c>
      <c r="S603" s="3">
        <f t="shared" si="211"/>
        <v>2.163450523725435E-2</v>
      </c>
      <c r="T603" s="4">
        <f t="shared" si="212"/>
        <v>2.163450523725435E-5</v>
      </c>
      <c r="U603" s="3">
        <f t="shared" si="213"/>
        <v>7.7884218854115658E-2</v>
      </c>
      <c r="V603" s="2">
        <v>11.76</v>
      </c>
      <c r="W603" s="2">
        <v>2.09</v>
      </c>
      <c r="X603" s="2">
        <f t="shared" si="214"/>
        <v>20900</v>
      </c>
      <c r="Y603" s="5">
        <v>-0.6</v>
      </c>
      <c r="Z603" s="5">
        <v>-1.94</v>
      </c>
      <c r="AA603" s="2">
        <f t="shared" si="215"/>
        <v>1.3399999999999999</v>
      </c>
      <c r="AB603" s="3">
        <f t="shared" si="216"/>
        <v>5.8122551383668411E-2</v>
      </c>
    </row>
    <row r="604" spans="1:28" x14ac:dyDescent="0.2">
      <c r="A604" t="s">
        <v>11</v>
      </c>
      <c r="B604">
        <v>1212</v>
      </c>
      <c r="C604">
        <v>8</v>
      </c>
      <c r="D604">
        <v>40</v>
      </c>
      <c r="E604" t="s">
        <v>7</v>
      </c>
      <c r="F604" s="1">
        <v>45176</v>
      </c>
      <c r="G604" t="s">
        <v>14</v>
      </c>
      <c r="H604" s="2">
        <v>21.68</v>
      </c>
      <c r="I604" s="2">
        <v>32.33</v>
      </c>
      <c r="J604" s="2">
        <v>32.270000000000003</v>
      </c>
      <c r="K604" s="2">
        <f t="shared" si="205"/>
        <v>305.47999999999996</v>
      </c>
      <c r="L604" s="2">
        <v>3.78</v>
      </c>
      <c r="M604" s="2">
        <v>7.0000000000000007E-2</v>
      </c>
      <c r="N604" s="6">
        <f t="shared" si="206"/>
        <v>4.8276059548582806</v>
      </c>
      <c r="O604" s="6">
        <f t="shared" si="207"/>
        <v>1.0501775612701101</v>
      </c>
      <c r="P604" s="6">
        <f t="shared" si="208"/>
        <v>97.109016909980724</v>
      </c>
      <c r="Q604" s="6">
        <f t="shared" si="209"/>
        <v>0.7551555887756356</v>
      </c>
      <c r="R604" s="10">
        <f t="shared" si="210"/>
        <v>7.5515558877563564E-4</v>
      </c>
      <c r="S604" s="3">
        <f t="shared" si="211"/>
        <v>1.3592800597961441E-2</v>
      </c>
      <c r="T604" s="4">
        <f t="shared" si="212"/>
        <v>1.3592800597961442E-5</v>
      </c>
      <c r="U604" s="3">
        <f t="shared" si="213"/>
        <v>4.8934082152661193E-2</v>
      </c>
      <c r="V604" s="2">
        <v>3.51</v>
      </c>
      <c r="W604" s="2">
        <v>0.74</v>
      </c>
      <c r="X604" s="2">
        <f t="shared" si="214"/>
        <v>7400</v>
      </c>
      <c r="Y604" s="5">
        <v>-0.39</v>
      </c>
      <c r="Z604" s="5">
        <v>-1.94</v>
      </c>
      <c r="AA604" s="2">
        <f t="shared" si="215"/>
        <v>1.5499999999999998</v>
      </c>
      <c r="AB604" s="3">
        <f t="shared" si="216"/>
        <v>3.1570375582362066E-2</v>
      </c>
    </row>
    <row r="605" spans="1:28" x14ac:dyDescent="0.2">
      <c r="A605" t="s">
        <v>11</v>
      </c>
      <c r="B605">
        <v>1212</v>
      </c>
      <c r="C605">
        <v>10</v>
      </c>
      <c r="D605">
        <v>21</v>
      </c>
      <c r="E605" t="s">
        <v>7</v>
      </c>
      <c r="F605" s="1">
        <v>45175</v>
      </c>
      <c r="G605" t="s">
        <v>14</v>
      </c>
      <c r="H605" s="2">
        <v>23.88</v>
      </c>
      <c r="I605" s="2">
        <v>31.72</v>
      </c>
      <c r="J605" s="2">
        <v>30.03</v>
      </c>
      <c r="K605" s="2">
        <f t="shared" si="205"/>
        <v>304.87</v>
      </c>
      <c r="L605" s="2">
        <v>3.14</v>
      </c>
      <c r="M605" s="2">
        <v>0.19</v>
      </c>
      <c r="N605" s="6">
        <f t="shared" si="206"/>
        <v>4.24936663967536</v>
      </c>
      <c r="O605" s="6">
        <f t="shared" si="207"/>
        <v>1.1174958114101241</v>
      </c>
      <c r="P605" s="6">
        <f t="shared" si="208"/>
        <v>97.100759680979422</v>
      </c>
      <c r="Q605" s="6">
        <f t="shared" si="209"/>
        <v>2.1707313334192886</v>
      </c>
      <c r="R605" s="10">
        <f t="shared" si="210"/>
        <v>2.1707313334192887E-3</v>
      </c>
      <c r="S605" s="3">
        <f t="shared" si="211"/>
        <v>3.9073164001547193E-2</v>
      </c>
      <c r="T605" s="4">
        <f t="shared" si="212"/>
        <v>3.9073164001547196E-5</v>
      </c>
      <c r="U605" s="3">
        <f t="shared" si="213"/>
        <v>0.14066339040556991</v>
      </c>
      <c r="V605" s="2">
        <v>7.09</v>
      </c>
      <c r="W605" s="2">
        <v>1.0900000000000001</v>
      </c>
      <c r="X605" s="2">
        <f t="shared" si="214"/>
        <v>10900</v>
      </c>
      <c r="Y605" s="5">
        <v>-0.59</v>
      </c>
      <c r="Z605" s="5">
        <v>-2.3199999999999998</v>
      </c>
      <c r="AA605" s="2">
        <f t="shared" si="215"/>
        <v>1.73</v>
      </c>
      <c r="AB605" s="3">
        <f t="shared" si="216"/>
        <v>8.1308318153508613E-2</v>
      </c>
    </row>
    <row r="606" spans="1:28" x14ac:dyDescent="0.2">
      <c r="A606" t="s">
        <v>11</v>
      </c>
      <c r="B606">
        <v>1212</v>
      </c>
      <c r="C606">
        <v>10</v>
      </c>
      <c r="D606">
        <v>41</v>
      </c>
      <c r="E606" t="s">
        <v>7</v>
      </c>
      <c r="F606" s="1">
        <v>45176</v>
      </c>
      <c r="G606" t="s">
        <v>14</v>
      </c>
      <c r="H606" s="2">
        <v>19.29</v>
      </c>
      <c r="I606" s="2">
        <v>33.76</v>
      </c>
      <c r="J606" s="2">
        <v>32.65</v>
      </c>
      <c r="K606" s="2">
        <f t="shared" si="205"/>
        <v>306.90999999999997</v>
      </c>
      <c r="L606" s="2">
        <v>3.92</v>
      </c>
      <c r="M606" s="2">
        <v>7.0000000000000007E-2</v>
      </c>
      <c r="N606" s="6">
        <f t="shared" si="206"/>
        <v>4.9322072396159182</v>
      </c>
      <c r="O606" s="6">
        <f t="shared" si="207"/>
        <v>1.0125572904128357</v>
      </c>
      <c r="P606" s="6">
        <f t="shared" si="208"/>
        <v>97.1282480773543</v>
      </c>
      <c r="Q606" s="6">
        <f t="shared" si="209"/>
        <v>0.72949433533162023</v>
      </c>
      <c r="R606" s="10">
        <f t="shared" si="210"/>
        <v>7.2949433533162024E-4</v>
      </c>
      <c r="S606" s="3">
        <f t="shared" si="211"/>
        <v>1.3130898035969164E-2</v>
      </c>
      <c r="T606" s="4">
        <f t="shared" si="212"/>
        <v>1.3130898035969164E-5</v>
      </c>
      <c r="U606" s="3">
        <f t="shared" si="213"/>
        <v>4.7271232929488989E-2</v>
      </c>
      <c r="V606" s="2">
        <v>19.809999999999999</v>
      </c>
      <c r="W606" s="2">
        <v>2.92</v>
      </c>
      <c r="X606" s="2">
        <f t="shared" si="214"/>
        <v>29200</v>
      </c>
      <c r="Y606" s="5">
        <v>-0.42</v>
      </c>
      <c r="Z606" s="5">
        <v>-2.31</v>
      </c>
      <c r="AA606" s="2">
        <f t="shared" si="215"/>
        <v>1.8900000000000001</v>
      </c>
      <c r="AB606" s="3">
        <f t="shared" si="216"/>
        <v>2.5011234354226978E-2</v>
      </c>
    </row>
    <row r="607" spans="1:28" x14ac:dyDescent="0.2">
      <c r="A607" t="s">
        <v>11</v>
      </c>
      <c r="B607">
        <v>1212</v>
      </c>
      <c r="C607">
        <v>10</v>
      </c>
      <c r="D607">
        <v>42</v>
      </c>
      <c r="E607" t="s">
        <v>7</v>
      </c>
      <c r="F607" s="1">
        <v>45176</v>
      </c>
      <c r="G607" t="s">
        <v>14</v>
      </c>
      <c r="H607" s="2">
        <v>21.86</v>
      </c>
      <c r="I607" s="2">
        <v>32.61</v>
      </c>
      <c r="J607" s="2">
        <v>30.69</v>
      </c>
      <c r="K607" s="2">
        <f t="shared" si="205"/>
        <v>305.76</v>
      </c>
      <c r="L607" s="2">
        <v>3.34</v>
      </c>
      <c r="M607" s="2">
        <v>0.21</v>
      </c>
      <c r="N607" s="6">
        <f t="shared" si="206"/>
        <v>4.4131085607192686</v>
      </c>
      <c r="O607" s="6">
        <f t="shared" si="207"/>
        <v>1.0757534417254206</v>
      </c>
      <c r="P607" s="6">
        <f t="shared" si="208"/>
        <v>97.112796315234732</v>
      </c>
      <c r="Q607" s="6">
        <f t="shared" si="209"/>
        <v>2.3205262983009565</v>
      </c>
      <c r="R607" s="10">
        <f t="shared" si="210"/>
        <v>2.3205262983009563E-3</v>
      </c>
      <c r="S607" s="3">
        <f t="shared" si="211"/>
        <v>4.1769473369417214E-2</v>
      </c>
      <c r="T607" s="4">
        <f t="shared" si="212"/>
        <v>4.1769473369417211E-5</v>
      </c>
      <c r="U607" s="3">
        <f t="shared" si="213"/>
        <v>0.15037010412990195</v>
      </c>
      <c r="V607" s="2">
        <v>2.74</v>
      </c>
      <c r="W607" s="2">
        <v>0.32</v>
      </c>
      <c r="X607" s="2">
        <f t="shared" si="214"/>
        <v>3200</v>
      </c>
      <c r="Y607" s="5">
        <v>-0.3</v>
      </c>
      <c r="Z607" s="5">
        <v>-1.82</v>
      </c>
      <c r="AA607" s="2">
        <f t="shared" si="215"/>
        <v>1.52</v>
      </c>
      <c r="AB607" s="3">
        <f t="shared" si="216"/>
        <v>9.8927700085461812E-2</v>
      </c>
    </row>
    <row r="608" spans="1:28" x14ac:dyDescent="0.2">
      <c r="A608" t="s">
        <v>6</v>
      </c>
      <c r="B608">
        <v>72</v>
      </c>
      <c r="C608">
        <v>156</v>
      </c>
      <c r="D608">
        <v>43</v>
      </c>
      <c r="E608" t="s">
        <v>12</v>
      </c>
      <c r="F608" s="1">
        <v>45178</v>
      </c>
      <c r="G608" t="s">
        <v>14</v>
      </c>
      <c r="H608" s="2">
        <v>10.19</v>
      </c>
      <c r="I608" s="2">
        <v>45.6</v>
      </c>
      <c r="J608" s="2">
        <v>41.32</v>
      </c>
      <c r="K608" s="2">
        <f t="shared" si="205"/>
        <v>318.75</v>
      </c>
      <c r="L608" s="2">
        <v>6.91</v>
      </c>
      <c r="M608" s="2">
        <v>7.0000000000000007E-2</v>
      </c>
      <c r="N608" s="6">
        <f t="shared" si="206"/>
        <v>7.9183639116566491</v>
      </c>
      <c r="O608" s="6">
        <f t="shared" si="207"/>
        <v>1.0085932435075557</v>
      </c>
      <c r="P608" s="6">
        <f t="shared" si="208"/>
        <v>97.280982926851408</v>
      </c>
      <c r="Q608" s="6">
        <f t="shared" si="209"/>
        <v>0.7255834767730589</v>
      </c>
      <c r="R608" s="10">
        <f t="shared" si="210"/>
        <v>7.2558347677305888E-4</v>
      </c>
      <c r="S608" s="3">
        <f t="shared" si="211"/>
        <v>1.3060502581915059E-2</v>
      </c>
      <c r="T608" s="4">
        <f t="shared" si="212"/>
        <v>1.3060502581915059E-5</v>
      </c>
      <c r="U608" s="3">
        <f t="shared" si="213"/>
        <v>4.7017809294894214E-2</v>
      </c>
      <c r="V608" s="2">
        <v>17.37</v>
      </c>
      <c r="W608" s="2">
        <v>2.1</v>
      </c>
      <c r="X608" s="2">
        <f t="shared" si="214"/>
        <v>21000</v>
      </c>
      <c r="Y608" s="5">
        <v>-0.69</v>
      </c>
      <c r="Z608" s="5">
        <v>-2.5099999999999998</v>
      </c>
      <c r="AA608" s="2">
        <f t="shared" si="215"/>
        <v>1.8199999999999998</v>
      </c>
      <c r="AB608" s="3">
        <f t="shared" si="216"/>
        <v>2.583396115104078E-2</v>
      </c>
    </row>
    <row r="609" spans="1:28" x14ac:dyDescent="0.2">
      <c r="A609" t="s">
        <v>6</v>
      </c>
      <c r="B609">
        <v>72</v>
      </c>
      <c r="C609">
        <v>156</v>
      </c>
      <c r="D609">
        <v>44</v>
      </c>
      <c r="E609" t="s">
        <v>12</v>
      </c>
      <c r="F609" s="1">
        <v>45178</v>
      </c>
      <c r="G609" t="s">
        <v>14</v>
      </c>
      <c r="H609" s="2">
        <v>10.51</v>
      </c>
      <c r="I609" s="2">
        <v>45.5</v>
      </c>
      <c r="J609" s="2">
        <v>44.46</v>
      </c>
      <c r="K609" s="2">
        <f t="shared" si="205"/>
        <v>318.64999999999998</v>
      </c>
      <c r="L609" s="2">
        <v>8.2899999999999991</v>
      </c>
      <c r="M609" s="2">
        <v>0.04</v>
      </c>
      <c r="N609" s="6">
        <f t="shared" si="206"/>
        <v>9.3328503129438189</v>
      </c>
      <c r="O609" s="6">
        <f t="shared" si="207"/>
        <v>1.0349359079548397</v>
      </c>
      <c r="P609" s="6">
        <f t="shared" si="208"/>
        <v>97.27973949515895</v>
      </c>
      <c r="Q609" s="6">
        <f t="shared" si="209"/>
        <v>0.42880473091551252</v>
      </c>
      <c r="R609" s="10">
        <f t="shared" si="210"/>
        <v>4.2880473091551255E-4</v>
      </c>
      <c r="S609" s="3">
        <f t="shared" si="211"/>
        <v>7.718485156479226E-3</v>
      </c>
      <c r="T609" s="4">
        <f t="shared" si="212"/>
        <v>7.7184851564792265E-6</v>
      </c>
      <c r="U609" s="3">
        <f t="shared" si="213"/>
        <v>2.7786546563325215E-2</v>
      </c>
      <c r="V609" s="2">
        <v>12.19</v>
      </c>
      <c r="W609" s="2">
        <v>2.64</v>
      </c>
      <c r="X609" s="2">
        <f t="shared" si="214"/>
        <v>26400</v>
      </c>
      <c r="Y609" s="5">
        <v>-0.28999999999999998</v>
      </c>
      <c r="Z609" s="5">
        <v>-2.0099999999999998</v>
      </c>
      <c r="AA609" s="2">
        <f t="shared" si="215"/>
        <v>1.7199999999999998</v>
      </c>
      <c r="AB609" s="3">
        <f t="shared" si="216"/>
        <v>1.6154968932165826E-2</v>
      </c>
    </row>
    <row r="610" spans="1:28" x14ac:dyDescent="0.2">
      <c r="A610" t="s">
        <v>6</v>
      </c>
      <c r="B610">
        <v>72</v>
      </c>
      <c r="C610">
        <v>156</v>
      </c>
      <c r="D610">
        <v>45</v>
      </c>
      <c r="E610" t="s">
        <v>12</v>
      </c>
      <c r="F610" s="1">
        <v>45178</v>
      </c>
      <c r="G610" t="s">
        <v>14</v>
      </c>
      <c r="H610" s="2">
        <v>10.47</v>
      </c>
      <c r="I610" s="2">
        <v>46.79</v>
      </c>
      <c r="J610" s="2">
        <v>43.73</v>
      </c>
      <c r="K610" s="2">
        <f t="shared" si="205"/>
        <v>319.94</v>
      </c>
      <c r="L610" s="2">
        <v>7.9</v>
      </c>
      <c r="M610" s="2">
        <v>0.05</v>
      </c>
      <c r="N610" s="6">
        <f t="shared" si="206"/>
        <v>8.985874085100459</v>
      </c>
      <c r="O610" s="6">
        <f t="shared" si="207"/>
        <v>1.1013363907635889</v>
      </c>
      <c r="P610" s="6">
        <f t="shared" si="208"/>
        <v>97.295721313584707</v>
      </c>
      <c r="Q610" s="6">
        <f t="shared" si="209"/>
        <v>0.55802766578022478</v>
      </c>
      <c r="R610" s="10">
        <f t="shared" si="210"/>
        <v>5.5802766578022479E-4</v>
      </c>
      <c r="S610" s="3">
        <f t="shared" si="211"/>
        <v>1.0044497984044047E-2</v>
      </c>
      <c r="T610" s="4">
        <f t="shared" si="212"/>
        <v>1.0044497984044047E-5</v>
      </c>
      <c r="U610" s="3">
        <f t="shared" si="213"/>
        <v>3.6160192742558571E-2</v>
      </c>
      <c r="V610" s="2">
        <v>9.84</v>
      </c>
      <c r="W610" s="2">
        <v>1.55</v>
      </c>
      <c r="X610" s="2">
        <f t="shared" si="214"/>
        <v>15500</v>
      </c>
      <c r="Y610" s="5">
        <v>-0.34</v>
      </c>
      <c r="Z610" s="5">
        <v>-1.78</v>
      </c>
      <c r="AA610" s="2">
        <f t="shared" si="215"/>
        <v>1.44</v>
      </c>
      <c r="AB610" s="3">
        <f t="shared" si="216"/>
        <v>2.5111244960110121E-2</v>
      </c>
    </row>
    <row r="611" spans="1:28" x14ac:dyDescent="0.2">
      <c r="A611" t="s">
        <v>6</v>
      </c>
      <c r="B611">
        <v>72</v>
      </c>
      <c r="C611">
        <v>149</v>
      </c>
      <c r="D611">
        <v>46</v>
      </c>
      <c r="E611" t="s">
        <v>12</v>
      </c>
      <c r="F611" s="1">
        <v>45178</v>
      </c>
      <c r="G611" t="s">
        <v>14</v>
      </c>
      <c r="H611" s="2">
        <v>9.83</v>
      </c>
      <c r="I611" s="2">
        <v>45.7</v>
      </c>
      <c r="J611" s="2">
        <v>42.41</v>
      </c>
      <c r="K611" s="2">
        <f t="shared" si="205"/>
        <v>318.84999999999997</v>
      </c>
      <c r="L611" s="2">
        <v>7.41</v>
      </c>
      <c r="M611" s="2">
        <v>0.06</v>
      </c>
      <c r="N611" s="6">
        <f t="shared" si="206"/>
        <v>8.3867309304265287</v>
      </c>
      <c r="O611" s="6">
        <f t="shared" si="207"/>
        <v>0.97796871696974119</v>
      </c>
      <c r="P611" s="6">
        <f t="shared" si="208"/>
        <v>97.282225594474738</v>
      </c>
      <c r="Q611" s="6">
        <f t="shared" si="209"/>
        <v>0.60241072269341867</v>
      </c>
      <c r="R611" s="10">
        <f t="shared" si="210"/>
        <v>6.0241072269341862E-4</v>
      </c>
      <c r="S611" s="3">
        <f t="shared" si="211"/>
        <v>1.0843393008481535E-2</v>
      </c>
      <c r="T611" s="4">
        <f t="shared" si="212"/>
        <v>1.0843393008481535E-5</v>
      </c>
      <c r="U611" s="3">
        <f t="shared" si="213"/>
        <v>3.9036214830533524E-2</v>
      </c>
      <c r="V611" s="2">
        <v>11.24</v>
      </c>
      <c r="W611" s="2">
        <v>1.25</v>
      </c>
      <c r="X611" s="2">
        <f t="shared" si="214"/>
        <v>12500</v>
      </c>
      <c r="Y611" s="5">
        <v>-0.44</v>
      </c>
      <c r="Z611" s="5">
        <v>-1.92</v>
      </c>
      <c r="AA611" s="2">
        <f t="shared" si="215"/>
        <v>1.48</v>
      </c>
      <c r="AB611" s="3">
        <f t="shared" si="216"/>
        <v>2.637582083144157E-2</v>
      </c>
    </row>
    <row r="612" spans="1:28" x14ac:dyDescent="0.2">
      <c r="A612" t="s">
        <v>6</v>
      </c>
      <c r="B612">
        <v>72</v>
      </c>
      <c r="C612">
        <v>149</v>
      </c>
      <c r="D612">
        <v>47</v>
      </c>
      <c r="E612" t="s">
        <v>12</v>
      </c>
      <c r="F612" s="1">
        <v>45178</v>
      </c>
      <c r="G612" t="s">
        <v>14</v>
      </c>
      <c r="H612" s="2">
        <v>9.8000000000000007</v>
      </c>
      <c r="I612" s="2">
        <v>46.7</v>
      </c>
      <c r="J612" s="2">
        <v>43.26</v>
      </c>
      <c r="K612" s="2">
        <f t="shared" si="205"/>
        <v>319.84999999999997</v>
      </c>
      <c r="L612" s="2">
        <v>7.74</v>
      </c>
      <c r="M612" s="2">
        <v>0.05</v>
      </c>
      <c r="N612" s="6">
        <f t="shared" ref="N612:N643" si="217">0.611*EXP((17.502*J612)/(240.97+J612))</f>
        <v>8.7684322371122079</v>
      </c>
      <c r="O612" s="6">
        <f t="shared" ref="O612:O643" si="218">(0.611*EXP((17.502*I612)/(240.97+I612)))*(H612/100)</f>
        <v>1.0261432937651789</v>
      </c>
      <c r="P612" s="6">
        <f t="shared" ref="P612:P643" si="219">101.325*EXP(-380/(29.27*K612))</f>
        <v>97.294610401347271</v>
      </c>
      <c r="Q612" s="6">
        <f t="shared" si="209"/>
        <v>0.52851449472373169</v>
      </c>
      <c r="R612" s="10">
        <f t="shared" si="210"/>
        <v>5.2851449472373171E-4</v>
      </c>
      <c r="S612" s="3">
        <f t="shared" ref="S612:S643" si="220">R612*18</f>
        <v>9.5132609050271703E-3</v>
      </c>
      <c r="T612" s="4">
        <f t="shared" ref="T612:T643" si="221">S612/1000</f>
        <v>9.5132609050271703E-6</v>
      </c>
      <c r="U612" s="3">
        <f t="shared" ref="U612:U643" si="222">T612*3600</f>
        <v>3.4247739258097813E-2</v>
      </c>
      <c r="V612" s="2">
        <v>20.43</v>
      </c>
      <c r="W612" s="2">
        <v>2.5299999999999998</v>
      </c>
      <c r="X612" s="2">
        <f t="shared" ref="X612:X643" si="223">W612*10000</f>
        <v>25299.999999999996</v>
      </c>
      <c r="Y612" s="5">
        <v>-0.28000000000000003</v>
      </c>
      <c r="Z612" s="5">
        <v>-2.39</v>
      </c>
      <c r="AA612" s="2">
        <f t="shared" ref="AA612:AA643" si="224">Y612-Z612</f>
        <v>2.1100000000000003</v>
      </c>
      <c r="AB612" s="3">
        <f t="shared" ref="AB612:AB643" si="225">U612/AA612</f>
        <v>1.6231156046491852E-2</v>
      </c>
    </row>
    <row r="613" spans="1:28" x14ac:dyDescent="0.2">
      <c r="A613" t="s">
        <v>6</v>
      </c>
      <c r="B613">
        <v>72</v>
      </c>
      <c r="C613">
        <v>149</v>
      </c>
      <c r="D613">
        <v>48</v>
      </c>
      <c r="E613" t="s">
        <v>12</v>
      </c>
      <c r="F613" s="1">
        <v>45178</v>
      </c>
      <c r="G613" t="s">
        <v>14</v>
      </c>
      <c r="H613" s="2">
        <v>10.16</v>
      </c>
      <c r="I613" s="2">
        <v>46.14</v>
      </c>
      <c r="J613" s="2">
        <v>43.76</v>
      </c>
      <c r="K613" s="2">
        <f t="shared" si="205"/>
        <v>319.28999999999996</v>
      </c>
      <c r="L613" s="2">
        <v>7.97</v>
      </c>
      <c r="M613" s="2">
        <v>0.03</v>
      </c>
      <c r="N613" s="6">
        <f t="shared" si="217"/>
        <v>8.9999103163904515</v>
      </c>
      <c r="O613" s="6">
        <f t="shared" si="218"/>
        <v>1.0338483287300186</v>
      </c>
      <c r="P613" s="6">
        <f t="shared" si="219"/>
        <v>97.287684272698371</v>
      </c>
      <c r="Q613" s="6">
        <f t="shared" si="209"/>
        <v>0.31758705865696296</v>
      </c>
      <c r="R613" s="10">
        <f t="shared" si="210"/>
        <v>3.1758705865696295E-4</v>
      </c>
      <c r="S613" s="3">
        <f t="shared" si="220"/>
        <v>5.7165670558253327E-3</v>
      </c>
      <c r="T613" s="4">
        <f t="shared" si="221"/>
        <v>5.7165670558253329E-6</v>
      </c>
      <c r="U613" s="3">
        <f t="shared" si="222"/>
        <v>2.05796414009712E-2</v>
      </c>
      <c r="V613" s="2">
        <v>21.78</v>
      </c>
      <c r="W613" s="2">
        <v>2.31</v>
      </c>
      <c r="X613" s="2">
        <f t="shared" si="223"/>
        <v>23100</v>
      </c>
      <c r="Y613" s="5">
        <v>-0.32</v>
      </c>
      <c r="Z613" s="5">
        <v>-2.5499999999999998</v>
      </c>
      <c r="AA613" s="2">
        <f t="shared" si="224"/>
        <v>2.23</v>
      </c>
      <c r="AB613" s="3">
        <f t="shared" si="225"/>
        <v>9.2285387448301347E-3</v>
      </c>
    </row>
    <row r="614" spans="1:28" x14ac:dyDescent="0.2">
      <c r="A614" t="s">
        <v>6</v>
      </c>
      <c r="B614">
        <v>72</v>
      </c>
      <c r="C614">
        <v>152</v>
      </c>
      <c r="D614">
        <v>49</v>
      </c>
      <c r="E614" t="s">
        <v>12</v>
      </c>
      <c r="F614" s="1">
        <v>45178</v>
      </c>
      <c r="G614" t="s">
        <v>14</v>
      </c>
      <c r="H614" s="2">
        <v>11.38</v>
      </c>
      <c r="I614" s="2">
        <v>45.48</v>
      </c>
      <c r="J614" s="2">
        <v>38.1</v>
      </c>
      <c r="K614" s="2">
        <f t="shared" si="205"/>
        <v>318.63</v>
      </c>
      <c r="L614" s="2">
        <v>5.56</v>
      </c>
      <c r="M614" s="2">
        <v>0.19</v>
      </c>
      <c r="N614" s="6">
        <f t="shared" si="217"/>
        <v>6.6645353680092514</v>
      </c>
      <c r="O614" s="6">
        <f t="shared" si="218"/>
        <v>1.1194548655607153</v>
      </c>
      <c r="P614" s="6">
        <f t="shared" si="219"/>
        <v>97.279490717070161</v>
      </c>
      <c r="Q614" s="6">
        <f t="shared" si="209"/>
        <v>2.1573069346356299</v>
      </c>
      <c r="R614" s="10">
        <f t="shared" si="210"/>
        <v>2.1573069346356301E-3</v>
      </c>
      <c r="S614" s="3">
        <f t="shared" si="220"/>
        <v>3.8831524823441342E-2</v>
      </c>
      <c r="T614" s="4">
        <f t="shared" si="221"/>
        <v>3.883152482344134E-5</v>
      </c>
      <c r="U614" s="3">
        <f t="shared" si="222"/>
        <v>0.13979348936438882</v>
      </c>
      <c r="V614" s="2">
        <v>27.89</v>
      </c>
      <c r="W614" s="2">
        <v>2.35</v>
      </c>
      <c r="X614" s="2">
        <f t="shared" si="223"/>
        <v>23500</v>
      </c>
      <c r="Y614" s="5">
        <v>-0.62</v>
      </c>
      <c r="Z614" s="5">
        <v>-2.54</v>
      </c>
      <c r="AA614" s="2">
        <f t="shared" si="224"/>
        <v>1.92</v>
      </c>
      <c r="AB614" s="3">
        <f t="shared" si="225"/>
        <v>7.2809109043952505E-2</v>
      </c>
    </row>
    <row r="615" spans="1:28" x14ac:dyDescent="0.2">
      <c r="A615" t="s">
        <v>6</v>
      </c>
      <c r="B615">
        <v>72</v>
      </c>
      <c r="C615">
        <v>152</v>
      </c>
      <c r="D615">
        <v>50</v>
      </c>
      <c r="E615" t="s">
        <v>12</v>
      </c>
      <c r="F615" s="1">
        <v>45178</v>
      </c>
      <c r="G615" t="s">
        <v>14</v>
      </c>
      <c r="H615" s="2">
        <v>9.91</v>
      </c>
      <c r="I615" s="2">
        <v>46.46</v>
      </c>
      <c r="J615" s="2">
        <v>39.97</v>
      </c>
      <c r="K615" s="2">
        <f t="shared" si="205"/>
        <v>319.60999999999996</v>
      </c>
      <c r="L615" s="2">
        <v>6.34</v>
      </c>
      <c r="M615" s="2">
        <v>0.16</v>
      </c>
      <c r="N615" s="6">
        <f t="shared" si="217"/>
        <v>7.3698158769674338</v>
      </c>
      <c r="O615" s="6">
        <f t="shared" si="218"/>
        <v>1.0250361143334288</v>
      </c>
      <c r="P615" s="6">
        <f t="shared" si="219"/>
        <v>97.291644972099931</v>
      </c>
      <c r="Q615" s="6">
        <f t="shared" si="209"/>
        <v>1.6935733830180408</v>
      </c>
      <c r="R615" s="10">
        <f t="shared" si="210"/>
        <v>1.6935733830180408E-3</v>
      </c>
      <c r="S615" s="3">
        <f t="shared" si="220"/>
        <v>3.0484320894324735E-2</v>
      </c>
      <c r="T615" s="4">
        <f t="shared" si="221"/>
        <v>3.0484320894324735E-5</v>
      </c>
      <c r="U615" s="3">
        <f t="shared" si="222"/>
        <v>0.10974355521956905</v>
      </c>
      <c r="V615" s="2">
        <v>25.57</v>
      </c>
      <c r="W615" s="2">
        <v>2.29</v>
      </c>
      <c r="X615" s="2">
        <f t="shared" si="223"/>
        <v>22900</v>
      </c>
      <c r="Y615" s="5">
        <v>-0.34</v>
      </c>
      <c r="Z615" s="5">
        <v>-2.48</v>
      </c>
      <c r="AA615" s="2">
        <f t="shared" si="224"/>
        <v>2.14</v>
      </c>
      <c r="AB615" s="3">
        <f t="shared" si="225"/>
        <v>5.1282035149331329E-2</v>
      </c>
    </row>
    <row r="616" spans="1:28" x14ac:dyDescent="0.2">
      <c r="A616" t="s">
        <v>6</v>
      </c>
      <c r="B616">
        <v>72</v>
      </c>
      <c r="C616">
        <v>152</v>
      </c>
      <c r="D616">
        <v>51</v>
      </c>
      <c r="E616" t="s">
        <v>12</v>
      </c>
      <c r="F616" s="1">
        <v>45178</v>
      </c>
      <c r="G616" t="s">
        <v>14</v>
      </c>
      <c r="H616" s="2">
        <v>10.56</v>
      </c>
      <c r="I616" s="2">
        <v>45.46</v>
      </c>
      <c r="J616" s="2">
        <v>37.69</v>
      </c>
      <c r="K616" s="2">
        <f t="shared" si="205"/>
        <v>318.60999999999996</v>
      </c>
      <c r="L616" s="2">
        <v>5.5</v>
      </c>
      <c r="M616" s="2">
        <v>0.27</v>
      </c>
      <c r="N616" s="6">
        <f t="shared" si="217"/>
        <v>6.5179815365630906</v>
      </c>
      <c r="O616" s="6">
        <f t="shared" si="218"/>
        <v>1.0377237799501677</v>
      </c>
      <c r="P616" s="6">
        <f t="shared" si="219"/>
        <v>97.279241908384762</v>
      </c>
      <c r="Q616" s="6">
        <f t="shared" si="209"/>
        <v>2.8254230756741125</v>
      </c>
      <c r="R616" s="10">
        <f t="shared" si="210"/>
        <v>2.8254230756741125E-3</v>
      </c>
      <c r="S616" s="3">
        <f t="shared" si="220"/>
        <v>5.0857615362134026E-2</v>
      </c>
      <c r="T616" s="4">
        <f t="shared" si="221"/>
        <v>5.0857615362134029E-5</v>
      </c>
      <c r="U616" s="3">
        <f t="shared" si="222"/>
        <v>0.1830874153036825</v>
      </c>
      <c r="V616" s="2">
        <v>18.57</v>
      </c>
      <c r="W616" s="2">
        <v>1.84</v>
      </c>
      <c r="X616" s="2">
        <f t="shared" si="223"/>
        <v>18400</v>
      </c>
      <c r="Y616" s="5">
        <v>-0.4</v>
      </c>
      <c r="Z616" s="5">
        <v>-2.52</v>
      </c>
      <c r="AA616" s="2">
        <f t="shared" si="224"/>
        <v>2.12</v>
      </c>
      <c r="AB616" s="3">
        <f t="shared" si="225"/>
        <v>8.6361988350793631E-2</v>
      </c>
    </row>
    <row r="617" spans="1:28" x14ac:dyDescent="0.2">
      <c r="A617" t="s">
        <v>6</v>
      </c>
      <c r="B617">
        <v>72</v>
      </c>
      <c r="C617">
        <v>155</v>
      </c>
      <c r="D617">
        <v>58</v>
      </c>
      <c r="E617" t="s">
        <v>12</v>
      </c>
      <c r="F617" s="1">
        <v>45178</v>
      </c>
      <c r="G617" t="s">
        <v>14</v>
      </c>
      <c r="H617" s="2">
        <v>9.81</v>
      </c>
      <c r="I617" s="2">
        <v>46.68</v>
      </c>
      <c r="J617" s="2">
        <v>40.65</v>
      </c>
      <c r="K617" s="2">
        <f t="shared" si="205"/>
        <v>319.83</v>
      </c>
      <c r="L617" s="2">
        <v>6.63</v>
      </c>
      <c r="M617" s="2">
        <v>0.2</v>
      </c>
      <c r="N617" s="6">
        <f t="shared" si="217"/>
        <v>7.6418566725329162</v>
      </c>
      <c r="O617" s="6">
        <f t="shared" si="218"/>
        <v>1.0261438496451232</v>
      </c>
      <c r="P617" s="6">
        <f t="shared" si="219"/>
        <v>97.294363448777986</v>
      </c>
      <c r="Q617" s="6">
        <f t="shared" si="209"/>
        <v>2.0799903235208954</v>
      </c>
      <c r="R617" s="10">
        <f t="shared" si="210"/>
        <v>2.0799903235208953E-3</v>
      </c>
      <c r="S617" s="3">
        <f t="shared" si="220"/>
        <v>3.7439825823376113E-2</v>
      </c>
      <c r="T617" s="4">
        <f t="shared" si="221"/>
        <v>3.7439825823376112E-5</v>
      </c>
      <c r="U617" s="3">
        <f t="shared" si="222"/>
        <v>0.13478337296415399</v>
      </c>
      <c r="V617" s="2">
        <v>4.1100000000000003</v>
      </c>
      <c r="W617" s="2">
        <v>0.5</v>
      </c>
      <c r="X617" s="2">
        <f t="shared" si="223"/>
        <v>5000</v>
      </c>
      <c r="Y617" s="5">
        <v>-0.4</v>
      </c>
      <c r="Z617" s="5">
        <v>-2.41</v>
      </c>
      <c r="AA617" s="2">
        <f t="shared" si="224"/>
        <v>2.0100000000000002</v>
      </c>
      <c r="AB617" s="3">
        <f t="shared" si="225"/>
        <v>6.7056404459778091E-2</v>
      </c>
    </row>
    <row r="618" spans="1:28" x14ac:dyDescent="0.2">
      <c r="A618" t="s">
        <v>6</v>
      </c>
      <c r="B618">
        <v>72</v>
      </c>
      <c r="C618">
        <v>155</v>
      </c>
      <c r="D618">
        <v>59</v>
      </c>
      <c r="E618" t="s">
        <v>12</v>
      </c>
      <c r="F618" s="1">
        <v>45178</v>
      </c>
      <c r="G618" t="s">
        <v>14</v>
      </c>
      <c r="H618" s="2">
        <v>9.74</v>
      </c>
      <c r="I618" s="2">
        <v>46.76</v>
      </c>
      <c r="J618" s="2">
        <v>41.99</v>
      </c>
      <c r="K618" s="2">
        <f t="shared" si="205"/>
        <v>319.90999999999997</v>
      </c>
      <c r="L618" s="2">
        <v>7.18</v>
      </c>
      <c r="M618" s="2">
        <v>0.13</v>
      </c>
      <c r="N618" s="6">
        <f t="shared" si="217"/>
        <v>8.2034951204701763</v>
      </c>
      <c r="O618" s="6">
        <f t="shared" si="218"/>
        <v>1.0229834611307482</v>
      </c>
      <c r="P618" s="6">
        <f t="shared" si="219"/>
        <v>97.295351077547863</v>
      </c>
      <c r="Q618" s="6">
        <f t="shared" si="209"/>
        <v>1.3675305570877057</v>
      </c>
      <c r="R618" s="10">
        <f t="shared" si="210"/>
        <v>1.3675305570877057E-3</v>
      </c>
      <c r="S618" s="3">
        <f t="shared" si="220"/>
        <v>2.4615550027578703E-2</v>
      </c>
      <c r="T618" s="4">
        <f t="shared" si="221"/>
        <v>2.4615550027578703E-5</v>
      </c>
      <c r="U618" s="3">
        <f t="shared" si="222"/>
        <v>8.8615980099283329E-2</v>
      </c>
      <c r="V618" s="2">
        <v>22.47</v>
      </c>
      <c r="W618" s="2">
        <v>2.37</v>
      </c>
      <c r="X618" s="2">
        <f t="shared" si="223"/>
        <v>23700</v>
      </c>
      <c r="Y618" s="5">
        <v>-0.53</v>
      </c>
      <c r="Z618" s="5">
        <v>-2.2200000000000002</v>
      </c>
      <c r="AA618" s="2">
        <f t="shared" si="224"/>
        <v>1.6900000000000002</v>
      </c>
      <c r="AB618" s="3">
        <f t="shared" si="225"/>
        <v>5.243549118300788E-2</v>
      </c>
    </row>
    <row r="619" spans="1:28" x14ac:dyDescent="0.2">
      <c r="A619" t="s">
        <v>6</v>
      </c>
      <c r="B619">
        <v>72</v>
      </c>
      <c r="C619">
        <v>155</v>
      </c>
      <c r="D619">
        <v>60</v>
      </c>
      <c r="E619" t="s">
        <v>12</v>
      </c>
      <c r="F619" s="1">
        <v>45178</v>
      </c>
      <c r="G619" t="s">
        <v>14</v>
      </c>
      <c r="H619" s="2">
        <v>9.75</v>
      </c>
      <c r="I619" s="2">
        <v>46.64</v>
      </c>
      <c r="J619" s="2">
        <v>46.04</v>
      </c>
      <c r="K619" s="2">
        <f t="shared" si="205"/>
        <v>319.78999999999996</v>
      </c>
      <c r="L619" s="2">
        <v>9.09</v>
      </c>
      <c r="M619" s="2">
        <v>0.01</v>
      </c>
      <c r="N619" s="6">
        <f t="shared" si="217"/>
        <v>10.123725878368999</v>
      </c>
      <c r="O619" s="6">
        <f t="shared" si="218"/>
        <v>1.0177902290073744</v>
      </c>
      <c r="P619" s="6">
        <f t="shared" si="219"/>
        <v>97.293869452852405</v>
      </c>
      <c r="Q619" s="6">
        <f t="shared" si="209"/>
        <v>0.10624779178609318</v>
      </c>
      <c r="R619" s="10">
        <f t="shared" si="210"/>
        <v>1.0624779178609318E-4</v>
      </c>
      <c r="S619" s="3">
        <f t="shared" si="220"/>
        <v>1.9124602521496772E-3</v>
      </c>
      <c r="T619" s="4">
        <f t="shared" si="221"/>
        <v>1.9124602521496772E-6</v>
      </c>
      <c r="U619" s="3">
        <f t="shared" si="222"/>
        <v>6.8848569077388381E-3</v>
      </c>
      <c r="V619" s="2">
        <v>10.28</v>
      </c>
      <c r="W619" s="2">
        <v>1.1299999999999999</v>
      </c>
      <c r="X619" s="2">
        <f t="shared" si="223"/>
        <v>11299.999999999998</v>
      </c>
      <c r="Y619" s="5">
        <v>-0.25</v>
      </c>
      <c r="Z619" s="5">
        <v>-2.0299999999999998</v>
      </c>
      <c r="AA619" s="2">
        <f t="shared" si="224"/>
        <v>1.7799999999999998</v>
      </c>
      <c r="AB619" s="3">
        <f t="shared" si="225"/>
        <v>3.867897139179123E-3</v>
      </c>
    </row>
    <row r="620" spans="1:28" x14ac:dyDescent="0.2">
      <c r="A620" t="s">
        <v>6</v>
      </c>
      <c r="B620">
        <v>72</v>
      </c>
      <c r="C620">
        <v>5</v>
      </c>
      <c r="D620">
        <v>61</v>
      </c>
      <c r="E620" t="s">
        <v>12</v>
      </c>
      <c r="F620" s="1">
        <v>45178</v>
      </c>
      <c r="G620" t="s">
        <v>14</v>
      </c>
      <c r="H620" s="2">
        <v>10.07</v>
      </c>
      <c r="I620" s="2">
        <v>46.13</v>
      </c>
      <c r="J620" s="2">
        <v>42.82</v>
      </c>
      <c r="K620" s="2">
        <f t="shared" si="205"/>
        <v>319.27999999999997</v>
      </c>
      <c r="L620" s="2">
        <v>7.55</v>
      </c>
      <c r="M620" s="2">
        <v>0.09</v>
      </c>
      <c r="N620" s="6">
        <f t="shared" si="217"/>
        <v>8.5690106246183966</v>
      </c>
      <c r="O620" s="6">
        <f t="shared" si="218"/>
        <v>1.0241660794295664</v>
      </c>
      <c r="P620" s="6">
        <f t="shared" si="219"/>
        <v>97.287560375515383</v>
      </c>
      <c r="Q620" s="6">
        <f t="shared" si="209"/>
        <v>0.94267916536980856</v>
      </c>
      <c r="R620" s="10">
        <f t="shared" si="210"/>
        <v>9.4267916536980854E-4</v>
      </c>
      <c r="S620" s="3">
        <f t="shared" si="220"/>
        <v>1.6968224976656555E-2</v>
      </c>
      <c r="T620" s="4">
        <f t="shared" si="221"/>
        <v>1.6968224976656554E-5</v>
      </c>
      <c r="U620" s="3">
        <f t="shared" si="222"/>
        <v>6.1085609915963596E-2</v>
      </c>
      <c r="V620" s="2">
        <v>20.64</v>
      </c>
      <c r="W620" s="2">
        <v>4.72</v>
      </c>
      <c r="X620" s="2">
        <f t="shared" si="223"/>
        <v>47200</v>
      </c>
      <c r="Y620" s="5">
        <v>-0.24</v>
      </c>
      <c r="Z620" s="5">
        <v>-1.92</v>
      </c>
      <c r="AA620" s="2">
        <f t="shared" si="224"/>
        <v>1.68</v>
      </c>
      <c r="AB620" s="3">
        <f t="shared" si="225"/>
        <v>3.6360482092835475E-2</v>
      </c>
    </row>
    <row r="621" spans="1:28" x14ac:dyDescent="0.2">
      <c r="A621" t="s">
        <v>6</v>
      </c>
      <c r="B621">
        <v>72</v>
      </c>
      <c r="C621">
        <v>5</v>
      </c>
      <c r="D621">
        <v>63</v>
      </c>
      <c r="E621" t="s">
        <v>12</v>
      </c>
      <c r="F621" s="1">
        <v>45178</v>
      </c>
      <c r="G621" t="s">
        <v>14</v>
      </c>
      <c r="H621" s="2">
        <v>10.11</v>
      </c>
      <c r="I621" s="2">
        <v>45.56</v>
      </c>
      <c r="J621" s="2">
        <v>41.88</v>
      </c>
      <c r="K621" s="2">
        <f t="shared" si="205"/>
        <v>318.70999999999998</v>
      </c>
      <c r="L621" s="2">
        <v>7.16</v>
      </c>
      <c r="M621" s="2">
        <v>7.0000000000000007E-2</v>
      </c>
      <c r="N621" s="6">
        <f t="shared" si="217"/>
        <v>8.1560815172106995</v>
      </c>
      <c r="O621" s="6">
        <f t="shared" si="218"/>
        <v>0.998621151633724</v>
      </c>
      <c r="P621" s="6">
        <f t="shared" si="219"/>
        <v>97.280485645902175</v>
      </c>
      <c r="Q621" s="6">
        <f t="shared" si="209"/>
        <v>0.71674915829006325</v>
      </c>
      <c r="R621" s="10">
        <f t="shared" si="210"/>
        <v>7.1674915829006327E-4</v>
      </c>
      <c r="S621" s="3">
        <f t="shared" si="220"/>
        <v>1.2901484849221139E-2</v>
      </c>
      <c r="T621" s="4">
        <f t="shared" si="221"/>
        <v>1.290148484922114E-5</v>
      </c>
      <c r="U621" s="3">
        <f t="shared" si="222"/>
        <v>4.6445345457196099E-2</v>
      </c>
      <c r="V621" s="2">
        <v>20.28</v>
      </c>
      <c r="W621" s="2">
        <v>3.11</v>
      </c>
      <c r="X621" s="2">
        <f t="shared" si="223"/>
        <v>31100</v>
      </c>
      <c r="Y621" s="5">
        <v>-1.1100000000000001</v>
      </c>
      <c r="Z621" s="5">
        <v>-2.11</v>
      </c>
      <c r="AA621" s="7">
        <f t="shared" si="224"/>
        <v>0.99999999999999978</v>
      </c>
      <c r="AB621" s="3">
        <f t="shared" si="225"/>
        <v>4.6445345457196106E-2</v>
      </c>
    </row>
    <row r="622" spans="1:28" x14ac:dyDescent="0.2">
      <c r="A622" t="s">
        <v>6</v>
      </c>
      <c r="B622">
        <v>72</v>
      </c>
      <c r="C622">
        <v>5</v>
      </c>
      <c r="D622">
        <v>85</v>
      </c>
      <c r="E622" t="s">
        <v>12</v>
      </c>
      <c r="F622" s="1">
        <v>45178</v>
      </c>
      <c r="G622" t="s">
        <v>14</v>
      </c>
      <c r="H622" s="2">
        <v>9.9600000000000009</v>
      </c>
      <c r="I622" s="2">
        <v>46.62</v>
      </c>
      <c r="J622" s="2">
        <v>43.5</v>
      </c>
      <c r="K622" s="2">
        <f t="shared" si="205"/>
        <v>319.77</v>
      </c>
      <c r="L622" s="2">
        <v>7.83</v>
      </c>
      <c r="M622" s="2">
        <v>0.04</v>
      </c>
      <c r="N622" s="6">
        <f t="shared" si="217"/>
        <v>8.8788906184714058</v>
      </c>
      <c r="O622" s="6">
        <f t="shared" si="218"/>
        <v>1.0386521365656531</v>
      </c>
      <c r="P622" s="6">
        <f t="shared" si="219"/>
        <v>97.293622409484982</v>
      </c>
      <c r="Q622" s="6">
        <f t="shared" si="209"/>
        <v>0.43122687489499878</v>
      </c>
      <c r="R622" s="10">
        <f t="shared" si="210"/>
        <v>4.3122687489499878E-4</v>
      </c>
      <c r="S622" s="3">
        <f t="shared" si="220"/>
        <v>7.762083748109978E-3</v>
      </c>
      <c r="T622" s="4">
        <f t="shared" si="221"/>
        <v>7.7620837481099784E-6</v>
      </c>
      <c r="U622" s="3">
        <f t="shared" si="222"/>
        <v>2.7943501493195921E-2</v>
      </c>
      <c r="V622" s="2">
        <v>7.85</v>
      </c>
      <c r="W622" s="2">
        <v>1.36</v>
      </c>
      <c r="X622" s="2">
        <f t="shared" si="223"/>
        <v>13600.000000000002</v>
      </c>
      <c r="Y622" s="5">
        <v>-0.38</v>
      </c>
      <c r="Z622" s="5">
        <v>-1.92</v>
      </c>
      <c r="AA622" s="2">
        <f t="shared" si="224"/>
        <v>1.54</v>
      </c>
      <c r="AB622" s="3">
        <f t="shared" si="225"/>
        <v>1.8145130839737612E-2</v>
      </c>
    </row>
    <row r="623" spans="1:28" x14ac:dyDescent="0.2">
      <c r="A623" t="s">
        <v>9</v>
      </c>
      <c r="B623">
        <v>1521</v>
      </c>
      <c r="C623">
        <v>153</v>
      </c>
      <c r="D623">
        <v>69</v>
      </c>
      <c r="E623" t="s">
        <v>12</v>
      </c>
      <c r="F623" s="1">
        <v>45178</v>
      </c>
      <c r="G623" t="s">
        <v>14</v>
      </c>
      <c r="H623" s="2">
        <v>10.08</v>
      </c>
      <c r="I623" s="2">
        <v>46.12</v>
      </c>
      <c r="J623" s="2">
        <v>42.12</v>
      </c>
      <c r="K623" s="2">
        <f t="shared" si="205"/>
        <v>319.27</v>
      </c>
      <c r="L623" s="2">
        <v>7.24</v>
      </c>
      <c r="M623" s="2">
        <v>0.1</v>
      </c>
      <c r="N623" s="6">
        <f t="shared" si="217"/>
        <v>8.2598368895925098</v>
      </c>
      <c r="O623" s="6">
        <f t="shared" si="218"/>
        <v>1.024658693506028</v>
      </c>
      <c r="P623" s="6">
        <f t="shared" si="219"/>
        <v>97.287436470728935</v>
      </c>
      <c r="Q623" s="6">
        <f t="shared" si="209"/>
        <v>1.0482719316993721</v>
      </c>
      <c r="R623" s="10">
        <f t="shared" si="210"/>
        <v>1.0482719316993721E-3</v>
      </c>
      <c r="S623" s="3">
        <f t="shared" si="220"/>
        <v>1.8868894770588698E-2</v>
      </c>
      <c r="T623" s="4">
        <f t="shared" si="221"/>
        <v>1.8868894770588697E-5</v>
      </c>
      <c r="U623" s="3">
        <f t="shared" si="222"/>
        <v>6.7928021174119307E-2</v>
      </c>
      <c r="V623" s="2">
        <v>1.69</v>
      </c>
      <c r="W623" s="2">
        <v>0.31</v>
      </c>
      <c r="X623" s="2">
        <f t="shared" si="223"/>
        <v>3100</v>
      </c>
      <c r="Y623" s="5">
        <v>-0.33</v>
      </c>
      <c r="Z623" s="5">
        <v>-1.6</v>
      </c>
      <c r="AA623" s="2">
        <f t="shared" si="224"/>
        <v>1.27</v>
      </c>
      <c r="AB623" s="3">
        <f t="shared" si="225"/>
        <v>5.3486630845763231E-2</v>
      </c>
    </row>
    <row r="624" spans="1:28" x14ac:dyDescent="0.2">
      <c r="A624" t="s">
        <v>9</v>
      </c>
      <c r="B624">
        <v>1521</v>
      </c>
      <c r="C624">
        <v>153</v>
      </c>
      <c r="D624">
        <v>76</v>
      </c>
      <c r="E624" t="s">
        <v>12</v>
      </c>
      <c r="F624" s="1">
        <v>45178</v>
      </c>
      <c r="G624" t="s">
        <v>14</v>
      </c>
      <c r="H624" s="2">
        <v>10.23</v>
      </c>
      <c r="I624" s="2">
        <v>46.28</v>
      </c>
      <c r="J624" s="2">
        <v>45.14</v>
      </c>
      <c r="K624" s="2">
        <f t="shared" si="205"/>
        <v>319.42999999999995</v>
      </c>
      <c r="L624" s="2">
        <v>8.61</v>
      </c>
      <c r="M624" s="2">
        <v>0.03</v>
      </c>
      <c r="N624" s="6">
        <f t="shared" si="217"/>
        <v>9.6664220590172309</v>
      </c>
      <c r="O624" s="6">
        <f t="shared" si="218"/>
        <v>1.0484506630059651</v>
      </c>
      <c r="P624" s="6">
        <f t="shared" si="219"/>
        <v>97.289418035286474</v>
      </c>
      <c r="Q624" s="6">
        <f t="shared" si="209"/>
        <v>0.32575651505102177</v>
      </c>
      <c r="R624" s="10">
        <f t="shared" si="210"/>
        <v>3.2575651505102176E-4</v>
      </c>
      <c r="S624" s="3">
        <f t="shared" si="220"/>
        <v>5.8636172709183917E-3</v>
      </c>
      <c r="T624" s="4">
        <f t="shared" si="221"/>
        <v>5.8636172709183915E-6</v>
      </c>
      <c r="U624" s="3">
        <f t="shared" si="222"/>
        <v>2.1109022175306209E-2</v>
      </c>
      <c r="V624" s="2">
        <v>2.0299999999999998</v>
      </c>
      <c r="W624" s="2">
        <v>0.31</v>
      </c>
      <c r="X624" s="2">
        <f t="shared" si="223"/>
        <v>3100</v>
      </c>
      <c r="Y624" s="5">
        <v>-0.57999999999999996</v>
      </c>
      <c r="Z624" s="5">
        <v>-1.77</v>
      </c>
      <c r="AA624" s="2">
        <f t="shared" si="224"/>
        <v>1.19</v>
      </c>
      <c r="AB624" s="3">
        <f t="shared" si="225"/>
        <v>1.7738674096895973E-2</v>
      </c>
    </row>
    <row r="625" spans="1:28" x14ac:dyDescent="0.2">
      <c r="A625" t="s">
        <v>9</v>
      </c>
      <c r="B625">
        <v>1521</v>
      </c>
      <c r="C625">
        <v>153</v>
      </c>
      <c r="D625">
        <v>90</v>
      </c>
      <c r="E625" t="s">
        <v>12</v>
      </c>
      <c r="F625" s="1">
        <v>45178</v>
      </c>
      <c r="G625" t="s">
        <v>14</v>
      </c>
      <c r="H625" s="2">
        <v>9.3800000000000008</v>
      </c>
      <c r="I625" s="2">
        <v>46.77</v>
      </c>
      <c r="J625" s="2">
        <v>45.72</v>
      </c>
      <c r="K625" s="2">
        <f t="shared" si="205"/>
        <v>319.91999999999996</v>
      </c>
      <c r="L625" s="2">
        <v>8.98</v>
      </c>
      <c r="M625" s="2">
        <v>0.03</v>
      </c>
      <c r="N625" s="6">
        <f t="shared" si="217"/>
        <v>9.9590330433819112</v>
      </c>
      <c r="O625" s="6">
        <f t="shared" si="218"/>
        <v>0.985674966408433</v>
      </c>
      <c r="P625" s="6">
        <f t="shared" si="219"/>
        <v>97.295474497118789</v>
      </c>
      <c r="Q625" s="6">
        <f t="shared" si="209"/>
        <v>0.30187417712143522</v>
      </c>
      <c r="R625" s="10">
        <f t="shared" si="210"/>
        <v>3.0187417712143524E-4</v>
      </c>
      <c r="S625" s="3">
        <f t="shared" si="220"/>
        <v>5.4337351881858344E-3</v>
      </c>
      <c r="T625" s="4">
        <f t="shared" si="221"/>
        <v>5.4337351881858343E-6</v>
      </c>
      <c r="U625" s="3">
        <f t="shared" si="222"/>
        <v>1.9561446677469004E-2</v>
      </c>
      <c r="V625" s="2">
        <v>1.27</v>
      </c>
      <c r="W625" s="2">
        <v>0.15</v>
      </c>
      <c r="X625" s="2">
        <f t="shared" si="223"/>
        <v>1500</v>
      </c>
      <c r="Y625" s="5">
        <v>-1.06</v>
      </c>
      <c r="Z625" s="5">
        <v>-2.11</v>
      </c>
      <c r="AA625" s="2">
        <f t="shared" si="224"/>
        <v>1.0499999999999998</v>
      </c>
      <c r="AB625" s="3">
        <f t="shared" si="225"/>
        <v>1.8629949216637149E-2</v>
      </c>
    </row>
    <row r="626" spans="1:28" x14ac:dyDescent="0.2">
      <c r="A626" t="s">
        <v>9</v>
      </c>
      <c r="B626">
        <v>1521</v>
      </c>
      <c r="C626">
        <v>155</v>
      </c>
      <c r="D626">
        <v>62</v>
      </c>
      <c r="E626" t="s">
        <v>12</v>
      </c>
      <c r="F626" s="1">
        <v>45178</v>
      </c>
      <c r="G626" t="s">
        <v>14</v>
      </c>
      <c r="H626" s="2">
        <v>10.73</v>
      </c>
      <c r="I626" s="2">
        <v>46.43</v>
      </c>
      <c r="J626" s="2">
        <v>40.89</v>
      </c>
      <c r="K626" s="2">
        <f t="shared" si="205"/>
        <v>319.58</v>
      </c>
      <c r="L626" s="2">
        <v>6.64</v>
      </c>
      <c r="M626" s="2">
        <v>0.11</v>
      </c>
      <c r="N626" s="6">
        <f t="shared" si="217"/>
        <v>7.7399265796628489</v>
      </c>
      <c r="O626" s="6">
        <f t="shared" si="218"/>
        <v>1.1081538435177929</v>
      </c>
      <c r="P626" s="6">
        <f t="shared" si="219"/>
        <v>97.291273986633925</v>
      </c>
      <c r="Q626" s="6">
        <f t="shared" si="209"/>
        <v>1.2436050922669131</v>
      </c>
      <c r="R626" s="10">
        <f t="shared" si="210"/>
        <v>1.2436050922669131E-3</v>
      </c>
      <c r="S626" s="3">
        <f t="shared" si="220"/>
        <v>2.2384891660804436E-2</v>
      </c>
      <c r="T626" s="4">
        <f t="shared" si="221"/>
        <v>2.2384891660804434E-5</v>
      </c>
      <c r="U626" s="3">
        <f t="shared" si="222"/>
        <v>8.0585609978895967E-2</v>
      </c>
      <c r="V626" s="2">
        <v>2.31</v>
      </c>
      <c r="W626" s="2">
        <v>0.45</v>
      </c>
      <c r="X626" s="2">
        <f t="shared" si="223"/>
        <v>4500</v>
      </c>
      <c r="Y626" s="5">
        <v>-1.21</v>
      </c>
      <c r="Z626" s="5">
        <v>-2.71</v>
      </c>
      <c r="AA626" s="2">
        <f t="shared" si="224"/>
        <v>1.5</v>
      </c>
      <c r="AB626" s="3">
        <f t="shared" si="225"/>
        <v>5.3723739985930642E-2</v>
      </c>
    </row>
    <row r="627" spans="1:28" x14ac:dyDescent="0.2">
      <c r="A627" t="s">
        <v>9</v>
      </c>
      <c r="B627">
        <v>1521</v>
      </c>
      <c r="C627">
        <v>155</v>
      </c>
      <c r="D627">
        <v>64</v>
      </c>
      <c r="E627" t="s">
        <v>12</v>
      </c>
      <c r="F627" s="1">
        <v>45178</v>
      </c>
      <c r="G627" t="s">
        <v>14</v>
      </c>
      <c r="H627" s="2">
        <v>11.2</v>
      </c>
      <c r="I627" s="2">
        <v>45.43</v>
      </c>
      <c r="J627" s="2">
        <v>40.94</v>
      </c>
      <c r="K627" s="2">
        <f t="shared" si="205"/>
        <v>318.58</v>
      </c>
      <c r="L627" s="2">
        <v>6.66</v>
      </c>
      <c r="M627" s="2">
        <v>7.0000000000000007E-2</v>
      </c>
      <c r="N627" s="6">
        <f t="shared" si="217"/>
        <v>7.7604944808636107</v>
      </c>
      <c r="O627" s="6">
        <f t="shared" si="218"/>
        <v>1.0989199133084617</v>
      </c>
      <c r="P627" s="6">
        <f t="shared" si="219"/>
        <v>97.278868637975705</v>
      </c>
      <c r="Q627" s="6">
        <f t="shared" si="209"/>
        <v>0.79189462972824909</v>
      </c>
      <c r="R627" s="10">
        <f t="shared" si="210"/>
        <v>7.9189462972824906E-4</v>
      </c>
      <c r="S627" s="3">
        <f t="shared" si="220"/>
        <v>1.4254103335108483E-2</v>
      </c>
      <c r="T627" s="4">
        <f t="shared" si="221"/>
        <v>1.4254103335108483E-5</v>
      </c>
      <c r="U627" s="3">
        <f t="shared" si="222"/>
        <v>5.1314772006390542E-2</v>
      </c>
      <c r="V627" s="2">
        <v>2.25</v>
      </c>
      <c r="W627" s="2">
        <v>0.5</v>
      </c>
      <c r="X627" s="2">
        <f t="shared" si="223"/>
        <v>5000</v>
      </c>
      <c r="Y627" s="5">
        <v>-1.17</v>
      </c>
      <c r="Z627" s="5">
        <v>-1.79</v>
      </c>
      <c r="AA627" s="2">
        <f t="shared" si="224"/>
        <v>0.62000000000000011</v>
      </c>
      <c r="AB627" s="3">
        <f t="shared" si="225"/>
        <v>8.2765761300629889E-2</v>
      </c>
    </row>
    <row r="628" spans="1:28" x14ac:dyDescent="0.2">
      <c r="A628" t="s">
        <v>9</v>
      </c>
      <c r="B628">
        <v>1521</v>
      </c>
      <c r="C628">
        <v>155</v>
      </c>
      <c r="D628">
        <v>66</v>
      </c>
      <c r="E628" t="s">
        <v>12</v>
      </c>
      <c r="F628" s="1">
        <v>45178</v>
      </c>
      <c r="G628" t="s">
        <v>14</v>
      </c>
      <c r="H628" s="2">
        <v>10.93</v>
      </c>
      <c r="I628" s="2">
        <v>45.66</v>
      </c>
      <c r="J628" s="2">
        <v>41.61</v>
      </c>
      <c r="K628" s="2">
        <f t="shared" si="205"/>
        <v>318.80999999999995</v>
      </c>
      <c r="L628" s="2">
        <v>6.96</v>
      </c>
      <c r="M628" s="2">
        <v>0.11</v>
      </c>
      <c r="N628" s="6">
        <f t="shared" si="217"/>
        <v>8.0407073980419259</v>
      </c>
      <c r="O628" s="6">
        <f t="shared" si="218"/>
        <v>1.0851754593918179</v>
      </c>
      <c r="P628" s="6">
        <f t="shared" si="219"/>
        <v>97.28172861906863</v>
      </c>
      <c r="Q628" s="6">
        <f t="shared" si="209"/>
        <v>1.2219952859812782</v>
      </c>
      <c r="R628" s="10">
        <f t="shared" si="210"/>
        <v>1.2219952859812782E-3</v>
      </c>
      <c r="S628" s="3">
        <f t="shared" si="220"/>
        <v>2.1995915147663008E-2</v>
      </c>
      <c r="T628" s="4">
        <f t="shared" si="221"/>
        <v>2.1995915147663008E-5</v>
      </c>
      <c r="U628" s="3">
        <f t="shared" si="222"/>
        <v>7.9185294531586833E-2</v>
      </c>
      <c r="V628" s="2">
        <v>3.09</v>
      </c>
      <c r="W628" s="2">
        <v>0.44</v>
      </c>
      <c r="X628" s="2">
        <f t="shared" si="223"/>
        <v>4400</v>
      </c>
      <c r="Y628" s="5">
        <v>-0.44</v>
      </c>
      <c r="Z628" s="5">
        <v>-2.21</v>
      </c>
      <c r="AA628" s="2">
        <f t="shared" si="224"/>
        <v>1.77</v>
      </c>
      <c r="AB628" s="3">
        <f t="shared" si="225"/>
        <v>4.4737454537619681E-2</v>
      </c>
    </row>
    <row r="629" spans="1:28" x14ac:dyDescent="0.2">
      <c r="A629" t="s">
        <v>9</v>
      </c>
      <c r="B629">
        <v>1521</v>
      </c>
      <c r="C629">
        <v>156</v>
      </c>
      <c r="D629">
        <v>71</v>
      </c>
      <c r="E629" t="s">
        <v>12</v>
      </c>
      <c r="F629" s="1">
        <v>45178</v>
      </c>
      <c r="G629" t="s">
        <v>14</v>
      </c>
      <c r="H629" s="2">
        <v>10.44</v>
      </c>
      <c r="I629" s="2">
        <v>46.33</v>
      </c>
      <c r="J629" s="2">
        <v>42.18</v>
      </c>
      <c r="K629" s="2">
        <f t="shared" si="205"/>
        <v>319.47999999999996</v>
      </c>
      <c r="L629" s="2">
        <v>7.22</v>
      </c>
      <c r="M629" s="2">
        <v>0.05</v>
      </c>
      <c r="N629" s="6">
        <f t="shared" si="217"/>
        <v>8.2859535701347617</v>
      </c>
      <c r="O629" s="6">
        <f t="shared" si="218"/>
        <v>1.0727106024823341</v>
      </c>
      <c r="P629" s="6">
        <f t="shared" si="219"/>
        <v>97.290036875444073</v>
      </c>
      <c r="Q629" s="6">
        <f t="shared" si="209"/>
        <v>0.54782257483335783</v>
      </c>
      <c r="R629" s="10">
        <f t="shared" si="210"/>
        <v>5.4782257483335778E-4</v>
      </c>
      <c r="S629" s="3">
        <f t="shared" si="220"/>
        <v>9.8608063470004403E-3</v>
      </c>
      <c r="T629" s="4">
        <f t="shared" si="221"/>
        <v>9.8608063470004404E-6</v>
      </c>
      <c r="U629" s="3">
        <f t="shared" si="222"/>
        <v>3.5498902849201583E-2</v>
      </c>
      <c r="V629" s="2">
        <v>1.53</v>
      </c>
      <c r="W629" s="2">
        <v>0.24</v>
      </c>
      <c r="X629" s="2">
        <f t="shared" si="223"/>
        <v>2400</v>
      </c>
      <c r="Y629" s="5">
        <v>-0.45</v>
      </c>
      <c r="Z629" s="5">
        <v>-1.85</v>
      </c>
      <c r="AA629" s="2">
        <f t="shared" si="224"/>
        <v>1.4000000000000001</v>
      </c>
      <c r="AB629" s="3">
        <f t="shared" si="225"/>
        <v>2.535635917800113E-2</v>
      </c>
    </row>
    <row r="630" spans="1:28" x14ac:dyDescent="0.2">
      <c r="A630" t="s">
        <v>9</v>
      </c>
      <c r="B630">
        <v>1521</v>
      </c>
      <c r="C630">
        <v>156</v>
      </c>
      <c r="D630">
        <v>74</v>
      </c>
      <c r="E630" t="s">
        <v>12</v>
      </c>
      <c r="F630" s="1">
        <v>45178</v>
      </c>
      <c r="G630" t="s">
        <v>14</v>
      </c>
      <c r="H630" s="2">
        <v>9.92</v>
      </c>
      <c r="I630" s="2">
        <v>46.44</v>
      </c>
      <c r="J630" s="2">
        <v>43.86</v>
      </c>
      <c r="K630" s="2">
        <f t="shared" si="205"/>
        <v>319.58999999999997</v>
      </c>
      <c r="L630" s="2">
        <v>8.01</v>
      </c>
      <c r="M630" s="2">
        <v>0.04</v>
      </c>
      <c r="N630" s="6">
        <f t="shared" si="217"/>
        <v>9.0468348116294397</v>
      </c>
      <c r="O630" s="6">
        <f t="shared" si="218"/>
        <v>1.0250233257779746</v>
      </c>
      <c r="P630" s="6">
        <f t="shared" si="219"/>
        <v>97.291397656037518</v>
      </c>
      <c r="Q630" s="6">
        <f t="shared" si="209"/>
        <v>0.42628015903114042</v>
      </c>
      <c r="R630" s="10">
        <f t="shared" si="210"/>
        <v>4.2628015903114043E-4</v>
      </c>
      <c r="S630" s="3">
        <f t="shared" si="220"/>
        <v>7.6730428625605279E-3</v>
      </c>
      <c r="T630" s="4">
        <f t="shared" si="221"/>
        <v>7.6730428625605273E-6</v>
      </c>
      <c r="U630" s="3">
        <f t="shared" si="222"/>
        <v>2.7622954305217898E-2</v>
      </c>
      <c r="V630" s="2">
        <v>2.2200000000000002</v>
      </c>
      <c r="W630" s="2">
        <v>0.32</v>
      </c>
      <c r="X630" s="2">
        <f t="shared" si="223"/>
        <v>3200</v>
      </c>
      <c r="Y630" s="5">
        <v>-0.68</v>
      </c>
      <c r="Z630" s="5">
        <v>-1.58</v>
      </c>
      <c r="AA630" s="2">
        <f t="shared" si="224"/>
        <v>0.9</v>
      </c>
      <c r="AB630" s="3">
        <f t="shared" si="225"/>
        <v>3.0692171450242108E-2</v>
      </c>
    </row>
    <row r="631" spans="1:28" x14ac:dyDescent="0.2">
      <c r="A631" t="s">
        <v>9</v>
      </c>
      <c r="B631">
        <v>1521</v>
      </c>
      <c r="C631">
        <v>156</v>
      </c>
      <c r="D631">
        <v>75</v>
      </c>
      <c r="E631" t="s">
        <v>12</v>
      </c>
      <c r="F631" s="1">
        <v>45178</v>
      </c>
      <c r="G631" t="s">
        <v>14</v>
      </c>
      <c r="H631" s="2">
        <v>10.39</v>
      </c>
      <c r="I631" s="2">
        <v>45.75</v>
      </c>
      <c r="J631" s="2">
        <v>43.84</v>
      </c>
      <c r="K631" s="2">
        <f t="shared" si="205"/>
        <v>318.89999999999998</v>
      </c>
      <c r="L631" s="2">
        <v>8</v>
      </c>
      <c r="M631" s="2">
        <v>0.03</v>
      </c>
      <c r="N631" s="6">
        <f t="shared" si="217"/>
        <v>9.0374330208003411</v>
      </c>
      <c r="O631" s="6">
        <f t="shared" si="218"/>
        <v>1.0363374600370527</v>
      </c>
      <c r="P631" s="6">
        <f t="shared" si="219"/>
        <v>97.282846641980512</v>
      </c>
      <c r="Q631" s="6">
        <f t="shared" si="209"/>
        <v>0.31992269653198774</v>
      </c>
      <c r="R631" s="10">
        <f t="shared" si="210"/>
        <v>3.1992269653198773E-4</v>
      </c>
      <c r="S631" s="3">
        <f t="shared" si="220"/>
        <v>5.7586085375757792E-3</v>
      </c>
      <c r="T631" s="4">
        <f t="shared" si="221"/>
        <v>5.7586085375757793E-6</v>
      </c>
      <c r="U631" s="3">
        <f t="shared" si="222"/>
        <v>2.0730990735272806E-2</v>
      </c>
      <c r="V631" s="2">
        <v>3.2</v>
      </c>
      <c r="W631" s="2">
        <v>0.59</v>
      </c>
      <c r="X631" s="2">
        <f t="shared" si="223"/>
        <v>5900</v>
      </c>
      <c r="Y631" s="5">
        <v>-0.53</v>
      </c>
      <c r="Z631" s="5">
        <v>-1.72</v>
      </c>
      <c r="AA631" s="2">
        <f t="shared" si="224"/>
        <v>1.19</v>
      </c>
      <c r="AB631" s="3">
        <f t="shared" si="225"/>
        <v>1.7421000617876308E-2</v>
      </c>
    </row>
    <row r="632" spans="1:28" x14ac:dyDescent="0.2">
      <c r="A632" t="s">
        <v>9</v>
      </c>
      <c r="B632">
        <v>1521</v>
      </c>
      <c r="C632">
        <v>157</v>
      </c>
      <c r="D632">
        <v>67</v>
      </c>
      <c r="E632" t="s">
        <v>12</v>
      </c>
      <c r="F632" s="1">
        <v>45178</v>
      </c>
      <c r="G632" t="s">
        <v>14</v>
      </c>
      <c r="H632" s="2">
        <v>10.17</v>
      </c>
      <c r="I632" s="2">
        <v>46.57</v>
      </c>
      <c r="J632" s="2">
        <v>44.25</v>
      </c>
      <c r="K632" s="2">
        <f t="shared" si="205"/>
        <v>319.71999999999997</v>
      </c>
      <c r="L632" s="2">
        <v>8.16</v>
      </c>
      <c r="M632" s="2">
        <v>0.05</v>
      </c>
      <c r="N632" s="6">
        <f t="shared" si="217"/>
        <v>9.2318682011855753</v>
      </c>
      <c r="O632" s="6">
        <f t="shared" si="218"/>
        <v>1.0578504152745367</v>
      </c>
      <c r="P632" s="6">
        <f t="shared" si="219"/>
        <v>97.293004668591649</v>
      </c>
      <c r="Q632" s="6">
        <f t="shared" si="209"/>
        <v>0.55084546151939229</v>
      </c>
      <c r="R632" s="10">
        <f t="shared" si="210"/>
        <v>5.5084546151939226E-4</v>
      </c>
      <c r="S632" s="3">
        <f t="shared" si="220"/>
        <v>9.9152183073490611E-3</v>
      </c>
      <c r="T632" s="4">
        <f t="shared" si="221"/>
        <v>9.9152183073490614E-6</v>
      </c>
      <c r="U632" s="3">
        <f t="shared" si="222"/>
        <v>3.5694785906456618E-2</v>
      </c>
      <c r="V632" s="2">
        <v>2.02</v>
      </c>
      <c r="W632" s="2">
        <v>0.35</v>
      </c>
      <c r="X632" s="2">
        <f t="shared" si="223"/>
        <v>3500</v>
      </c>
      <c r="Y632" s="5">
        <v>-0.73</v>
      </c>
      <c r="Z632" s="5">
        <v>-1.98</v>
      </c>
      <c r="AA632" s="2">
        <f t="shared" si="224"/>
        <v>1.25</v>
      </c>
      <c r="AB632" s="3">
        <f t="shared" si="225"/>
        <v>2.8555828725165294E-2</v>
      </c>
    </row>
    <row r="633" spans="1:28" x14ac:dyDescent="0.2">
      <c r="A633" t="s">
        <v>9</v>
      </c>
      <c r="B633">
        <v>1521</v>
      </c>
      <c r="C633">
        <v>157</v>
      </c>
      <c r="D633">
        <v>68</v>
      </c>
      <c r="E633" t="s">
        <v>12</v>
      </c>
      <c r="F633" s="1">
        <v>45178</v>
      </c>
      <c r="G633" t="s">
        <v>14</v>
      </c>
      <c r="H633" s="2">
        <v>9.5399999999999991</v>
      </c>
      <c r="I633" s="2">
        <v>46.72</v>
      </c>
      <c r="J633" s="2">
        <v>44.27</v>
      </c>
      <c r="K633" s="2">
        <f t="shared" si="205"/>
        <v>319.87</v>
      </c>
      <c r="L633" s="2">
        <v>8.23</v>
      </c>
      <c r="M633" s="2">
        <v>0.05</v>
      </c>
      <c r="N633" s="6">
        <f t="shared" si="217"/>
        <v>9.2414446612166756</v>
      </c>
      <c r="O633" s="6">
        <f t="shared" si="218"/>
        <v>0.99993770571469121</v>
      </c>
      <c r="P633" s="6">
        <f t="shared" si="219"/>
        <v>97.29485732366166</v>
      </c>
      <c r="Q633" s="6">
        <f t="shared" si="209"/>
        <v>0.51978320799217437</v>
      </c>
      <c r="R633" s="10">
        <f t="shared" si="210"/>
        <v>5.1978320799217438E-4</v>
      </c>
      <c r="S633" s="3">
        <f t="shared" si="220"/>
        <v>9.3560977438591382E-3</v>
      </c>
      <c r="T633" s="4">
        <f t="shared" si="221"/>
        <v>9.3560977438591388E-6</v>
      </c>
      <c r="U633" s="3">
        <f t="shared" si="222"/>
        <v>3.3681951877892899E-2</v>
      </c>
      <c r="V633" s="2">
        <v>2.2400000000000002</v>
      </c>
      <c r="W633" s="2">
        <v>0.41</v>
      </c>
      <c r="X633" s="2">
        <f t="shared" si="223"/>
        <v>4100</v>
      </c>
      <c r="Y633" s="5">
        <v>-0.84</v>
      </c>
      <c r="Z633" s="5">
        <v>-2.2599999999999998</v>
      </c>
      <c r="AA633" s="2">
        <f t="shared" si="224"/>
        <v>1.42</v>
      </c>
      <c r="AB633" s="3">
        <f t="shared" si="225"/>
        <v>2.3719684421051337E-2</v>
      </c>
    </row>
    <row r="634" spans="1:28" x14ac:dyDescent="0.2">
      <c r="A634" t="s">
        <v>9</v>
      </c>
      <c r="B634">
        <v>1521</v>
      </c>
      <c r="C634">
        <v>157</v>
      </c>
      <c r="D634">
        <v>72</v>
      </c>
      <c r="E634" t="s">
        <v>12</v>
      </c>
      <c r="F634" s="1">
        <v>45178</v>
      </c>
      <c r="G634" t="s">
        <v>14</v>
      </c>
      <c r="H634" s="2">
        <v>9.89</v>
      </c>
      <c r="I634" s="2">
        <v>46.71</v>
      </c>
      <c r="J634" s="2">
        <v>43.65</v>
      </c>
      <c r="K634" s="2">
        <f t="shared" si="205"/>
        <v>319.85999999999996</v>
      </c>
      <c r="L634" s="2">
        <v>7.91</v>
      </c>
      <c r="M634" s="2">
        <v>0.04</v>
      </c>
      <c r="N634" s="6">
        <f t="shared" si="217"/>
        <v>8.9485366696786013</v>
      </c>
      <c r="O634" s="6">
        <f t="shared" si="218"/>
        <v>1.0360949388296099</v>
      </c>
      <c r="P634" s="6">
        <f t="shared" si="219"/>
        <v>97.294733866285981</v>
      </c>
      <c r="Q634" s="6">
        <f t="shared" si="209"/>
        <v>0.42696521318651509</v>
      </c>
      <c r="R634" s="10">
        <f t="shared" si="210"/>
        <v>4.2696521318651512E-4</v>
      </c>
      <c r="S634" s="3">
        <f t="shared" si="220"/>
        <v>7.6853738373572717E-3</v>
      </c>
      <c r="T634" s="4">
        <f t="shared" si="221"/>
        <v>7.6853738373572717E-6</v>
      </c>
      <c r="U634" s="3">
        <f t="shared" si="222"/>
        <v>2.7667345814486179E-2</v>
      </c>
      <c r="V634" s="2">
        <v>2.52</v>
      </c>
      <c r="W634" s="2">
        <v>0.46</v>
      </c>
      <c r="X634" s="2">
        <f t="shared" si="223"/>
        <v>4600</v>
      </c>
      <c r="Y634" s="5">
        <v>-1.19</v>
      </c>
      <c r="Z634" s="5">
        <v>-2.08</v>
      </c>
      <c r="AA634" s="2">
        <f t="shared" si="224"/>
        <v>0.89000000000000012</v>
      </c>
      <c r="AB634" s="3">
        <f t="shared" si="225"/>
        <v>3.1086905409535029E-2</v>
      </c>
    </row>
    <row r="635" spans="1:28" x14ac:dyDescent="0.2">
      <c r="A635" t="s">
        <v>9</v>
      </c>
      <c r="B635">
        <v>1521</v>
      </c>
      <c r="C635">
        <v>158</v>
      </c>
      <c r="D635">
        <v>70</v>
      </c>
      <c r="E635" t="s">
        <v>12</v>
      </c>
      <c r="F635" s="1">
        <v>45178</v>
      </c>
      <c r="G635" t="s">
        <v>14</v>
      </c>
      <c r="H635" s="2">
        <v>10.63</v>
      </c>
      <c r="I635" s="2">
        <v>45.36</v>
      </c>
      <c r="J635" s="2">
        <v>43.58</v>
      </c>
      <c r="K635" s="2">
        <f t="shared" si="205"/>
        <v>318.51</v>
      </c>
      <c r="L635" s="2">
        <v>7.87</v>
      </c>
      <c r="M635" s="2">
        <v>7.0000000000000007E-2</v>
      </c>
      <c r="N635" s="6">
        <f t="shared" si="217"/>
        <v>8.9159765941023252</v>
      </c>
      <c r="O635" s="6">
        <f t="shared" si="218"/>
        <v>1.0392446612513457</v>
      </c>
      <c r="P635" s="6">
        <f t="shared" si="219"/>
        <v>97.277997405811249</v>
      </c>
      <c r="Q635" s="6">
        <f t="shared" si="209"/>
        <v>0.75267134953159309</v>
      </c>
      <c r="R635" s="10">
        <f t="shared" si="210"/>
        <v>7.5267134953159313E-4</v>
      </c>
      <c r="S635" s="3">
        <f t="shared" si="220"/>
        <v>1.3548084291568676E-2</v>
      </c>
      <c r="T635" s="4">
        <f t="shared" si="221"/>
        <v>1.3548084291568676E-5</v>
      </c>
      <c r="U635" s="3">
        <f t="shared" si="222"/>
        <v>4.8773103449647234E-2</v>
      </c>
      <c r="V635" s="2">
        <v>1.21</v>
      </c>
      <c r="W635" s="2">
        <v>0.27</v>
      </c>
      <c r="X635" s="2">
        <f t="shared" si="223"/>
        <v>2700</v>
      </c>
      <c r="Y635" s="5">
        <v>-0.45</v>
      </c>
      <c r="Z635" s="5">
        <v>-1.75</v>
      </c>
      <c r="AA635" s="2">
        <f t="shared" si="224"/>
        <v>1.3</v>
      </c>
      <c r="AB635" s="3">
        <f t="shared" si="225"/>
        <v>3.7517771884344027E-2</v>
      </c>
    </row>
    <row r="636" spans="1:28" x14ac:dyDescent="0.2">
      <c r="A636" t="s">
        <v>9</v>
      </c>
      <c r="B636">
        <v>1521</v>
      </c>
      <c r="C636">
        <v>158</v>
      </c>
      <c r="D636">
        <v>73</v>
      </c>
      <c r="E636" t="s">
        <v>12</v>
      </c>
      <c r="F636" s="1">
        <v>45178</v>
      </c>
      <c r="G636" t="s">
        <v>14</v>
      </c>
      <c r="H636" s="2">
        <v>10.07</v>
      </c>
      <c r="I636" s="2">
        <v>46.36</v>
      </c>
      <c r="J636" s="2">
        <v>43.83</v>
      </c>
      <c r="K636" s="2">
        <f t="shared" si="205"/>
        <v>319.51</v>
      </c>
      <c r="L636" s="2">
        <v>7.99</v>
      </c>
      <c r="M636" s="2">
        <v>0.06</v>
      </c>
      <c r="N636" s="6">
        <f t="shared" si="217"/>
        <v>9.0327352953593447</v>
      </c>
      <c r="O636" s="6">
        <f t="shared" si="218"/>
        <v>1.0362801644259623</v>
      </c>
      <c r="P636" s="6">
        <f t="shared" si="219"/>
        <v>97.290408088459031</v>
      </c>
      <c r="Q636" s="6">
        <f t="shared" si="209"/>
        <v>0.64306563155409646</v>
      </c>
      <c r="R636" s="10">
        <f t="shared" si="210"/>
        <v>6.4306563155409641E-4</v>
      </c>
      <c r="S636" s="3">
        <f t="shared" si="220"/>
        <v>1.1575181367973735E-2</v>
      </c>
      <c r="T636" s="4">
        <f t="shared" si="221"/>
        <v>1.1575181367973735E-5</v>
      </c>
      <c r="U636" s="3">
        <f t="shared" si="222"/>
        <v>4.1670652924705447E-2</v>
      </c>
      <c r="V636" s="2">
        <v>0.73</v>
      </c>
      <c r="W636" s="2">
        <v>0.16</v>
      </c>
      <c r="X636" s="2">
        <f t="shared" si="223"/>
        <v>1600</v>
      </c>
      <c r="Y636" s="5">
        <v>-0.48</v>
      </c>
      <c r="Z636" s="5">
        <v>-1.73</v>
      </c>
      <c r="AA636" s="2">
        <f t="shared" si="224"/>
        <v>1.25</v>
      </c>
      <c r="AB636" s="3">
        <f t="shared" si="225"/>
        <v>3.3336522339764356E-2</v>
      </c>
    </row>
    <row r="637" spans="1:28" x14ac:dyDescent="0.2">
      <c r="A637" t="s">
        <v>9</v>
      </c>
      <c r="B637">
        <v>1521</v>
      </c>
      <c r="C637">
        <v>158</v>
      </c>
      <c r="D637">
        <v>81</v>
      </c>
      <c r="E637" t="s">
        <v>12</v>
      </c>
      <c r="F637" s="1">
        <v>45178</v>
      </c>
      <c r="G637" t="s">
        <v>14</v>
      </c>
      <c r="H637" s="2">
        <v>11.15</v>
      </c>
      <c r="I637" s="2">
        <v>45.03</v>
      </c>
      <c r="J637" s="2">
        <v>42.93</v>
      </c>
      <c r="K637" s="2">
        <f t="shared" si="205"/>
        <v>318.17999999999995</v>
      </c>
      <c r="L637" s="2">
        <v>7.55</v>
      </c>
      <c r="M637" s="2">
        <v>0.09</v>
      </c>
      <c r="N637" s="6">
        <f t="shared" si="217"/>
        <v>8.6184943631401545</v>
      </c>
      <c r="O637" s="6">
        <f t="shared" si="218"/>
        <v>1.0717127343448649</v>
      </c>
      <c r="P637" s="6">
        <f t="shared" si="219"/>
        <v>97.273885110389685</v>
      </c>
      <c r="Q637" s="6">
        <f t="shared" si="209"/>
        <v>0.98859516686809823</v>
      </c>
      <c r="R637" s="10">
        <f t="shared" si="210"/>
        <v>9.8859516686809821E-4</v>
      </c>
      <c r="S637" s="3">
        <f t="shared" si="220"/>
        <v>1.7794713003625767E-2</v>
      </c>
      <c r="T637" s="4">
        <f t="shared" si="221"/>
        <v>1.7794713003625765E-5</v>
      </c>
      <c r="U637" s="3">
        <f t="shared" si="222"/>
        <v>6.4060966813052747E-2</v>
      </c>
      <c r="V637" s="2">
        <v>0.69</v>
      </c>
      <c r="W637" s="2">
        <v>0.22</v>
      </c>
      <c r="X637" s="2">
        <f t="shared" si="223"/>
        <v>2200</v>
      </c>
      <c r="Y637" s="5">
        <v>-0.42</v>
      </c>
      <c r="Z637" s="5">
        <v>-2.09</v>
      </c>
      <c r="AA637" s="2">
        <f t="shared" si="224"/>
        <v>1.67</v>
      </c>
      <c r="AB637" s="3">
        <f t="shared" si="225"/>
        <v>3.8359860367097452E-2</v>
      </c>
    </row>
    <row r="638" spans="1:28" x14ac:dyDescent="0.2">
      <c r="A638" t="s">
        <v>10</v>
      </c>
      <c r="B638">
        <v>666</v>
      </c>
      <c r="C638">
        <v>101</v>
      </c>
      <c r="D638">
        <v>1</v>
      </c>
      <c r="E638" t="s">
        <v>12</v>
      </c>
      <c r="F638" s="1">
        <v>45178</v>
      </c>
      <c r="G638" t="s">
        <v>14</v>
      </c>
      <c r="H638" s="2">
        <v>10.15</v>
      </c>
      <c r="I638" s="2">
        <v>46.81</v>
      </c>
      <c r="J638" s="2">
        <v>43.68</v>
      </c>
      <c r="K638" s="2">
        <f t="shared" si="205"/>
        <v>319.95999999999998</v>
      </c>
      <c r="L638" s="2">
        <v>7.89</v>
      </c>
      <c r="M638" s="2">
        <v>0.06</v>
      </c>
      <c r="N638" s="6">
        <f t="shared" si="217"/>
        <v>8.9625224432479893</v>
      </c>
      <c r="O638" s="6">
        <f t="shared" si="218"/>
        <v>1.068763732973131</v>
      </c>
      <c r="P638" s="6">
        <f t="shared" si="219"/>
        <v>97.295968099820712</v>
      </c>
      <c r="Q638" s="6">
        <f t="shared" si="209"/>
        <v>0.66139787548912776</v>
      </c>
      <c r="R638" s="10">
        <f t="shared" si="210"/>
        <v>6.6139787548912779E-4</v>
      </c>
      <c r="S638" s="3">
        <f t="shared" si="220"/>
        <v>1.19051617588043E-2</v>
      </c>
      <c r="T638" s="4">
        <f t="shared" si="221"/>
        <v>1.19051617588043E-5</v>
      </c>
      <c r="U638" s="3">
        <f t="shared" si="222"/>
        <v>4.2858582331695483E-2</v>
      </c>
      <c r="V638" s="2">
        <v>5.48</v>
      </c>
      <c r="W638" s="2">
        <v>0.73</v>
      </c>
      <c r="X638" s="2">
        <f t="shared" si="223"/>
        <v>7300</v>
      </c>
      <c r="Y638" s="5">
        <v>-0.26</v>
      </c>
      <c r="Z638" s="5">
        <v>-2.2999999999999998</v>
      </c>
      <c r="AA638" s="2">
        <f t="shared" si="224"/>
        <v>2.04</v>
      </c>
      <c r="AB638" s="3">
        <f t="shared" si="225"/>
        <v>2.1009108986125236E-2</v>
      </c>
    </row>
    <row r="639" spans="1:28" x14ac:dyDescent="0.2">
      <c r="A639" t="s">
        <v>10</v>
      </c>
      <c r="B639">
        <v>666</v>
      </c>
      <c r="C639">
        <v>101</v>
      </c>
      <c r="D639">
        <v>2</v>
      </c>
      <c r="E639" t="s">
        <v>12</v>
      </c>
      <c r="F639" s="1">
        <v>45178</v>
      </c>
      <c r="G639" t="s">
        <v>14</v>
      </c>
      <c r="H639" s="2">
        <v>10.1</v>
      </c>
      <c r="I639" s="2">
        <v>46.82</v>
      </c>
      <c r="J639" s="2">
        <v>45.19</v>
      </c>
      <c r="K639" s="2">
        <f t="shared" si="205"/>
        <v>319.96999999999997</v>
      </c>
      <c r="L639" s="2">
        <v>8.6300000000000008</v>
      </c>
      <c r="M639" s="2">
        <v>0.05</v>
      </c>
      <c r="N639" s="6">
        <f t="shared" si="217"/>
        <v>9.6913510014892879</v>
      </c>
      <c r="O639" s="6">
        <f t="shared" si="218"/>
        <v>1.0640405909101402</v>
      </c>
      <c r="P639" s="6">
        <f t="shared" si="219"/>
        <v>97.296091481604236</v>
      </c>
      <c r="Q639" s="6">
        <f t="shared" si="209"/>
        <v>0.54542324636440132</v>
      </c>
      <c r="R639" s="10">
        <f t="shared" si="210"/>
        <v>5.4542324636440128E-4</v>
      </c>
      <c r="S639" s="3">
        <f t="shared" si="220"/>
        <v>9.8176184345592221E-3</v>
      </c>
      <c r="T639" s="4">
        <f t="shared" si="221"/>
        <v>9.8176184345592217E-6</v>
      </c>
      <c r="U639" s="3">
        <f t="shared" si="222"/>
        <v>3.5343426364413198E-2</v>
      </c>
      <c r="V639" s="2">
        <v>4.08</v>
      </c>
      <c r="W639" s="2">
        <v>0.49</v>
      </c>
      <c r="X639" s="2">
        <f t="shared" si="223"/>
        <v>4900</v>
      </c>
      <c r="Y639" s="5">
        <v>-1.3</v>
      </c>
      <c r="Z639" s="5">
        <v>-2.2000000000000002</v>
      </c>
      <c r="AA639" s="2">
        <f t="shared" si="224"/>
        <v>0.90000000000000013</v>
      </c>
      <c r="AB639" s="3">
        <f t="shared" si="225"/>
        <v>3.9270473738236882E-2</v>
      </c>
    </row>
    <row r="640" spans="1:28" x14ac:dyDescent="0.2">
      <c r="A640" t="s">
        <v>10</v>
      </c>
      <c r="B640">
        <v>666</v>
      </c>
      <c r="C640">
        <v>101</v>
      </c>
      <c r="D640">
        <v>3</v>
      </c>
      <c r="E640" t="s">
        <v>12</v>
      </c>
      <c r="F640" s="1">
        <v>45178</v>
      </c>
      <c r="G640" t="s">
        <v>14</v>
      </c>
      <c r="H640" s="2">
        <v>9.5</v>
      </c>
      <c r="I640" s="2">
        <v>46.8</v>
      </c>
      <c r="J640" s="2">
        <v>42.89</v>
      </c>
      <c r="K640" s="2">
        <f t="shared" si="205"/>
        <v>319.95</v>
      </c>
      <c r="L640" s="2">
        <v>7.6</v>
      </c>
      <c r="M640" s="2">
        <v>0.05</v>
      </c>
      <c r="N640" s="6">
        <f t="shared" si="217"/>
        <v>8.6004717411264195</v>
      </c>
      <c r="O640" s="6">
        <f t="shared" si="218"/>
        <v>0.99981143582722654</v>
      </c>
      <c r="P640" s="6">
        <f t="shared" si="219"/>
        <v>97.295844710481106</v>
      </c>
      <c r="Q640" s="6">
        <f t="shared" si="209"/>
        <v>0.51413898718053119</v>
      </c>
      <c r="R640" s="10">
        <f t="shared" si="210"/>
        <v>5.1413898718053114E-4</v>
      </c>
      <c r="S640" s="3">
        <f t="shared" si="220"/>
        <v>9.2545017692495599E-3</v>
      </c>
      <c r="T640" s="4">
        <f t="shared" si="221"/>
        <v>9.2545017692495597E-6</v>
      </c>
      <c r="U640" s="3">
        <f t="shared" si="222"/>
        <v>3.3316206369298412E-2</v>
      </c>
      <c r="V640" s="2">
        <v>6.39</v>
      </c>
      <c r="W640" s="2">
        <v>0.75</v>
      </c>
      <c r="X640" s="2">
        <f t="shared" si="223"/>
        <v>7500</v>
      </c>
      <c r="Y640" s="5">
        <v>-1.1100000000000001</v>
      </c>
      <c r="Z640" s="5">
        <v>-2.37</v>
      </c>
      <c r="AA640" s="2">
        <f t="shared" si="224"/>
        <v>1.26</v>
      </c>
      <c r="AB640" s="3">
        <f t="shared" si="225"/>
        <v>2.644143362642731E-2</v>
      </c>
    </row>
    <row r="641" spans="1:28" x14ac:dyDescent="0.2">
      <c r="A641" t="s">
        <v>10</v>
      </c>
      <c r="B641">
        <v>666</v>
      </c>
      <c r="C641">
        <v>105</v>
      </c>
      <c r="D641">
        <v>7</v>
      </c>
      <c r="E641" t="s">
        <v>12</v>
      </c>
      <c r="F641" s="1">
        <v>45178</v>
      </c>
      <c r="G641" t="s">
        <v>14</v>
      </c>
      <c r="H641" s="2">
        <v>10.37</v>
      </c>
      <c r="I641" s="2">
        <v>46.28</v>
      </c>
      <c r="J641" s="2">
        <v>43.81</v>
      </c>
      <c r="K641" s="2">
        <f t="shared" si="205"/>
        <v>319.42999999999995</v>
      </c>
      <c r="L641" s="2">
        <v>7.95</v>
      </c>
      <c r="M641" s="2">
        <v>0.04</v>
      </c>
      <c r="N641" s="6">
        <f t="shared" si="217"/>
        <v>9.023346180473677</v>
      </c>
      <c r="O641" s="6">
        <f t="shared" si="218"/>
        <v>1.0627989614244238</v>
      </c>
      <c r="P641" s="6">
        <f t="shared" si="219"/>
        <v>97.289418035286474</v>
      </c>
      <c r="Q641" s="6">
        <f t="shared" si="209"/>
        <v>0.44130027793336313</v>
      </c>
      <c r="R641" s="10">
        <f t="shared" si="210"/>
        <v>4.4130027793336311E-4</v>
      </c>
      <c r="S641" s="3">
        <f t="shared" si="220"/>
        <v>7.9434050028005364E-3</v>
      </c>
      <c r="T641" s="4">
        <f t="shared" si="221"/>
        <v>7.9434050028005361E-6</v>
      </c>
      <c r="U641" s="3">
        <f t="shared" si="222"/>
        <v>2.8596258010081931E-2</v>
      </c>
      <c r="V641" s="2">
        <v>3.32</v>
      </c>
      <c r="W641" s="2">
        <v>0.56000000000000005</v>
      </c>
      <c r="X641" s="2">
        <f t="shared" si="223"/>
        <v>5600.0000000000009</v>
      </c>
      <c r="Y641" s="5">
        <v>-1.32</v>
      </c>
      <c r="Z641" s="5">
        <v>-1.82</v>
      </c>
      <c r="AA641" s="2">
        <f t="shared" si="224"/>
        <v>0.5</v>
      </c>
      <c r="AB641" s="3">
        <f t="shared" si="225"/>
        <v>5.7192516020163862E-2</v>
      </c>
    </row>
    <row r="642" spans="1:28" x14ac:dyDescent="0.2">
      <c r="A642" t="s">
        <v>10</v>
      </c>
      <c r="B642">
        <v>666</v>
      </c>
      <c r="C642">
        <v>105</v>
      </c>
      <c r="D642">
        <v>8</v>
      </c>
      <c r="E642" t="s">
        <v>12</v>
      </c>
      <c r="F642" s="1">
        <v>45178</v>
      </c>
      <c r="G642" t="s">
        <v>14</v>
      </c>
      <c r="H642" s="2">
        <v>9.92</v>
      </c>
      <c r="I642" s="2">
        <v>46.61</v>
      </c>
      <c r="J642" s="2">
        <v>40.92</v>
      </c>
      <c r="K642" s="2">
        <f t="shared" si="205"/>
        <v>319.76</v>
      </c>
      <c r="L642" s="2">
        <v>6.74</v>
      </c>
      <c r="M642" s="2">
        <v>0.18</v>
      </c>
      <c r="N642" s="6">
        <f t="shared" si="217"/>
        <v>7.752261645507974</v>
      </c>
      <c r="O642" s="6">
        <f t="shared" si="218"/>
        <v>1.0339534552347964</v>
      </c>
      <c r="P642" s="6">
        <f t="shared" si="219"/>
        <v>97.293498876447686</v>
      </c>
      <c r="Q642" s="6">
        <f t="shared" si="209"/>
        <v>1.8727571553657327</v>
      </c>
      <c r="R642" s="10">
        <f t="shared" si="210"/>
        <v>1.8727571553657327E-3</v>
      </c>
      <c r="S642" s="3">
        <f t="shared" si="220"/>
        <v>3.3709628796583187E-2</v>
      </c>
      <c r="T642" s="4">
        <f t="shared" si="221"/>
        <v>3.3709628796583187E-5</v>
      </c>
      <c r="U642" s="3">
        <f t="shared" si="222"/>
        <v>0.12135466366769947</v>
      </c>
      <c r="V642" s="2">
        <v>1.18</v>
      </c>
      <c r="W642" s="2">
        <v>0.18</v>
      </c>
      <c r="X642" s="2">
        <f t="shared" si="223"/>
        <v>1800</v>
      </c>
      <c r="Y642" s="5">
        <v>-1.2</v>
      </c>
      <c r="Z642" s="5">
        <v>-2.1</v>
      </c>
      <c r="AA642" s="2">
        <f t="shared" si="224"/>
        <v>0.90000000000000013</v>
      </c>
      <c r="AB642" s="3">
        <f t="shared" si="225"/>
        <v>0.13483851518633272</v>
      </c>
    </row>
    <row r="643" spans="1:28" x14ac:dyDescent="0.2">
      <c r="A643" t="s">
        <v>10</v>
      </c>
      <c r="B643">
        <v>666</v>
      </c>
      <c r="C643">
        <v>105</v>
      </c>
      <c r="D643">
        <v>9</v>
      </c>
      <c r="E643" t="s">
        <v>12</v>
      </c>
      <c r="F643" s="1">
        <v>45178</v>
      </c>
      <c r="G643" t="s">
        <v>14</v>
      </c>
      <c r="H643" s="2">
        <v>10.76</v>
      </c>
      <c r="I643" s="2">
        <v>46.49</v>
      </c>
      <c r="J643" s="2">
        <v>44.36</v>
      </c>
      <c r="K643" s="2">
        <f t="shared" si="205"/>
        <v>319.64</v>
      </c>
      <c r="L643" s="2">
        <v>8.18</v>
      </c>
      <c r="M643" s="2">
        <v>0.05</v>
      </c>
      <c r="N643" s="6">
        <f t="shared" si="217"/>
        <v>9.2846451125218739</v>
      </c>
      <c r="O643" s="6">
        <f t="shared" si="218"/>
        <v>1.1146610406842985</v>
      </c>
      <c r="P643" s="6">
        <f t="shared" si="219"/>
        <v>97.292015889342039</v>
      </c>
      <c r="Q643" s="6">
        <f t="shared" si="209"/>
        <v>0.5676956646567356</v>
      </c>
      <c r="R643" s="10">
        <f t="shared" si="210"/>
        <v>5.6769566465673558E-4</v>
      </c>
      <c r="S643" s="3">
        <f t="shared" si="220"/>
        <v>1.0218521963821241E-2</v>
      </c>
      <c r="T643" s="4">
        <f t="shared" si="221"/>
        <v>1.0218521963821241E-5</v>
      </c>
      <c r="U643" s="3">
        <f t="shared" si="222"/>
        <v>3.6786679069756467E-2</v>
      </c>
      <c r="V643" s="2">
        <v>4.63</v>
      </c>
      <c r="W643" s="2">
        <v>0.75</v>
      </c>
      <c r="X643" s="2">
        <f t="shared" si="223"/>
        <v>7500</v>
      </c>
      <c r="Y643" s="5">
        <v>-0.56000000000000005</v>
      </c>
      <c r="Z643" s="5">
        <v>-2.61</v>
      </c>
      <c r="AA643" s="2">
        <f t="shared" si="224"/>
        <v>2.0499999999999998</v>
      </c>
      <c r="AB643" s="3">
        <f t="shared" si="225"/>
        <v>1.7944721497442181E-2</v>
      </c>
    </row>
    <row r="644" spans="1:28" x14ac:dyDescent="0.2">
      <c r="A644" t="s">
        <v>10</v>
      </c>
      <c r="B644">
        <v>666</v>
      </c>
      <c r="C644">
        <v>118</v>
      </c>
      <c r="D644">
        <v>10</v>
      </c>
      <c r="E644" t="s">
        <v>12</v>
      </c>
      <c r="F644" s="1">
        <v>45178</v>
      </c>
      <c r="G644" t="s">
        <v>14</v>
      </c>
      <c r="H644" s="2">
        <v>10.79</v>
      </c>
      <c r="I644" s="2">
        <v>45.2</v>
      </c>
      <c r="J644" s="2">
        <v>44.11</v>
      </c>
      <c r="K644" s="2">
        <f t="shared" ref="K644:K707" si="226">273.15+I644</f>
        <v>318.34999999999997</v>
      </c>
      <c r="L644" s="2">
        <v>8.1300000000000008</v>
      </c>
      <c r="M644" s="2">
        <v>0.04</v>
      </c>
      <c r="N644" s="6">
        <f t="shared" ref="N644:N667" si="227">0.611*EXP((17.502*J644)/(240.97+J644))</f>
        <v>9.1650729354612199</v>
      </c>
      <c r="O644" s="6">
        <f t="shared" ref="O644:O667" si="228">(0.611*EXP((17.502*I644)/(240.97+I644)))*(H644/100)</f>
        <v>1.0462354584949616</v>
      </c>
      <c r="P644" s="6">
        <f t="shared" ref="P644:P667" si="229">101.325*EXP(-380/(29.27*K644))</f>
        <v>97.276004608614372</v>
      </c>
      <c r="Q644" s="6">
        <f t="shared" ref="Q644:Q707" si="230">(M644*(N644-L644)/P644)*1000</f>
        <v>0.42562312859200524</v>
      </c>
      <c r="R644" s="10">
        <f t="shared" ref="R644:R667" si="231">Q644/1000</f>
        <v>4.2562312859200524E-4</v>
      </c>
      <c r="S644" s="3">
        <f t="shared" ref="S644:S667" si="232">R644*18</f>
        <v>7.6612163146560939E-3</v>
      </c>
      <c r="T644" s="4">
        <f t="shared" ref="T644:T667" si="233">S644/1000</f>
        <v>7.6612163146560932E-6</v>
      </c>
      <c r="U644" s="3">
        <f t="shared" ref="U644:U667" si="234">T644*3600</f>
        <v>2.7580378732761937E-2</v>
      </c>
      <c r="V644" s="2">
        <v>10.06</v>
      </c>
      <c r="W644" s="2">
        <v>1.55</v>
      </c>
      <c r="X644" s="2">
        <f t="shared" ref="X644:X667" si="235">W644*10000</f>
        <v>15500</v>
      </c>
      <c r="Y644" s="5">
        <v>-0.26</v>
      </c>
      <c r="Z644" s="5">
        <v>-1.83</v>
      </c>
      <c r="AA644" s="2">
        <f t="shared" ref="AA644:AA667" si="236">Y644-Z644</f>
        <v>1.57</v>
      </c>
      <c r="AB644" s="3">
        <f t="shared" ref="AB644:AB667" si="237">U644/AA644</f>
        <v>1.7567120211950279E-2</v>
      </c>
    </row>
    <row r="645" spans="1:28" x14ac:dyDescent="0.2">
      <c r="A645" t="s">
        <v>10</v>
      </c>
      <c r="B645">
        <v>666</v>
      </c>
      <c r="C645">
        <v>118</v>
      </c>
      <c r="D645">
        <v>11</v>
      </c>
      <c r="E645" t="s">
        <v>12</v>
      </c>
      <c r="F645" s="1">
        <v>45178</v>
      </c>
      <c r="G645" t="s">
        <v>14</v>
      </c>
      <c r="H645" s="2">
        <v>9.8800000000000008</v>
      </c>
      <c r="I645" s="2">
        <v>46.49</v>
      </c>
      <c r="J645" s="2">
        <v>45.47</v>
      </c>
      <c r="K645" s="2">
        <f t="shared" si="226"/>
        <v>319.64</v>
      </c>
      <c r="L645" s="2">
        <v>8.81</v>
      </c>
      <c r="M645" s="2">
        <v>0.03</v>
      </c>
      <c r="N645" s="6">
        <f t="shared" si="227"/>
        <v>9.8319824861990508</v>
      </c>
      <c r="O645" s="6">
        <f t="shared" si="228"/>
        <v>1.0234991711859545</v>
      </c>
      <c r="P645" s="6">
        <f t="shared" si="229"/>
        <v>97.292015889342039</v>
      </c>
      <c r="Q645" s="6">
        <f t="shared" si="230"/>
        <v>0.31512837210447947</v>
      </c>
      <c r="R645" s="10">
        <f t="shared" si="231"/>
        <v>3.1512837210447947E-4</v>
      </c>
      <c r="S645" s="3">
        <f t="shared" si="232"/>
        <v>5.6723106978806307E-3</v>
      </c>
      <c r="T645" s="4">
        <f t="shared" si="233"/>
        <v>5.6723106978806306E-6</v>
      </c>
      <c r="U645" s="3">
        <f t="shared" si="234"/>
        <v>2.0420318512370271E-2</v>
      </c>
      <c r="V645" s="2">
        <v>2.44</v>
      </c>
      <c r="W645" s="2">
        <v>0.45</v>
      </c>
      <c r="X645" s="2">
        <f t="shared" si="235"/>
        <v>4500</v>
      </c>
      <c r="Y645" s="5">
        <v>-0.36</v>
      </c>
      <c r="Z645" s="5">
        <v>-1.71</v>
      </c>
      <c r="AA645" s="2">
        <f t="shared" si="236"/>
        <v>1.35</v>
      </c>
      <c r="AB645" s="3">
        <f t="shared" si="237"/>
        <v>1.5126161861015015E-2</v>
      </c>
    </row>
    <row r="646" spans="1:28" x14ac:dyDescent="0.2">
      <c r="A646" t="s">
        <v>10</v>
      </c>
      <c r="B646">
        <v>666</v>
      </c>
      <c r="C646">
        <v>118</v>
      </c>
      <c r="D646">
        <v>12</v>
      </c>
      <c r="E646" t="s">
        <v>12</v>
      </c>
      <c r="F646" s="1">
        <v>45178</v>
      </c>
      <c r="G646" t="s">
        <v>14</v>
      </c>
      <c r="H646" s="2">
        <v>10.38</v>
      </c>
      <c r="I646" s="2">
        <v>45.64</v>
      </c>
      <c r="J646" s="2">
        <v>44.16</v>
      </c>
      <c r="K646" s="2">
        <f t="shared" si="226"/>
        <v>318.78999999999996</v>
      </c>
      <c r="L646" s="2">
        <v>8.15</v>
      </c>
      <c r="M646" s="2">
        <v>0.02</v>
      </c>
      <c r="N646" s="6">
        <f t="shared" si="227"/>
        <v>9.188880248236627</v>
      </c>
      <c r="O646" s="6">
        <f t="shared" si="228"/>
        <v>1.0295115909097676</v>
      </c>
      <c r="P646" s="6">
        <f t="shared" si="229"/>
        <v>97.281480085549603</v>
      </c>
      <c r="Q646" s="6">
        <f t="shared" si="230"/>
        <v>0.21358232776126193</v>
      </c>
      <c r="R646" s="10">
        <f t="shared" si="231"/>
        <v>2.1358232776126193E-4</v>
      </c>
      <c r="S646" s="3">
        <f t="shared" si="232"/>
        <v>3.8444818997027145E-3</v>
      </c>
      <c r="T646" s="4">
        <f t="shared" si="233"/>
        <v>3.8444818997027145E-6</v>
      </c>
      <c r="U646" s="3">
        <f t="shared" si="234"/>
        <v>1.3840134838929772E-2</v>
      </c>
      <c r="V646" s="2">
        <v>1.93</v>
      </c>
      <c r="W646" s="2">
        <v>0.33</v>
      </c>
      <c r="X646" s="2">
        <f t="shared" si="235"/>
        <v>3300</v>
      </c>
      <c r="Y646" s="5">
        <v>-0.47</v>
      </c>
      <c r="Z646" s="5">
        <v>-1.91</v>
      </c>
      <c r="AA646" s="2">
        <f t="shared" si="236"/>
        <v>1.44</v>
      </c>
      <c r="AB646" s="3">
        <f t="shared" si="237"/>
        <v>9.6112047492567868E-3</v>
      </c>
    </row>
    <row r="647" spans="1:28" x14ac:dyDescent="0.2">
      <c r="A647" t="s">
        <v>10</v>
      </c>
      <c r="B647">
        <v>666</v>
      </c>
      <c r="C647">
        <v>122</v>
      </c>
      <c r="D647">
        <v>16</v>
      </c>
      <c r="E647" t="s">
        <v>12</v>
      </c>
      <c r="F647" s="1">
        <v>45178</v>
      </c>
      <c r="G647" t="s">
        <v>14</v>
      </c>
      <c r="H647" s="2">
        <v>10.48</v>
      </c>
      <c r="I647" s="2">
        <v>46.2</v>
      </c>
      <c r="J647" s="2">
        <v>45.25</v>
      </c>
      <c r="K647" s="2">
        <f t="shared" si="226"/>
        <v>319.34999999999997</v>
      </c>
      <c r="L647" s="2">
        <v>8.65</v>
      </c>
      <c r="M647" s="2">
        <v>0.04</v>
      </c>
      <c r="N647" s="6">
        <f t="shared" si="227"/>
        <v>9.7213390622900615</v>
      </c>
      <c r="O647" s="6">
        <f t="shared" si="228"/>
        <v>1.0696884551388137</v>
      </c>
      <c r="P647" s="6">
        <f t="shared" si="229"/>
        <v>97.288427496162385</v>
      </c>
      <c r="Q647" s="6">
        <f t="shared" si="230"/>
        <v>0.44047954720300969</v>
      </c>
      <c r="R647" s="10">
        <f t="shared" si="231"/>
        <v>4.4047954720300971E-4</v>
      </c>
      <c r="S647" s="3">
        <f t="shared" si="232"/>
        <v>7.9286318496541754E-3</v>
      </c>
      <c r="T647" s="4">
        <f t="shared" si="233"/>
        <v>7.9286318496541758E-6</v>
      </c>
      <c r="U647" s="3">
        <f t="shared" si="234"/>
        <v>2.8543074658755031E-2</v>
      </c>
      <c r="V647" s="2">
        <v>8.4700000000000006</v>
      </c>
      <c r="W647" s="2">
        <v>1.37</v>
      </c>
      <c r="X647" s="2">
        <f t="shared" si="235"/>
        <v>13700.000000000002</v>
      </c>
      <c r="Y647" s="5">
        <v>-0.27</v>
      </c>
      <c r="Z647" s="5">
        <v>-1.65</v>
      </c>
      <c r="AA647" s="2">
        <f t="shared" si="236"/>
        <v>1.38</v>
      </c>
      <c r="AB647" s="3">
        <f t="shared" si="237"/>
        <v>2.068338743388046E-2</v>
      </c>
    </row>
    <row r="648" spans="1:28" x14ac:dyDescent="0.2">
      <c r="A648" t="s">
        <v>10</v>
      </c>
      <c r="B648">
        <v>666</v>
      </c>
      <c r="C648">
        <v>122</v>
      </c>
      <c r="D648">
        <v>17</v>
      </c>
      <c r="E648" t="s">
        <v>12</v>
      </c>
      <c r="F648" s="1">
        <v>45178</v>
      </c>
      <c r="G648" t="s">
        <v>14</v>
      </c>
      <c r="H648" s="2">
        <v>10.3</v>
      </c>
      <c r="I648" s="2">
        <v>45.95</v>
      </c>
      <c r="J648" s="2">
        <v>44.41</v>
      </c>
      <c r="K648" s="2">
        <f t="shared" si="226"/>
        <v>319.09999999999997</v>
      </c>
      <c r="L648" s="2">
        <v>8.26</v>
      </c>
      <c r="M648" s="2">
        <v>0.05</v>
      </c>
      <c r="N648" s="6">
        <f t="shared" si="227"/>
        <v>9.3087207318406548</v>
      </c>
      <c r="O648" s="6">
        <f t="shared" si="228"/>
        <v>1.0379485027684083</v>
      </c>
      <c r="P648" s="6">
        <f t="shared" si="229"/>
        <v>97.285328925348168</v>
      </c>
      <c r="Q648" s="6">
        <f t="shared" si="230"/>
        <v>0.5389922321408761</v>
      </c>
      <c r="R648" s="10">
        <f t="shared" si="231"/>
        <v>5.3899223214087615E-4</v>
      </c>
      <c r="S648" s="3">
        <f t="shared" si="232"/>
        <v>9.7018601785357709E-3</v>
      </c>
      <c r="T648" s="4">
        <f t="shared" si="233"/>
        <v>9.7018601785357716E-6</v>
      </c>
      <c r="U648" s="3">
        <f t="shared" si="234"/>
        <v>3.492669664272878E-2</v>
      </c>
      <c r="V648" s="2">
        <v>8.18</v>
      </c>
      <c r="W648" s="2">
        <v>1.23</v>
      </c>
      <c r="X648" s="2">
        <f t="shared" si="235"/>
        <v>12300</v>
      </c>
      <c r="Y648" s="5">
        <v>-0.26</v>
      </c>
      <c r="Z648" s="5">
        <v>-2.09</v>
      </c>
      <c r="AA648" s="2">
        <f t="shared" si="236"/>
        <v>1.8299999999999998</v>
      </c>
      <c r="AB648" s="3">
        <f t="shared" si="237"/>
        <v>1.9085626580726111E-2</v>
      </c>
    </row>
    <row r="649" spans="1:28" x14ac:dyDescent="0.2">
      <c r="A649" t="s">
        <v>10</v>
      </c>
      <c r="B649">
        <v>666</v>
      </c>
      <c r="C649">
        <v>122</v>
      </c>
      <c r="D649">
        <v>18</v>
      </c>
      <c r="E649" t="s">
        <v>12</v>
      </c>
      <c r="F649" s="1">
        <v>45178</v>
      </c>
      <c r="G649" t="s">
        <v>14</v>
      </c>
      <c r="H649" s="2">
        <v>9.57</v>
      </c>
      <c r="I649" s="2">
        <v>46.84</v>
      </c>
      <c r="J649" s="2">
        <v>45.45</v>
      </c>
      <c r="K649" s="2">
        <f t="shared" si="226"/>
        <v>319.99</v>
      </c>
      <c r="L649" s="2">
        <v>8.8000000000000007</v>
      </c>
      <c r="M649" s="2">
        <v>0.02</v>
      </c>
      <c r="N649" s="6">
        <f t="shared" si="227"/>
        <v>9.821879226663432</v>
      </c>
      <c r="O649" s="6">
        <f t="shared" si="228"/>
        <v>1.0092320305796778</v>
      </c>
      <c r="P649" s="6">
        <f t="shared" si="229"/>
        <v>97.296338222505781</v>
      </c>
      <c r="Q649" s="6">
        <f t="shared" si="230"/>
        <v>0.21005502269294218</v>
      </c>
      <c r="R649" s="10">
        <f t="shared" si="231"/>
        <v>2.1005502269294218E-4</v>
      </c>
      <c r="S649" s="3">
        <f t="shared" si="232"/>
        <v>3.7809904084729591E-3</v>
      </c>
      <c r="T649" s="4">
        <f t="shared" si="233"/>
        <v>3.7809904084729593E-6</v>
      </c>
      <c r="U649" s="3">
        <f t="shared" si="234"/>
        <v>1.3611565470502653E-2</v>
      </c>
      <c r="V649" s="2">
        <v>7.71</v>
      </c>
      <c r="W649" s="2">
        <v>1.2</v>
      </c>
      <c r="X649" s="2">
        <f t="shared" si="235"/>
        <v>12000</v>
      </c>
      <c r="Y649" s="5">
        <v>-0.88</v>
      </c>
      <c r="Z649" s="5">
        <v>-1.99</v>
      </c>
      <c r="AA649" s="2">
        <f t="shared" si="236"/>
        <v>1.1099999999999999</v>
      </c>
      <c r="AB649" s="3">
        <f t="shared" si="237"/>
        <v>1.2262671595047436E-2</v>
      </c>
    </row>
    <row r="650" spans="1:28" x14ac:dyDescent="0.2">
      <c r="A650" t="s">
        <v>10</v>
      </c>
      <c r="B650">
        <v>666</v>
      </c>
      <c r="C650">
        <v>123</v>
      </c>
      <c r="D650">
        <v>19</v>
      </c>
      <c r="E650" t="s">
        <v>12</v>
      </c>
      <c r="F650" s="1">
        <v>45178</v>
      </c>
      <c r="G650" t="s">
        <v>14</v>
      </c>
      <c r="H650" s="2">
        <v>11.05</v>
      </c>
      <c r="I650" s="2">
        <v>45.39</v>
      </c>
      <c r="J650" s="2">
        <v>39.18</v>
      </c>
      <c r="K650" s="2">
        <f t="shared" si="226"/>
        <v>318.53999999999996</v>
      </c>
      <c r="L650" s="2">
        <v>5.99</v>
      </c>
      <c r="M650" s="2">
        <v>0.13</v>
      </c>
      <c r="N650" s="6">
        <f t="shared" si="227"/>
        <v>7.064344704910277</v>
      </c>
      <c r="O650" s="6">
        <f t="shared" si="228"/>
        <v>1.0819743702676172</v>
      </c>
      <c r="P650" s="6">
        <f t="shared" si="229"/>
        <v>97.278370836956185</v>
      </c>
      <c r="Q650" s="6">
        <f t="shared" si="230"/>
        <v>1.4357231770711063</v>
      </c>
      <c r="R650" s="10">
        <f t="shared" si="231"/>
        <v>1.4357231770711063E-3</v>
      </c>
      <c r="S650" s="3">
        <f t="shared" si="232"/>
        <v>2.5843017187279913E-2</v>
      </c>
      <c r="T650" s="4">
        <f t="shared" si="233"/>
        <v>2.5843017187279913E-5</v>
      </c>
      <c r="U650" s="3">
        <f t="shared" si="234"/>
        <v>9.3034861874207689E-2</v>
      </c>
      <c r="V650" s="2">
        <v>8.61</v>
      </c>
      <c r="W650" s="2">
        <v>1.52</v>
      </c>
      <c r="X650" s="2">
        <f t="shared" si="235"/>
        <v>15200</v>
      </c>
      <c r="Y650" s="5">
        <v>-0.86</v>
      </c>
      <c r="Z650" s="5">
        <v>-2.4300000000000002</v>
      </c>
      <c r="AA650" s="2">
        <f t="shared" si="236"/>
        <v>1.5700000000000003</v>
      </c>
      <c r="AB650" s="3">
        <f t="shared" si="237"/>
        <v>5.9257873805227818E-2</v>
      </c>
    </row>
    <row r="651" spans="1:28" x14ac:dyDescent="0.2">
      <c r="A651" t="s">
        <v>10</v>
      </c>
      <c r="B651">
        <v>666</v>
      </c>
      <c r="C651">
        <v>123</v>
      </c>
      <c r="D651">
        <v>20</v>
      </c>
      <c r="E651" t="s">
        <v>12</v>
      </c>
      <c r="F651" s="1">
        <v>45178</v>
      </c>
      <c r="G651" t="s">
        <v>14</v>
      </c>
      <c r="H651" s="2">
        <v>11.56</v>
      </c>
      <c r="I651" s="2">
        <v>45.4</v>
      </c>
      <c r="J651" s="2">
        <v>41.91</v>
      </c>
      <c r="K651" s="2">
        <f t="shared" si="226"/>
        <v>318.54999999999995</v>
      </c>
      <c r="L651" s="2">
        <v>7.05</v>
      </c>
      <c r="M651" s="2">
        <v>0.06</v>
      </c>
      <c r="N651" s="6">
        <f t="shared" si="227"/>
        <v>8.1689889081086271</v>
      </c>
      <c r="O651" s="6">
        <f t="shared" si="228"/>
        <v>1.132493933081357</v>
      </c>
      <c r="P651" s="6">
        <f t="shared" si="229"/>
        <v>97.278495298692548</v>
      </c>
      <c r="Q651" s="6">
        <f t="shared" si="230"/>
        <v>0.69017653162055048</v>
      </c>
      <c r="R651" s="10">
        <f t="shared" si="231"/>
        <v>6.9017653162055045E-4</v>
      </c>
      <c r="S651" s="3">
        <f t="shared" si="232"/>
        <v>1.2423177569169908E-2</v>
      </c>
      <c r="T651" s="4">
        <f t="shared" si="233"/>
        <v>1.2423177569169908E-5</v>
      </c>
      <c r="U651" s="3">
        <f t="shared" si="234"/>
        <v>4.4723439249011669E-2</v>
      </c>
      <c r="V651" s="2">
        <v>1.94</v>
      </c>
      <c r="W651" s="2">
        <v>0.35</v>
      </c>
      <c r="X651" s="2">
        <f t="shared" si="235"/>
        <v>3500</v>
      </c>
      <c r="Y651" s="5">
        <v>-1.21</v>
      </c>
      <c r="Z651" s="5">
        <v>-1.88</v>
      </c>
      <c r="AA651" s="2">
        <f t="shared" si="236"/>
        <v>0.66999999999999993</v>
      </c>
      <c r="AB651" s="3">
        <f t="shared" si="237"/>
        <v>6.6751401864196522E-2</v>
      </c>
    </row>
    <row r="652" spans="1:28" x14ac:dyDescent="0.2">
      <c r="A652" t="s">
        <v>10</v>
      </c>
      <c r="B652">
        <v>666</v>
      </c>
      <c r="C652">
        <v>123</v>
      </c>
      <c r="D652">
        <v>22</v>
      </c>
      <c r="E652" t="s">
        <v>12</v>
      </c>
      <c r="F652" s="1">
        <v>45178</v>
      </c>
      <c r="G652" t="s">
        <v>14</v>
      </c>
      <c r="H652" s="2">
        <v>10.57</v>
      </c>
      <c r="I652" s="2">
        <v>46.75</v>
      </c>
      <c r="J652" s="2">
        <v>43.66</v>
      </c>
      <c r="K652" s="2">
        <f t="shared" si="226"/>
        <v>319.89999999999998</v>
      </c>
      <c r="L652" s="2">
        <v>7.86</v>
      </c>
      <c r="M652" s="2">
        <v>0.05</v>
      </c>
      <c r="N652" s="6">
        <f t="shared" si="227"/>
        <v>8.9531964950753391</v>
      </c>
      <c r="O652" s="6">
        <f t="shared" si="228"/>
        <v>1.1095921986338733</v>
      </c>
      <c r="P652" s="6">
        <f t="shared" si="229"/>
        <v>97.295227650417388</v>
      </c>
      <c r="Q652" s="6">
        <f t="shared" si="230"/>
        <v>0.56179348230891824</v>
      </c>
      <c r="R652" s="10">
        <f t="shared" si="231"/>
        <v>5.6179348230891827E-4</v>
      </c>
      <c r="S652" s="3">
        <f t="shared" si="232"/>
        <v>1.0112282681560529E-2</v>
      </c>
      <c r="T652" s="4">
        <f t="shared" si="233"/>
        <v>1.0112282681560528E-5</v>
      </c>
      <c r="U652" s="3">
        <f t="shared" si="234"/>
        <v>3.6404217653617899E-2</v>
      </c>
      <c r="V652" s="2">
        <v>7.09</v>
      </c>
      <c r="W652" s="2">
        <v>0.5</v>
      </c>
      <c r="X652" s="2">
        <f t="shared" si="235"/>
        <v>5000</v>
      </c>
      <c r="Y652" s="5">
        <v>-0.92</v>
      </c>
      <c r="Z652" s="5">
        <v>-1.96</v>
      </c>
      <c r="AA652" s="2">
        <f t="shared" si="236"/>
        <v>1.04</v>
      </c>
      <c r="AB652" s="3">
        <f t="shared" si="237"/>
        <v>3.5004055436171057E-2</v>
      </c>
    </row>
    <row r="653" spans="1:28" x14ac:dyDescent="0.2">
      <c r="A653" t="s">
        <v>11</v>
      </c>
      <c r="B653">
        <v>1212</v>
      </c>
      <c r="C653">
        <v>3</v>
      </c>
      <c r="D653">
        <v>29</v>
      </c>
      <c r="E653" t="s">
        <v>12</v>
      </c>
      <c r="F653" s="1">
        <v>45178</v>
      </c>
      <c r="G653" t="s">
        <v>14</v>
      </c>
      <c r="H653" s="2">
        <v>9.92</v>
      </c>
      <c r="I653" s="2">
        <v>45.78</v>
      </c>
      <c r="J653" s="2">
        <v>44.96</v>
      </c>
      <c r="K653" s="2">
        <f t="shared" si="226"/>
        <v>318.92999999999995</v>
      </c>
      <c r="L653" s="2">
        <v>8.58</v>
      </c>
      <c r="M653" s="2">
        <v>0.01</v>
      </c>
      <c r="N653" s="6">
        <f t="shared" si="227"/>
        <v>9.5771362028236862</v>
      </c>
      <c r="O653" s="6">
        <f t="shared" si="228"/>
        <v>0.99098175150555889</v>
      </c>
      <c r="P653" s="6">
        <f t="shared" si="229"/>
        <v>97.283219178916724</v>
      </c>
      <c r="Q653" s="6">
        <f t="shared" si="230"/>
        <v>0.10249827372486725</v>
      </c>
      <c r="R653" s="10">
        <f t="shared" si="231"/>
        <v>1.0249827372486726E-4</v>
      </c>
      <c r="S653" s="3">
        <f t="shared" si="232"/>
        <v>1.8449689270476106E-3</v>
      </c>
      <c r="T653" s="4">
        <f t="shared" si="233"/>
        <v>1.8449689270476106E-6</v>
      </c>
      <c r="U653" s="3">
        <f t="shared" si="234"/>
        <v>6.6418881373713984E-3</v>
      </c>
      <c r="V653" s="2">
        <v>0.9</v>
      </c>
      <c r="W653" s="2">
        <v>0.17</v>
      </c>
      <c r="X653" s="2">
        <f t="shared" si="235"/>
        <v>1700.0000000000002</v>
      </c>
      <c r="Y653" s="5">
        <v>-0.74</v>
      </c>
      <c r="Z653" s="5">
        <v>-2.06</v>
      </c>
      <c r="AA653" s="2">
        <f t="shared" si="236"/>
        <v>1.32</v>
      </c>
      <c r="AB653" s="3">
        <f t="shared" si="237"/>
        <v>5.0317334374025743E-3</v>
      </c>
    </row>
    <row r="654" spans="1:28" x14ac:dyDescent="0.2">
      <c r="A654" t="s">
        <v>11</v>
      </c>
      <c r="B654">
        <v>1212</v>
      </c>
      <c r="C654">
        <v>3</v>
      </c>
      <c r="D654">
        <v>30</v>
      </c>
      <c r="E654" t="s">
        <v>12</v>
      </c>
      <c r="F654" s="1">
        <v>45178</v>
      </c>
      <c r="G654" t="s">
        <v>14</v>
      </c>
      <c r="H654" s="2">
        <v>10.02</v>
      </c>
      <c r="I654" s="2">
        <v>46.85</v>
      </c>
      <c r="J654" s="2">
        <v>43.23</v>
      </c>
      <c r="K654" s="2">
        <f t="shared" si="226"/>
        <v>320</v>
      </c>
      <c r="L654" s="2">
        <v>7.69</v>
      </c>
      <c r="M654" s="2">
        <v>0.06</v>
      </c>
      <c r="N654" s="6">
        <f t="shared" si="227"/>
        <v>8.7547088979214909</v>
      </c>
      <c r="O654" s="6">
        <f t="shared" si="228"/>
        <v>1.0572262047072389</v>
      </c>
      <c r="P654" s="6">
        <f t="shared" si="229"/>
        <v>97.296461581625181</v>
      </c>
      <c r="Q654" s="6">
        <f t="shared" si="230"/>
        <v>0.65657612658088582</v>
      </c>
      <c r="R654" s="10">
        <f t="shared" si="231"/>
        <v>6.5657612658088583E-4</v>
      </c>
      <c r="S654" s="3">
        <f t="shared" si="232"/>
        <v>1.1818370278455944E-2</v>
      </c>
      <c r="T654" s="4">
        <f t="shared" si="233"/>
        <v>1.1818370278455944E-5</v>
      </c>
      <c r="U654" s="3">
        <f t="shared" si="234"/>
        <v>4.2546133002441394E-2</v>
      </c>
      <c r="V654" s="2">
        <v>7.13</v>
      </c>
      <c r="W654" s="2">
        <v>1.39</v>
      </c>
      <c r="X654" s="2">
        <f t="shared" si="235"/>
        <v>13899.999999999998</v>
      </c>
      <c r="Y654" s="5">
        <v>-0.86</v>
      </c>
      <c r="Z654" s="5">
        <v>-2.41</v>
      </c>
      <c r="AA654" s="2">
        <f t="shared" si="236"/>
        <v>1.5500000000000003</v>
      </c>
      <c r="AB654" s="3">
        <f t="shared" si="237"/>
        <v>2.7449118066091217E-2</v>
      </c>
    </row>
    <row r="655" spans="1:28" x14ac:dyDescent="0.2">
      <c r="A655" t="s">
        <v>11</v>
      </c>
      <c r="B655">
        <v>1212</v>
      </c>
      <c r="C655">
        <v>3</v>
      </c>
      <c r="D655">
        <v>31</v>
      </c>
      <c r="E655" t="s">
        <v>12</v>
      </c>
      <c r="F655" s="1">
        <v>45178</v>
      </c>
      <c r="G655" t="s">
        <v>14</v>
      </c>
      <c r="H655" s="2">
        <v>10.59</v>
      </c>
      <c r="I655" s="2">
        <v>46.39</v>
      </c>
      <c r="J655" s="2">
        <v>43.29</v>
      </c>
      <c r="K655" s="2">
        <f t="shared" si="226"/>
        <v>319.53999999999996</v>
      </c>
      <c r="L655" s="2">
        <v>7.69</v>
      </c>
      <c r="M655" s="2">
        <v>0.05</v>
      </c>
      <c r="N655" s="6">
        <f t="shared" si="227"/>
        <v>8.7821741847011516</v>
      </c>
      <c r="O655" s="6">
        <f t="shared" si="228"/>
        <v>1.0914633978206461</v>
      </c>
      <c r="P655" s="6">
        <f t="shared" si="229"/>
        <v>97.290779233187337</v>
      </c>
      <c r="Q655" s="6">
        <f t="shared" si="230"/>
        <v>0.56129378000119579</v>
      </c>
      <c r="R655" s="10">
        <f t="shared" si="231"/>
        <v>5.6129378000119583E-4</v>
      </c>
      <c r="S655" s="3">
        <f t="shared" si="232"/>
        <v>1.0103288040021524E-2</v>
      </c>
      <c r="T655" s="4">
        <f t="shared" si="233"/>
        <v>1.0103288040021525E-5</v>
      </c>
      <c r="U655" s="3">
        <f t="shared" si="234"/>
        <v>3.6371836944077487E-2</v>
      </c>
      <c r="V655" s="2">
        <v>4.1399999999999997</v>
      </c>
      <c r="W655" s="2">
        <v>0.74</v>
      </c>
      <c r="X655" s="2">
        <f t="shared" si="235"/>
        <v>7400</v>
      </c>
      <c r="Y655" s="5">
        <v>-0.52</v>
      </c>
      <c r="Z655" s="5">
        <v>-2.13</v>
      </c>
      <c r="AA655" s="2">
        <f t="shared" si="236"/>
        <v>1.6099999999999999</v>
      </c>
      <c r="AB655" s="3">
        <f t="shared" si="237"/>
        <v>2.2591203070855582E-2</v>
      </c>
    </row>
    <row r="656" spans="1:28" x14ac:dyDescent="0.2">
      <c r="A656" t="s">
        <v>11</v>
      </c>
      <c r="B656">
        <v>1212</v>
      </c>
      <c r="C656">
        <v>4</v>
      </c>
      <c r="D656">
        <v>32</v>
      </c>
      <c r="E656" t="s">
        <v>12</v>
      </c>
      <c r="F656" s="1">
        <v>45178</v>
      </c>
      <c r="G656" t="s">
        <v>14</v>
      </c>
      <c r="H656" s="2">
        <v>9.48</v>
      </c>
      <c r="I656" s="2">
        <v>46.79</v>
      </c>
      <c r="J656" s="2">
        <v>46.05</v>
      </c>
      <c r="K656" s="2">
        <f t="shared" si="226"/>
        <v>319.94</v>
      </c>
      <c r="L656" s="2">
        <v>9.1199999999999992</v>
      </c>
      <c r="M656" s="2">
        <v>0.01</v>
      </c>
      <c r="N656" s="6">
        <f t="shared" si="227"/>
        <v>10.128910212957216</v>
      </c>
      <c r="O656" s="6">
        <f t="shared" si="228"/>
        <v>0.99719856584898037</v>
      </c>
      <c r="P656" s="6">
        <f t="shared" si="229"/>
        <v>97.295721313584707</v>
      </c>
      <c r="Q656" s="6">
        <f t="shared" si="230"/>
        <v>0.10369522927996933</v>
      </c>
      <c r="R656" s="10">
        <f t="shared" si="231"/>
        <v>1.0369522927996932E-4</v>
      </c>
      <c r="S656" s="3">
        <f t="shared" si="232"/>
        <v>1.8665141270394479E-3</v>
      </c>
      <c r="T656" s="4">
        <f t="shared" si="233"/>
        <v>1.866514127039448E-6</v>
      </c>
      <c r="U656" s="3">
        <f t="shared" si="234"/>
        <v>6.7194508573420126E-3</v>
      </c>
      <c r="V656" s="2">
        <v>7.33</v>
      </c>
      <c r="W656" s="2">
        <v>1.02</v>
      </c>
      <c r="X656" s="2">
        <f t="shared" si="235"/>
        <v>10200</v>
      </c>
      <c r="Y656" s="5">
        <v>-0.86</v>
      </c>
      <c r="Z656" s="5">
        <v>-2.06</v>
      </c>
      <c r="AA656" s="2">
        <f t="shared" si="236"/>
        <v>1.2000000000000002</v>
      </c>
      <c r="AB656" s="3">
        <f t="shared" si="237"/>
        <v>5.5995423811183434E-3</v>
      </c>
    </row>
    <row r="657" spans="1:28" x14ac:dyDescent="0.2">
      <c r="A657" t="s">
        <v>11</v>
      </c>
      <c r="B657">
        <v>1212</v>
      </c>
      <c r="C657">
        <v>4</v>
      </c>
      <c r="D657">
        <v>33</v>
      </c>
      <c r="E657" t="s">
        <v>12</v>
      </c>
      <c r="F657" s="1">
        <v>45178</v>
      </c>
      <c r="G657" t="s">
        <v>14</v>
      </c>
      <c r="H657" s="2">
        <v>10.3</v>
      </c>
      <c r="I657" s="2">
        <v>46.08</v>
      </c>
      <c r="J657" s="2">
        <v>45.5</v>
      </c>
      <c r="K657" s="2">
        <f t="shared" si="226"/>
        <v>319.22999999999996</v>
      </c>
      <c r="L657" s="2">
        <v>8.7899999999999991</v>
      </c>
      <c r="M657" s="2">
        <v>0.02</v>
      </c>
      <c r="N657" s="6">
        <f t="shared" si="227"/>
        <v>9.8471542146036128</v>
      </c>
      <c r="O657" s="6">
        <f t="shared" si="228"/>
        <v>1.044881128970274</v>
      </c>
      <c r="P657" s="6">
        <f t="shared" si="229"/>
        <v>97.286940775534291</v>
      </c>
      <c r="Q657" s="6">
        <f t="shared" si="230"/>
        <v>0.21732705462344373</v>
      </c>
      <c r="R657" s="10">
        <f t="shared" si="231"/>
        <v>2.1732705462344372E-4</v>
      </c>
      <c r="S657" s="3">
        <f t="shared" si="232"/>
        <v>3.9118869832219872E-3</v>
      </c>
      <c r="T657" s="4">
        <f t="shared" si="233"/>
        <v>3.9118869832219875E-6</v>
      </c>
      <c r="U657" s="3">
        <f t="shared" si="234"/>
        <v>1.4082793139599155E-2</v>
      </c>
      <c r="V657" s="2">
        <v>19.41</v>
      </c>
      <c r="W657" s="2">
        <v>3.48</v>
      </c>
      <c r="X657" s="2">
        <f t="shared" si="235"/>
        <v>34800</v>
      </c>
      <c r="Y657" s="5">
        <v>-0.52</v>
      </c>
      <c r="Z657" s="5">
        <v>-1.95</v>
      </c>
      <c r="AA657" s="2">
        <f t="shared" si="236"/>
        <v>1.43</v>
      </c>
      <c r="AB657" s="3">
        <f t="shared" si="237"/>
        <v>9.8481070906287806E-3</v>
      </c>
    </row>
    <row r="658" spans="1:28" x14ac:dyDescent="0.2">
      <c r="A658" t="s">
        <v>11</v>
      </c>
      <c r="B658">
        <v>1212</v>
      </c>
      <c r="C658">
        <v>4</v>
      </c>
      <c r="D658">
        <v>34</v>
      </c>
      <c r="E658" t="s">
        <v>12</v>
      </c>
      <c r="F658" s="1">
        <v>45178</v>
      </c>
      <c r="G658" t="s">
        <v>14</v>
      </c>
      <c r="H658" s="2">
        <v>10.14</v>
      </c>
      <c r="I658" s="2">
        <v>46.82</v>
      </c>
      <c r="J658" s="2">
        <v>43.77</v>
      </c>
      <c r="K658" s="2">
        <f t="shared" si="226"/>
        <v>319.96999999999997</v>
      </c>
      <c r="L658" s="2">
        <v>7.93</v>
      </c>
      <c r="M658" s="2">
        <v>0.04</v>
      </c>
      <c r="N658" s="6">
        <f t="shared" si="227"/>
        <v>9.0045932725774609</v>
      </c>
      <c r="O658" s="6">
        <f t="shared" si="228"/>
        <v>1.0682546130523589</v>
      </c>
      <c r="P658" s="6">
        <f t="shared" si="229"/>
        <v>97.296091481604236</v>
      </c>
      <c r="Q658" s="6">
        <f t="shared" si="230"/>
        <v>0.44178270934167363</v>
      </c>
      <c r="R658" s="10">
        <f t="shared" si="231"/>
        <v>4.4178270934167361E-4</v>
      </c>
      <c r="S658" s="3">
        <f t="shared" si="232"/>
        <v>7.9520887681501246E-3</v>
      </c>
      <c r="T658" s="4">
        <f t="shared" si="233"/>
        <v>7.9520887681501243E-6</v>
      </c>
      <c r="U658" s="3">
        <f t="shared" si="234"/>
        <v>2.8627519565340449E-2</v>
      </c>
      <c r="V658" s="2">
        <v>6.58</v>
      </c>
      <c r="W658" s="2">
        <v>1.1499999999999999</v>
      </c>
      <c r="X658" s="2">
        <f t="shared" si="235"/>
        <v>11500</v>
      </c>
      <c r="Y658" s="5">
        <v>-0.38</v>
      </c>
      <c r="Z658" s="5">
        <v>-1.82</v>
      </c>
      <c r="AA658" s="2">
        <f t="shared" si="236"/>
        <v>1.44</v>
      </c>
      <c r="AB658" s="3">
        <f t="shared" si="237"/>
        <v>1.9880221920375311E-2</v>
      </c>
    </row>
    <row r="659" spans="1:28" x14ac:dyDescent="0.2">
      <c r="A659" t="s">
        <v>11</v>
      </c>
      <c r="B659">
        <v>1212</v>
      </c>
      <c r="C659">
        <v>7</v>
      </c>
      <c r="D659">
        <v>36</v>
      </c>
      <c r="E659" t="s">
        <v>12</v>
      </c>
      <c r="F659" s="1">
        <v>45178</v>
      </c>
      <c r="G659" t="s">
        <v>14</v>
      </c>
      <c r="H659" s="2">
        <v>10.08</v>
      </c>
      <c r="I659" s="2">
        <v>46.89</v>
      </c>
      <c r="J659" s="2">
        <v>45.43</v>
      </c>
      <c r="K659" s="2">
        <f t="shared" si="226"/>
        <v>320.03999999999996</v>
      </c>
      <c r="L659" s="2">
        <v>8.74</v>
      </c>
      <c r="M659" s="2">
        <v>0.03</v>
      </c>
      <c r="N659" s="6">
        <f t="shared" si="227"/>
        <v>9.8117849402541228</v>
      </c>
      <c r="O659" s="6">
        <f t="shared" si="228"/>
        <v>1.065724661082468</v>
      </c>
      <c r="P659" s="6">
        <f t="shared" si="229"/>
        <v>97.296954942576605</v>
      </c>
      <c r="Q659" s="6">
        <f t="shared" si="230"/>
        <v>0.33046818604549633</v>
      </c>
      <c r="R659" s="10">
        <f t="shared" si="231"/>
        <v>3.3046818604549633E-4</v>
      </c>
      <c r="S659" s="3">
        <f t="shared" si="232"/>
        <v>5.9484273488189339E-3</v>
      </c>
      <c r="T659" s="4">
        <f t="shared" si="233"/>
        <v>5.9484273488189337E-6</v>
      </c>
      <c r="U659" s="3">
        <f t="shared" si="234"/>
        <v>2.1414338455748159E-2</v>
      </c>
      <c r="V659" s="2">
        <v>8.77</v>
      </c>
      <c r="W659" s="2">
        <v>0.91</v>
      </c>
      <c r="X659" s="2">
        <f t="shared" si="235"/>
        <v>9100</v>
      </c>
      <c r="Y659" s="5">
        <v>-0.41</v>
      </c>
      <c r="Z659" s="5">
        <v>-2.19</v>
      </c>
      <c r="AA659" s="2">
        <f t="shared" si="236"/>
        <v>1.78</v>
      </c>
      <c r="AB659" s="3">
        <f t="shared" si="237"/>
        <v>1.2030527222330426E-2</v>
      </c>
    </row>
    <row r="660" spans="1:28" x14ac:dyDescent="0.2">
      <c r="A660" t="s">
        <v>11</v>
      </c>
      <c r="B660">
        <v>1212</v>
      </c>
      <c r="C660">
        <v>7</v>
      </c>
      <c r="D660">
        <v>37</v>
      </c>
      <c r="E660" t="s">
        <v>12</v>
      </c>
      <c r="F660" s="1">
        <v>45178</v>
      </c>
      <c r="G660" t="s">
        <v>14</v>
      </c>
      <c r="H660" s="2">
        <v>11.1</v>
      </c>
      <c r="I660" s="2">
        <v>46.77</v>
      </c>
      <c r="J660" s="2">
        <v>41.76</v>
      </c>
      <c r="K660" s="2">
        <f t="shared" si="226"/>
        <v>319.91999999999996</v>
      </c>
      <c r="L660" s="2">
        <v>6.93</v>
      </c>
      <c r="M660" s="2">
        <v>0.11</v>
      </c>
      <c r="N660" s="6">
        <f t="shared" si="227"/>
        <v>8.1046283771919914</v>
      </c>
      <c r="O660" s="6">
        <f t="shared" si="228"/>
        <v>1.1664170711229855</v>
      </c>
      <c r="P660" s="6">
        <f t="shared" si="229"/>
        <v>97.295474497118789</v>
      </c>
      <c r="Q660" s="6">
        <f t="shared" si="230"/>
        <v>1.3280075168855396</v>
      </c>
      <c r="R660" s="10">
        <f t="shared" si="231"/>
        <v>1.3280075168855396E-3</v>
      </c>
      <c r="S660" s="3">
        <f t="shared" si="232"/>
        <v>2.3904135303939714E-2</v>
      </c>
      <c r="T660" s="4">
        <f t="shared" si="233"/>
        <v>2.3904135303939714E-5</v>
      </c>
      <c r="U660" s="3">
        <f t="shared" si="234"/>
        <v>8.6054887094182964E-2</v>
      </c>
      <c r="V660" s="2">
        <v>4.8499999999999996</v>
      </c>
      <c r="W660" s="2">
        <v>0.94</v>
      </c>
      <c r="X660" s="2">
        <f t="shared" si="235"/>
        <v>9400</v>
      </c>
      <c r="Y660" s="5">
        <v>-0.71</v>
      </c>
      <c r="Z660" s="5">
        <v>-2.1</v>
      </c>
      <c r="AA660" s="2">
        <f t="shared" si="236"/>
        <v>1.3900000000000001</v>
      </c>
      <c r="AB660" s="3">
        <f t="shared" si="237"/>
        <v>6.1909990715239539E-2</v>
      </c>
    </row>
    <row r="661" spans="1:28" x14ac:dyDescent="0.2">
      <c r="A661" t="s">
        <v>11</v>
      </c>
      <c r="B661">
        <v>1212</v>
      </c>
      <c r="C661">
        <v>7</v>
      </c>
      <c r="D661">
        <v>83</v>
      </c>
      <c r="E661" t="s">
        <v>12</v>
      </c>
      <c r="F661" s="1">
        <v>45178</v>
      </c>
      <c r="G661" t="s">
        <v>14</v>
      </c>
      <c r="H661" s="2">
        <v>10.15</v>
      </c>
      <c r="I661" s="2">
        <v>45.61</v>
      </c>
      <c r="J661" s="2">
        <v>44.5</v>
      </c>
      <c r="K661" s="2">
        <f t="shared" si="226"/>
        <v>318.76</v>
      </c>
      <c r="L661" s="2">
        <v>8.34</v>
      </c>
      <c r="M661" s="2">
        <v>0.04</v>
      </c>
      <c r="N661" s="6">
        <f t="shared" si="227"/>
        <v>9.3521928978391866</v>
      </c>
      <c r="O661" s="6">
        <f t="shared" si="228"/>
        <v>1.0051501463920023</v>
      </c>
      <c r="P661" s="6">
        <f t="shared" si="229"/>
        <v>97.281107227985231</v>
      </c>
      <c r="Q661" s="6">
        <f t="shared" si="230"/>
        <v>0.41619300054512753</v>
      </c>
      <c r="R661" s="10">
        <f t="shared" si="231"/>
        <v>4.1619300054512756E-4</v>
      </c>
      <c r="S661" s="3">
        <f t="shared" si="232"/>
        <v>7.4914740098122965E-3</v>
      </c>
      <c r="T661" s="4">
        <f t="shared" si="233"/>
        <v>7.4914740098122964E-6</v>
      </c>
      <c r="U661" s="3">
        <f t="shared" si="234"/>
        <v>2.6969306435324268E-2</v>
      </c>
      <c r="V661" s="2">
        <v>11.85</v>
      </c>
      <c r="W661" s="2">
        <v>1.4</v>
      </c>
      <c r="X661" s="2">
        <f t="shared" si="235"/>
        <v>14000</v>
      </c>
      <c r="Y661" s="5">
        <v>-1.08</v>
      </c>
      <c r="Z661" s="5">
        <v>-2.33</v>
      </c>
      <c r="AA661" s="2">
        <f t="shared" si="236"/>
        <v>1.25</v>
      </c>
      <c r="AB661" s="3">
        <f t="shared" si="237"/>
        <v>2.1575445148259414E-2</v>
      </c>
    </row>
    <row r="662" spans="1:28" x14ac:dyDescent="0.2">
      <c r="A662" t="s">
        <v>11</v>
      </c>
      <c r="B662">
        <v>1212</v>
      </c>
      <c r="C662">
        <v>8</v>
      </c>
      <c r="D662">
        <v>38</v>
      </c>
      <c r="E662" t="s">
        <v>12</v>
      </c>
      <c r="F662" s="1">
        <v>45178</v>
      </c>
      <c r="G662" t="s">
        <v>14</v>
      </c>
      <c r="H662" s="2">
        <v>9.6999999999999993</v>
      </c>
      <c r="I662" s="2">
        <v>46.53</v>
      </c>
      <c r="J662" s="2">
        <v>42.67</v>
      </c>
      <c r="K662" s="2">
        <f t="shared" si="226"/>
        <v>319.67999999999995</v>
      </c>
      <c r="L662" s="2">
        <v>7.49</v>
      </c>
      <c r="M662" s="2">
        <v>0.1</v>
      </c>
      <c r="N662" s="6">
        <f t="shared" si="227"/>
        <v>8.5019291577404754</v>
      </c>
      <c r="O662" s="6">
        <f t="shared" si="228"/>
        <v>1.0069056711718036</v>
      </c>
      <c r="P662" s="6">
        <f t="shared" si="229"/>
        <v>97.292510339571294</v>
      </c>
      <c r="Q662" s="6">
        <f t="shared" si="230"/>
        <v>1.0400894726722849</v>
      </c>
      <c r="R662" s="10">
        <f t="shared" si="231"/>
        <v>1.0400894726722849E-3</v>
      </c>
      <c r="S662" s="3">
        <f t="shared" si="232"/>
        <v>1.8721610508101127E-2</v>
      </c>
      <c r="T662" s="4">
        <f t="shared" si="233"/>
        <v>1.8721610508101127E-5</v>
      </c>
      <c r="U662" s="3">
        <f t="shared" si="234"/>
        <v>6.7397797829164052E-2</v>
      </c>
      <c r="V662" s="2">
        <v>26.5</v>
      </c>
      <c r="W662" s="2">
        <v>3.13</v>
      </c>
      <c r="X662" s="2">
        <f t="shared" si="235"/>
        <v>31300</v>
      </c>
      <c r="Y662" s="5">
        <v>-1.28</v>
      </c>
      <c r="Z662" s="5">
        <v>-2.13</v>
      </c>
      <c r="AA662" s="2">
        <f t="shared" si="236"/>
        <v>0.84999999999999987</v>
      </c>
      <c r="AB662" s="3">
        <f t="shared" si="237"/>
        <v>7.9291526857840078E-2</v>
      </c>
    </row>
    <row r="663" spans="1:28" x14ac:dyDescent="0.2">
      <c r="A663" t="s">
        <v>11</v>
      </c>
      <c r="B663">
        <v>1212</v>
      </c>
      <c r="C663">
        <v>8</v>
      </c>
      <c r="D663">
        <v>39</v>
      </c>
      <c r="E663" t="s">
        <v>12</v>
      </c>
      <c r="F663" s="1">
        <v>45178</v>
      </c>
      <c r="G663" t="s">
        <v>14</v>
      </c>
      <c r="H663" s="2">
        <v>11.71</v>
      </c>
      <c r="I663" s="2">
        <v>44.78</v>
      </c>
      <c r="J663" s="2">
        <v>42.28</v>
      </c>
      <c r="K663" s="2">
        <f t="shared" si="226"/>
        <v>317.92999999999995</v>
      </c>
      <c r="L663" s="2">
        <v>7.26</v>
      </c>
      <c r="M663" s="2">
        <v>0.09</v>
      </c>
      <c r="N663" s="6">
        <f t="shared" si="227"/>
        <v>8.3296402503178655</v>
      </c>
      <c r="O663" s="6">
        <f t="shared" si="228"/>
        <v>1.1111108588345471</v>
      </c>
      <c r="P663" s="6">
        <f t="shared" si="229"/>
        <v>97.270764167725702</v>
      </c>
      <c r="Q663" s="6">
        <f t="shared" si="230"/>
        <v>0.98968712081475918</v>
      </c>
      <c r="R663" s="10">
        <f t="shared" si="231"/>
        <v>9.8968712081475918E-4</v>
      </c>
      <c r="S663" s="3">
        <f t="shared" si="232"/>
        <v>1.7814368174665664E-2</v>
      </c>
      <c r="T663" s="4">
        <f t="shared" si="233"/>
        <v>1.7814368174665664E-5</v>
      </c>
      <c r="U663" s="3">
        <f t="shared" si="234"/>
        <v>6.4131725428796388E-2</v>
      </c>
      <c r="V663" s="2">
        <v>11.76</v>
      </c>
      <c r="W663" s="2">
        <v>2.09</v>
      </c>
      <c r="X663" s="2">
        <f t="shared" si="235"/>
        <v>20900</v>
      </c>
      <c r="Y663" s="5">
        <v>-0.6</v>
      </c>
      <c r="Z663" s="5">
        <v>-1.94</v>
      </c>
      <c r="AA663" s="2">
        <f t="shared" si="236"/>
        <v>1.3399999999999999</v>
      </c>
      <c r="AB663" s="3">
        <f t="shared" si="237"/>
        <v>4.7859496588654023E-2</v>
      </c>
    </row>
    <row r="664" spans="1:28" x14ac:dyDescent="0.2">
      <c r="A664" t="s">
        <v>11</v>
      </c>
      <c r="B664">
        <v>1212</v>
      </c>
      <c r="C664">
        <v>8</v>
      </c>
      <c r="D664">
        <v>40</v>
      </c>
      <c r="E664" t="s">
        <v>12</v>
      </c>
      <c r="F664" s="1">
        <v>45178</v>
      </c>
      <c r="G664" t="s">
        <v>14</v>
      </c>
      <c r="H664" s="2">
        <v>10.94</v>
      </c>
      <c r="I664" s="2">
        <v>46.41</v>
      </c>
      <c r="J664" s="2">
        <v>45.06</v>
      </c>
      <c r="K664" s="2">
        <f t="shared" si="226"/>
        <v>319.55999999999995</v>
      </c>
      <c r="L664" s="2">
        <v>8.49</v>
      </c>
      <c r="M664" s="2">
        <v>0.02</v>
      </c>
      <c r="N664" s="6">
        <f t="shared" si="227"/>
        <v>9.6266510307711393</v>
      </c>
      <c r="O664" s="6">
        <f t="shared" si="228"/>
        <v>1.1286885737591188</v>
      </c>
      <c r="P664" s="6">
        <f t="shared" si="229"/>
        <v>97.291026625078473</v>
      </c>
      <c r="Q664" s="6">
        <f t="shared" si="230"/>
        <v>0.2336599931566859</v>
      </c>
      <c r="R664" s="10">
        <f t="shared" si="231"/>
        <v>2.336599931566859E-4</v>
      </c>
      <c r="S664" s="3">
        <f t="shared" si="232"/>
        <v>4.2058798768203464E-3</v>
      </c>
      <c r="T664" s="4">
        <f t="shared" si="233"/>
        <v>4.2058798768203464E-6</v>
      </c>
      <c r="U664" s="3">
        <f t="shared" si="234"/>
        <v>1.5141167556553247E-2</v>
      </c>
      <c r="V664" s="2">
        <v>3.51</v>
      </c>
      <c r="W664" s="2">
        <v>0.74</v>
      </c>
      <c r="X664" s="2">
        <f t="shared" si="235"/>
        <v>7400</v>
      </c>
      <c r="Y664" s="5">
        <v>-0.39</v>
      </c>
      <c r="Z664" s="5">
        <v>-1.94</v>
      </c>
      <c r="AA664" s="2">
        <f t="shared" si="236"/>
        <v>1.5499999999999998</v>
      </c>
      <c r="AB664" s="3">
        <f t="shared" si="237"/>
        <v>9.7684951977762887E-3</v>
      </c>
    </row>
    <row r="665" spans="1:28" x14ac:dyDescent="0.2">
      <c r="A665" t="s">
        <v>11</v>
      </c>
      <c r="B665">
        <v>1212</v>
      </c>
      <c r="C665">
        <v>10</v>
      </c>
      <c r="D665">
        <v>21</v>
      </c>
      <c r="E665" t="s">
        <v>12</v>
      </c>
      <c r="F665" s="1">
        <v>45178</v>
      </c>
      <c r="G665" t="s">
        <v>14</v>
      </c>
      <c r="H665" s="2">
        <v>10.79</v>
      </c>
      <c r="I665" s="2">
        <v>46.75</v>
      </c>
      <c r="J665" s="2">
        <v>41.81</v>
      </c>
      <c r="K665" s="2">
        <f t="shared" si="226"/>
        <v>319.89999999999998</v>
      </c>
      <c r="L665" s="2">
        <v>6.99</v>
      </c>
      <c r="M665" s="2">
        <v>0.06</v>
      </c>
      <c r="N665" s="6">
        <f t="shared" si="227"/>
        <v>8.1260329244299569</v>
      </c>
      <c r="O665" s="6">
        <f t="shared" si="228"/>
        <v>1.1326868328533106</v>
      </c>
      <c r="P665" s="6">
        <f t="shared" si="229"/>
        <v>97.295227650417388</v>
      </c>
      <c r="Q665" s="6">
        <f t="shared" si="230"/>
        <v>0.70056853878490299</v>
      </c>
      <c r="R665" s="10">
        <f t="shared" si="231"/>
        <v>7.0056853878490302E-4</v>
      </c>
      <c r="S665" s="3">
        <f t="shared" si="232"/>
        <v>1.2610233698128255E-2</v>
      </c>
      <c r="T665" s="4">
        <f t="shared" si="233"/>
        <v>1.2610233698128255E-5</v>
      </c>
      <c r="U665" s="3">
        <f t="shared" si="234"/>
        <v>4.5396841313261715E-2</v>
      </c>
      <c r="V665" s="2">
        <v>7.09</v>
      </c>
      <c r="W665" s="2">
        <v>1.0900000000000001</v>
      </c>
      <c r="X665" s="2">
        <f t="shared" si="235"/>
        <v>10900</v>
      </c>
      <c r="Y665" s="5">
        <v>-0.59</v>
      </c>
      <c r="Z665" s="5">
        <v>-2.3199999999999998</v>
      </c>
      <c r="AA665" s="2">
        <f t="shared" si="236"/>
        <v>1.73</v>
      </c>
      <c r="AB665" s="3">
        <f t="shared" si="237"/>
        <v>2.6240948735989433E-2</v>
      </c>
    </row>
    <row r="666" spans="1:28" x14ac:dyDescent="0.2">
      <c r="A666" t="s">
        <v>11</v>
      </c>
      <c r="B666">
        <v>1212</v>
      </c>
      <c r="C666">
        <v>10</v>
      </c>
      <c r="D666">
        <v>41</v>
      </c>
      <c r="E666" t="s">
        <v>12</v>
      </c>
      <c r="F666" s="1">
        <v>45178</v>
      </c>
      <c r="G666" t="s">
        <v>14</v>
      </c>
      <c r="H666" s="2">
        <v>10.62</v>
      </c>
      <c r="I666" s="2">
        <v>45.6</v>
      </c>
      <c r="J666" s="2">
        <v>44.86</v>
      </c>
      <c r="K666" s="2">
        <f t="shared" si="226"/>
        <v>318.75</v>
      </c>
      <c r="L666" s="2">
        <v>8.48</v>
      </c>
      <c r="M666" s="2">
        <v>0.04</v>
      </c>
      <c r="N666" s="6">
        <f t="shared" si="227"/>
        <v>9.5278416758712776</v>
      </c>
      <c r="O666" s="6">
        <f t="shared" si="228"/>
        <v>1.0511540967664614</v>
      </c>
      <c r="P666" s="6">
        <f t="shared" si="229"/>
        <v>97.280982926851408</v>
      </c>
      <c r="Q666" s="6">
        <f t="shared" si="230"/>
        <v>0.43085159888204749</v>
      </c>
      <c r="R666" s="10">
        <f t="shared" si="231"/>
        <v>4.3085159888204747E-4</v>
      </c>
      <c r="S666" s="3">
        <f t="shared" si="232"/>
        <v>7.7553287798768546E-3</v>
      </c>
      <c r="T666" s="4">
        <f t="shared" si="233"/>
        <v>7.7553287798768549E-6</v>
      </c>
      <c r="U666" s="3">
        <f t="shared" si="234"/>
        <v>2.7919183607556679E-2</v>
      </c>
      <c r="V666" s="2">
        <v>19.809999999999999</v>
      </c>
      <c r="W666" s="2">
        <v>2.92</v>
      </c>
      <c r="X666" s="2">
        <f t="shared" si="235"/>
        <v>29200</v>
      </c>
      <c r="Y666" s="5">
        <v>-0.42</v>
      </c>
      <c r="Z666" s="5">
        <v>-2.31</v>
      </c>
      <c r="AA666" s="2">
        <f t="shared" si="236"/>
        <v>1.8900000000000001</v>
      </c>
      <c r="AB666" s="3">
        <f t="shared" si="237"/>
        <v>1.4772054818813057E-2</v>
      </c>
    </row>
    <row r="667" spans="1:28" x14ac:dyDescent="0.2">
      <c r="A667" t="s">
        <v>11</v>
      </c>
      <c r="B667">
        <v>1212</v>
      </c>
      <c r="C667">
        <v>10</v>
      </c>
      <c r="D667">
        <v>42</v>
      </c>
      <c r="E667" t="s">
        <v>12</v>
      </c>
      <c r="F667" s="1">
        <v>45178</v>
      </c>
      <c r="G667" t="s">
        <v>14</v>
      </c>
      <c r="H667" s="2">
        <v>9.9</v>
      </c>
      <c r="I667" s="2">
        <v>46.14</v>
      </c>
      <c r="J667" s="2">
        <v>42.33</v>
      </c>
      <c r="K667" s="2">
        <f t="shared" si="226"/>
        <v>319.28999999999996</v>
      </c>
      <c r="L667" s="2">
        <v>7.34</v>
      </c>
      <c r="M667" s="2">
        <v>0.08</v>
      </c>
      <c r="N667" s="6">
        <f t="shared" si="227"/>
        <v>8.3515582629820795</v>
      </c>
      <c r="O667" s="6">
        <f t="shared" si="228"/>
        <v>1.0073915801601561</v>
      </c>
      <c r="P667" s="6">
        <f t="shared" si="229"/>
        <v>97.287684272698371</v>
      </c>
      <c r="Q667" s="6">
        <f t="shared" si="230"/>
        <v>0.8318078659548902</v>
      </c>
      <c r="R667" s="10">
        <f t="shared" si="231"/>
        <v>8.3180786595489021E-4</v>
      </c>
      <c r="S667" s="3">
        <f t="shared" si="232"/>
        <v>1.4972541587188023E-2</v>
      </c>
      <c r="T667" s="4">
        <f t="shared" si="233"/>
        <v>1.4972541587188023E-5</v>
      </c>
      <c r="U667" s="3">
        <f t="shared" si="234"/>
        <v>5.3901149713876884E-2</v>
      </c>
      <c r="V667" s="2">
        <v>2.74</v>
      </c>
      <c r="W667" s="2">
        <v>0.32</v>
      </c>
      <c r="X667" s="2">
        <f t="shared" si="235"/>
        <v>3200</v>
      </c>
      <c r="Y667" s="5">
        <v>-0.3</v>
      </c>
      <c r="Z667" s="5">
        <v>-1.82</v>
      </c>
      <c r="AA667" s="2">
        <f t="shared" si="236"/>
        <v>1.52</v>
      </c>
      <c r="AB667" s="3">
        <f t="shared" si="237"/>
        <v>3.5461282706497947E-2</v>
      </c>
    </row>
    <row r="668" spans="1:28" x14ac:dyDescent="0.2">
      <c r="F668" s="1"/>
      <c r="N668" s="6"/>
      <c r="O668" s="6"/>
      <c r="P668" s="6"/>
      <c r="Q668" s="6"/>
      <c r="R668" s="10"/>
      <c r="S668" s="3"/>
      <c r="T668" s="4"/>
      <c r="U668" s="3"/>
      <c r="Z668" s="5"/>
      <c r="AB668" s="3"/>
    </row>
    <row r="669" spans="1:28" x14ac:dyDescent="0.2">
      <c r="A669" t="s">
        <v>6</v>
      </c>
      <c r="B669">
        <v>72</v>
      </c>
      <c r="C669">
        <v>156</v>
      </c>
      <c r="D669">
        <v>43</v>
      </c>
      <c r="E669" t="s">
        <v>7</v>
      </c>
      <c r="F669" s="1">
        <v>45190</v>
      </c>
      <c r="G669" t="s">
        <v>14</v>
      </c>
      <c r="H669" s="2">
        <v>20.91</v>
      </c>
      <c r="I669" s="2">
        <v>30.24</v>
      </c>
      <c r="J669" s="2">
        <v>29.3</v>
      </c>
      <c r="K669" s="2">
        <f t="shared" si="226"/>
        <v>303.39</v>
      </c>
      <c r="L669" s="2">
        <v>3.18</v>
      </c>
      <c r="M669" s="2">
        <v>0.16</v>
      </c>
      <c r="N669" s="6">
        <f t="shared" ref="N669:N700" si="238">0.611*EXP((17.502*J669)/(240.97+J669))</f>
        <v>4.0744484897022311</v>
      </c>
      <c r="O669" s="6">
        <f t="shared" ref="O669:O700" si="239">(0.611*EXP((17.502*I669)/(240.97+I669)))*(H669/100)</f>
        <v>0.89931446896323686</v>
      </c>
      <c r="P669" s="6">
        <f t="shared" ref="P669:P700" si="240">101.325*EXP(-380/(29.27*K669))</f>
        <v>97.080590690705151</v>
      </c>
      <c r="Q669" s="6">
        <f t="shared" si="230"/>
        <v>1.4741541778243319</v>
      </c>
      <c r="R669" s="10">
        <f t="shared" ref="R669:R707" si="241">Q669/1000</f>
        <v>1.474154177824332E-3</v>
      </c>
      <c r="S669" s="3">
        <f t="shared" ref="S669:S700" si="242">R669*18</f>
        <v>2.6534775200837975E-2</v>
      </c>
      <c r="T669" s="4">
        <f t="shared" ref="T669:T700" si="243">S669/1000</f>
        <v>2.6534775200837973E-5</v>
      </c>
      <c r="U669" s="3">
        <f t="shared" ref="U669:U700" si="244">T669*3600</f>
        <v>9.5525190723016698E-2</v>
      </c>
      <c r="V669" s="2">
        <v>17.37</v>
      </c>
      <c r="W669" s="2">
        <v>2.1</v>
      </c>
      <c r="X669" s="2">
        <f t="shared" ref="X669:X700" si="245">W669*10000</f>
        <v>21000</v>
      </c>
      <c r="Y669" s="5">
        <v>-0.52</v>
      </c>
      <c r="Z669" s="5">
        <v>-1.85</v>
      </c>
      <c r="AA669" s="2">
        <f t="shared" ref="AA669:AA700" si="246">Y669-Z669</f>
        <v>1.33</v>
      </c>
      <c r="AB669" s="3">
        <f t="shared" ref="AB669:AB700" si="247">U669/AA669</f>
        <v>7.1823451671441121E-2</v>
      </c>
    </row>
    <row r="670" spans="1:28" x14ac:dyDescent="0.2">
      <c r="A670" t="s">
        <v>6</v>
      </c>
      <c r="B670">
        <v>72</v>
      </c>
      <c r="C670">
        <v>156</v>
      </c>
      <c r="D670">
        <v>44</v>
      </c>
      <c r="E670" t="s">
        <v>7</v>
      </c>
      <c r="F670" s="1">
        <v>45191</v>
      </c>
      <c r="G670" t="s">
        <v>14</v>
      </c>
      <c r="H670" s="2">
        <v>22.34</v>
      </c>
      <c r="I670" s="2">
        <v>31.68</v>
      </c>
      <c r="J670" s="2">
        <v>31.13</v>
      </c>
      <c r="K670" s="2">
        <f t="shared" si="226"/>
        <v>304.83</v>
      </c>
      <c r="L670" s="2">
        <v>3.49</v>
      </c>
      <c r="M670" s="2">
        <v>0.12</v>
      </c>
      <c r="N670" s="6">
        <f t="shared" si="238"/>
        <v>4.5252991560672884</v>
      </c>
      <c r="O670" s="6">
        <f t="shared" si="239"/>
        <v>1.0430601003316176</v>
      </c>
      <c r="P670" s="6">
        <f t="shared" si="240"/>
        <v>97.100217093356264</v>
      </c>
      <c r="Q670" s="6">
        <f t="shared" si="230"/>
        <v>1.2794605660729772</v>
      </c>
      <c r="R670" s="10">
        <f t="shared" si="241"/>
        <v>1.2794605660729772E-3</v>
      </c>
      <c r="S670" s="3">
        <f t="shared" si="242"/>
        <v>2.3030290189313588E-2</v>
      </c>
      <c r="T670" s="4">
        <f t="shared" si="243"/>
        <v>2.3030290189313586E-5</v>
      </c>
      <c r="U670" s="3">
        <f t="shared" si="244"/>
        <v>8.2909044681528904E-2</v>
      </c>
      <c r="V670" s="2">
        <v>12.19</v>
      </c>
      <c r="W670" s="2">
        <v>2.64</v>
      </c>
      <c r="X670" s="2">
        <f t="shared" si="245"/>
        <v>26400</v>
      </c>
      <c r="Y670" s="5">
        <v>-0.45</v>
      </c>
      <c r="Z670" s="5">
        <v>-1.76</v>
      </c>
      <c r="AA670" s="2">
        <f t="shared" si="246"/>
        <v>1.31</v>
      </c>
      <c r="AB670" s="3">
        <f t="shared" si="247"/>
        <v>6.328934708513656E-2</v>
      </c>
    </row>
    <row r="671" spans="1:28" x14ac:dyDescent="0.2">
      <c r="A671" t="s">
        <v>6</v>
      </c>
      <c r="B671">
        <v>72</v>
      </c>
      <c r="C671">
        <v>156</v>
      </c>
      <c r="D671">
        <v>45</v>
      </c>
      <c r="E671" t="s">
        <v>7</v>
      </c>
      <c r="F671" s="1">
        <v>45190</v>
      </c>
      <c r="G671" t="s">
        <v>14</v>
      </c>
      <c r="H671" s="2">
        <v>17.84</v>
      </c>
      <c r="I671" s="2">
        <v>31.62</v>
      </c>
      <c r="J671" s="2">
        <v>29.84</v>
      </c>
      <c r="K671" s="2">
        <f t="shared" si="226"/>
        <v>304.77</v>
      </c>
      <c r="L671" s="2">
        <v>3.39</v>
      </c>
      <c r="M671" s="2">
        <v>0.12</v>
      </c>
      <c r="N671" s="6">
        <f t="shared" si="238"/>
        <v>4.2032215313857053</v>
      </c>
      <c r="O671" s="6">
        <f t="shared" si="239"/>
        <v>0.83012280655940218</v>
      </c>
      <c r="P671" s="6">
        <f t="shared" si="240"/>
        <v>97.099402950561583</v>
      </c>
      <c r="Q671" s="6">
        <f t="shared" si="230"/>
        <v>1.0050173410023033</v>
      </c>
      <c r="R671" s="10">
        <f t="shared" si="241"/>
        <v>1.0050173410023034E-3</v>
      </c>
      <c r="S671" s="3">
        <f t="shared" si="242"/>
        <v>1.8090312138041461E-2</v>
      </c>
      <c r="T671" s="4">
        <f t="shared" si="243"/>
        <v>1.8090312138041462E-5</v>
      </c>
      <c r="U671" s="3">
        <f t="shared" si="244"/>
        <v>6.5125123696949269E-2</v>
      </c>
      <c r="V671" s="2">
        <v>9.84</v>
      </c>
      <c r="W671" s="2">
        <v>1.55</v>
      </c>
      <c r="X671" s="2">
        <f t="shared" si="245"/>
        <v>15500</v>
      </c>
      <c r="Y671" s="5">
        <v>-0.48</v>
      </c>
      <c r="Z671" s="5">
        <v>-2.09</v>
      </c>
      <c r="AA671" s="2">
        <f t="shared" si="246"/>
        <v>1.6099999999999999</v>
      </c>
      <c r="AB671" s="3">
        <f t="shared" si="247"/>
        <v>4.0450387389409488E-2</v>
      </c>
    </row>
    <row r="672" spans="1:28" x14ac:dyDescent="0.2">
      <c r="A672" t="s">
        <v>6</v>
      </c>
      <c r="B672">
        <v>72</v>
      </c>
      <c r="C672">
        <v>149</v>
      </c>
      <c r="D672">
        <v>46</v>
      </c>
      <c r="E672" t="s">
        <v>7</v>
      </c>
      <c r="F672" s="1">
        <v>45190</v>
      </c>
      <c r="G672" t="s">
        <v>14</v>
      </c>
      <c r="H672" s="2">
        <v>18.239999999999998</v>
      </c>
      <c r="I672" s="2">
        <v>30.63</v>
      </c>
      <c r="J672" s="2">
        <v>27.93</v>
      </c>
      <c r="K672" s="2">
        <f t="shared" si="226"/>
        <v>303.77999999999997</v>
      </c>
      <c r="L672" s="2">
        <v>2.98</v>
      </c>
      <c r="M672" s="2">
        <v>0.2</v>
      </c>
      <c r="N672" s="6">
        <f t="shared" si="238"/>
        <v>3.7630604244226467</v>
      </c>
      <c r="O672" s="6">
        <f t="shared" si="239"/>
        <v>0.80219505124611912</v>
      </c>
      <c r="P672" s="6">
        <f t="shared" si="240"/>
        <v>97.085924154865822</v>
      </c>
      <c r="Q672" s="6">
        <f t="shared" si="230"/>
        <v>1.613128640921323</v>
      </c>
      <c r="R672" s="10">
        <f t="shared" si="241"/>
        <v>1.6131286409213231E-3</v>
      </c>
      <c r="S672" s="3">
        <f t="shared" si="242"/>
        <v>2.9036315536583816E-2</v>
      </c>
      <c r="T672" s="4">
        <f t="shared" si="243"/>
        <v>2.9036315536583815E-5</v>
      </c>
      <c r="U672" s="3">
        <f t="shared" si="244"/>
        <v>0.10453073593170173</v>
      </c>
      <c r="V672" s="2">
        <v>11.24</v>
      </c>
      <c r="W672" s="2">
        <v>1.25</v>
      </c>
      <c r="X672" s="2">
        <f t="shared" si="245"/>
        <v>12500</v>
      </c>
      <c r="Y672" s="5">
        <v>-0.4</v>
      </c>
      <c r="Z672" s="5">
        <v>-1.99</v>
      </c>
      <c r="AA672" s="2">
        <f t="shared" si="246"/>
        <v>1.5899999999999999</v>
      </c>
      <c r="AB672" s="3">
        <f t="shared" si="247"/>
        <v>6.5742601214906757E-2</v>
      </c>
    </row>
    <row r="673" spans="1:28" x14ac:dyDescent="0.2">
      <c r="A673" t="s">
        <v>6</v>
      </c>
      <c r="B673">
        <v>72</v>
      </c>
      <c r="C673">
        <v>149</v>
      </c>
      <c r="D673">
        <v>47</v>
      </c>
      <c r="E673" t="s">
        <v>7</v>
      </c>
      <c r="F673" s="1">
        <v>45191</v>
      </c>
      <c r="G673" t="s">
        <v>14</v>
      </c>
      <c r="H673" s="2">
        <v>36.03</v>
      </c>
      <c r="I673" s="2">
        <v>25.78</v>
      </c>
      <c r="J673" s="2">
        <v>23.16</v>
      </c>
      <c r="K673" s="2">
        <f t="shared" si="226"/>
        <v>298.92999999999995</v>
      </c>
      <c r="L673" s="2">
        <v>1.64</v>
      </c>
      <c r="M673" s="2">
        <v>0.18</v>
      </c>
      <c r="N673" s="6">
        <f t="shared" si="238"/>
        <v>2.8348491051346456</v>
      </c>
      <c r="O673" s="6">
        <f t="shared" si="239"/>
        <v>1.1948261364841939</v>
      </c>
      <c r="P673" s="6">
        <f t="shared" si="240"/>
        <v>97.018629643482825</v>
      </c>
      <c r="Q673" s="6">
        <f t="shared" si="230"/>
        <v>2.2168200036897105</v>
      </c>
      <c r="R673" s="10">
        <f t="shared" si="241"/>
        <v>2.2168200036897104E-3</v>
      </c>
      <c r="S673" s="3">
        <f t="shared" si="242"/>
        <v>3.9902760066414786E-2</v>
      </c>
      <c r="T673" s="4">
        <f t="shared" si="243"/>
        <v>3.9902760066414787E-5</v>
      </c>
      <c r="U673" s="3">
        <f t="shared" si="244"/>
        <v>0.14364993623909322</v>
      </c>
      <c r="V673" s="2">
        <v>20.43</v>
      </c>
      <c r="W673" s="2">
        <v>2.5299999999999998</v>
      </c>
      <c r="X673" s="2">
        <f t="shared" si="245"/>
        <v>25299.999999999996</v>
      </c>
      <c r="Y673" s="5">
        <v>-0.36</v>
      </c>
      <c r="Z673" s="5">
        <v>-2.2999999999999998</v>
      </c>
      <c r="AA673" s="2">
        <f t="shared" si="246"/>
        <v>1.94</v>
      </c>
      <c r="AB673" s="3">
        <f t="shared" si="247"/>
        <v>7.4046358886130523E-2</v>
      </c>
    </row>
    <row r="674" spans="1:28" x14ac:dyDescent="0.2">
      <c r="A674" t="s">
        <v>6</v>
      </c>
      <c r="B674">
        <v>72</v>
      </c>
      <c r="C674">
        <v>149</v>
      </c>
      <c r="D674">
        <v>48</v>
      </c>
      <c r="E674" t="s">
        <v>7</v>
      </c>
      <c r="F674" s="1">
        <v>45191</v>
      </c>
      <c r="G674" t="s">
        <v>14</v>
      </c>
      <c r="H674" s="2">
        <v>29.93</v>
      </c>
      <c r="I674" s="2">
        <v>29.62</v>
      </c>
      <c r="J674" s="2">
        <v>28.71</v>
      </c>
      <c r="K674" s="2">
        <f t="shared" si="226"/>
        <v>302.77</v>
      </c>
      <c r="L674" s="2">
        <v>2.72</v>
      </c>
      <c r="M674" s="2">
        <v>0.18</v>
      </c>
      <c r="N674" s="6">
        <f t="shared" si="238"/>
        <v>3.9376967910558247</v>
      </c>
      <c r="O674" s="6">
        <f t="shared" si="239"/>
        <v>1.242195720685938</v>
      </c>
      <c r="P674" s="6">
        <f t="shared" si="240"/>
        <v>97.072084172355247</v>
      </c>
      <c r="Q674" s="6">
        <f t="shared" si="230"/>
        <v>2.2579655547611011</v>
      </c>
      <c r="R674" s="10">
        <f t="shared" si="241"/>
        <v>2.257965554761101E-3</v>
      </c>
      <c r="S674" s="3">
        <f t="shared" si="242"/>
        <v>4.0643379985699821E-2</v>
      </c>
      <c r="T674" s="4">
        <f t="shared" si="243"/>
        <v>4.0643379985699824E-5</v>
      </c>
      <c r="U674" s="3">
        <f t="shared" si="244"/>
        <v>0.14631616794851937</v>
      </c>
      <c r="V674" s="2">
        <v>21.78</v>
      </c>
      <c r="W674" s="2">
        <v>2.31</v>
      </c>
      <c r="X674" s="2">
        <f t="shared" si="245"/>
        <v>23100</v>
      </c>
      <c r="Y674" s="5">
        <v>-0.89</v>
      </c>
      <c r="Z674" s="5">
        <v>-1.65</v>
      </c>
      <c r="AA674" s="2">
        <f t="shared" si="246"/>
        <v>0.7599999999999999</v>
      </c>
      <c r="AB674" s="3">
        <f t="shared" si="247"/>
        <v>0.19252127361647289</v>
      </c>
    </row>
    <row r="675" spans="1:28" x14ac:dyDescent="0.2">
      <c r="A675" t="s">
        <v>6</v>
      </c>
      <c r="B675">
        <v>72</v>
      </c>
      <c r="C675">
        <v>152</v>
      </c>
      <c r="D675">
        <v>49</v>
      </c>
      <c r="E675" t="s">
        <v>7</v>
      </c>
      <c r="F675" s="1">
        <v>45190</v>
      </c>
      <c r="G675" t="s">
        <v>14</v>
      </c>
      <c r="H675" s="2">
        <v>20.82</v>
      </c>
      <c r="I675" s="2">
        <v>28.62</v>
      </c>
      <c r="J675" s="2">
        <v>25.03</v>
      </c>
      <c r="K675" s="2">
        <f t="shared" si="226"/>
        <v>301.77</v>
      </c>
      <c r="L675" s="2">
        <v>2.36</v>
      </c>
      <c r="M675" s="2">
        <v>0.37</v>
      </c>
      <c r="N675" s="6">
        <f t="shared" si="238"/>
        <v>3.1716133511252509</v>
      </c>
      <c r="O675" s="6">
        <f t="shared" si="239"/>
        <v>0.81555942970835282</v>
      </c>
      <c r="P675" s="6">
        <f t="shared" si="240"/>
        <v>97.058291911260909</v>
      </c>
      <c r="Q675" s="6">
        <f t="shared" si="230"/>
        <v>3.0939854184833617</v>
      </c>
      <c r="R675" s="10">
        <f t="shared" si="241"/>
        <v>3.0939854184833617E-3</v>
      </c>
      <c r="S675" s="3">
        <f t="shared" si="242"/>
        <v>5.5691737532700514E-2</v>
      </c>
      <c r="T675" s="4">
        <f t="shared" si="243"/>
        <v>5.5691737532700513E-5</v>
      </c>
      <c r="U675" s="3">
        <f t="shared" si="244"/>
        <v>0.20049025511772184</v>
      </c>
      <c r="V675" s="2">
        <v>27.89</v>
      </c>
      <c r="W675" s="2">
        <v>2.35</v>
      </c>
      <c r="X675" s="2">
        <f t="shared" si="245"/>
        <v>23500</v>
      </c>
      <c r="Y675" s="5">
        <v>-0.33</v>
      </c>
      <c r="Z675" s="5">
        <v>-2.2400000000000002</v>
      </c>
      <c r="AA675" s="2">
        <f t="shared" si="246"/>
        <v>1.9100000000000001</v>
      </c>
      <c r="AB675" s="3">
        <f t="shared" si="247"/>
        <v>0.10496871995692242</v>
      </c>
    </row>
    <row r="676" spans="1:28" x14ac:dyDescent="0.2">
      <c r="A676" t="s">
        <v>6</v>
      </c>
      <c r="B676">
        <v>72</v>
      </c>
      <c r="C676">
        <v>152</v>
      </c>
      <c r="D676">
        <v>50</v>
      </c>
      <c r="E676" t="s">
        <v>7</v>
      </c>
      <c r="F676" s="1">
        <v>45191</v>
      </c>
      <c r="G676" t="s">
        <v>14</v>
      </c>
      <c r="H676" s="2">
        <v>33.11</v>
      </c>
      <c r="I676" s="2">
        <v>27.73</v>
      </c>
      <c r="J676" s="2">
        <v>25.65</v>
      </c>
      <c r="K676" s="2">
        <f t="shared" si="226"/>
        <v>300.88</v>
      </c>
      <c r="L676" s="2">
        <v>2.0699999999999998</v>
      </c>
      <c r="M676" s="2">
        <v>0.26</v>
      </c>
      <c r="N676" s="6">
        <f t="shared" si="238"/>
        <v>3.2907317769163624</v>
      </c>
      <c r="O676" s="6">
        <f t="shared" si="239"/>
        <v>1.231488582713401</v>
      </c>
      <c r="P676" s="6">
        <f t="shared" si="240"/>
        <v>97.045941355283006</v>
      </c>
      <c r="Q676" s="6">
        <f t="shared" si="230"/>
        <v>3.2705155678411697</v>
      </c>
      <c r="R676" s="10">
        <f t="shared" si="241"/>
        <v>3.2705155678411698E-3</v>
      </c>
      <c r="S676" s="3">
        <f t="shared" si="242"/>
        <v>5.886928022114106E-2</v>
      </c>
      <c r="T676" s="4">
        <f t="shared" si="243"/>
        <v>5.8869280221141059E-5</v>
      </c>
      <c r="U676" s="3">
        <f t="shared" si="244"/>
        <v>0.2119294087961078</v>
      </c>
      <c r="V676" s="2">
        <v>25.57</v>
      </c>
      <c r="W676" s="2">
        <v>2.29</v>
      </c>
      <c r="X676" s="2">
        <f t="shared" si="245"/>
        <v>22900</v>
      </c>
      <c r="Y676" s="5">
        <v>-0.33</v>
      </c>
      <c r="Z676" s="5">
        <v>-1.38</v>
      </c>
      <c r="AA676" s="2">
        <f t="shared" si="246"/>
        <v>1.0499999999999998</v>
      </c>
      <c r="AB676" s="3">
        <f t="shared" si="247"/>
        <v>0.20183753218676936</v>
      </c>
    </row>
    <row r="677" spans="1:28" x14ac:dyDescent="0.2">
      <c r="A677" t="s">
        <v>6</v>
      </c>
      <c r="B677">
        <v>72</v>
      </c>
      <c r="C677">
        <v>152</v>
      </c>
      <c r="D677">
        <v>51</v>
      </c>
      <c r="E677" t="s">
        <v>7</v>
      </c>
      <c r="F677" s="1">
        <v>45191</v>
      </c>
      <c r="G677" t="s">
        <v>14</v>
      </c>
      <c r="H677" s="2">
        <v>23.12</v>
      </c>
      <c r="I677" s="2">
        <v>31.9</v>
      </c>
      <c r="J677" s="2">
        <v>28.32</v>
      </c>
      <c r="K677" s="2">
        <f t="shared" si="226"/>
        <v>305.04999999999995</v>
      </c>
      <c r="L677" s="2">
        <v>2.76</v>
      </c>
      <c r="M677" s="2">
        <v>0.41</v>
      </c>
      <c r="N677" s="6">
        <f t="shared" si="238"/>
        <v>3.8495148375363142</v>
      </c>
      <c r="O677" s="6">
        <f t="shared" si="239"/>
        <v>1.093025300007094</v>
      </c>
      <c r="P677" s="6">
        <f t="shared" si="240"/>
        <v>97.103199601857511</v>
      </c>
      <c r="Q677" s="6">
        <f t="shared" si="230"/>
        <v>4.6002715175344626</v>
      </c>
      <c r="R677" s="10">
        <f t="shared" si="241"/>
        <v>4.6002715175344627E-3</v>
      </c>
      <c r="S677" s="3">
        <f t="shared" si="242"/>
        <v>8.2804887315620329E-2</v>
      </c>
      <c r="T677" s="4">
        <f t="shared" si="243"/>
        <v>8.2804887315620328E-5</v>
      </c>
      <c r="U677" s="3">
        <f t="shared" si="244"/>
        <v>0.29809759433623317</v>
      </c>
      <c r="V677" s="2">
        <v>18.57</v>
      </c>
      <c r="W677" s="2">
        <v>1.84</v>
      </c>
      <c r="X677" s="2">
        <f t="shared" si="245"/>
        <v>18400</v>
      </c>
      <c r="Y677" s="5">
        <v>-0.67</v>
      </c>
      <c r="Z677" s="5">
        <v>-1.61</v>
      </c>
      <c r="AA677" s="2">
        <f t="shared" si="246"/>
        <v>0.94000000000000006</v>
      </c>
      <c r="AB677" s="3">
        <f t="shared" si="247"/>
        <v>0.31712510035769487</v>
      </c>
    </row>
    <row r="678" spans="1:28" x14ac:dyDescent="0.2">
      <c r="A678" t="s">
        <v>6</v>
      </c>
      <c r="B678">
        <v>72</v>
      </c>
      <c r="C678">
        <v>155</v>
      </c>
      <c r="D678">
        <v>58</v>
      </c>
      <c r="E678" t="s">
        <v>7</v>
      </c>
      <c r="F678" s="1">
        <v>45191</v>
      </c>
      <c r="G678" t="s">
        <v>14</v>
      </c>
      <c r="H678" s="2">
        <v>34.78</v>
      </c>
      <c r="I678" s="2">
        <v>25.81</v>
      </c>
      <c r="J678" s="2">
        <v>22.73</v>
      </c>
      <c r="K678" s="2">
        <f t="shared" si="226"/>
        <v>298.95999999999998</v>
      </c>
      <c r="L678" s="2">
        <v>1.61</v>
      </c>
      <c r="M678" s="2">
        <v>0.27</v>
      </c>
      <c r="N678" s="6">
        <f t="shared" si="238"/>
        <v>2.7619907102466055</v>
      </c>
      <c r="O678" s="6">
        <f t="shared" si="239"/>
        <v>1.1554261011344482</v>
      </c>
      <c r="P678" s="6">
        <f t="shared" si="240"/>
        <v>97.019052463582582</v>
      </c>
      <c r="Q678" s="6">
        <f t="shared" si="230"/>
        <v>3.2059423780018421</v>
      </c>
      <c r="R678" s="10">
        <f t="shared" si="241"/>
        <v>3.2059423780018423E-3</v>
      </c>
      <c r="S678" s="3">
        <f t="shared" si="242"/>
        <v>5.770696280403316E-2</v>
      </c>
      <c r="T678" s="4">
        <f t="shared" si="243"/>
        <v>5.7706962804033161E-5</v>
      </c>
      <c r="U678" s="3">
        <f t="shared" si="244"/>
        <v>0.20774506609451937</v>
      </c>
      <c r="V678" s="2">
        <v>4.1100000000000003</v>
      </c>
      <c r="W678" s="2">
        <v>0.5</v>
      </c>
      <c r="X678" s="2">
        <f t="shared" si="245"/>
        <v>5000</v>
      </c>
      <c r="Y678" s="5">
        <v>-0.34</v>
      </c>
      <c r="Z678" s="5">
        <v>-2.08</v>
      </c>
      <c r="AA678" s="2">
        <f t="shared" si="246"/>
        <v>1.74</v>
      </c>
      <c r="AB678" s="3">
        <f t="shared" si="247"/>
        <v>0.1193937161462755</v>
      </c>
    </row>
    <row r="679" spans="1:28" x14ac:dyDescent="0.2">
      <c r="A679" t="s">
        <v>6</v>
      </c>
      <c r="B679">
        <v>72</v>
      </c>
      <c r="C679">
        <v>155</v>
      </c>
      <c r="D679">
        <v>59</v>
      </c>
      <c r="E679" t="s">
        <v>7</v>
      </c>
      <c r="F679" s="1">
        <v>45190</v>
      </c>
      <c r="G679" t="s">
        <v>14</v>
      </c>
      <c r="H679" s="2">
        <v>20.329999999999998</v>
      </c>
      <c r="I679" s="2">
        <v>28.67</v>
      </c>
      <c r="J679" s="2">
        <v>25.37</v>
      </c>
      <c r="K679" s="2">
        <f t="shared" si="226"/>
        <v>301.82</v>
      </c>
      <c r="L679" s="2">
        <v>2.44</v>
      </c>
      <c r="M679" s="2">
        <v>0.33</v>
      </c>
      <c r="N679" s="6">
        <f t="shared" si="238"/>
        <v>3.236461004226642</v>
      </c>
      <c r="O679" s="6">
        <f t="shared" si="239"/>
        <v>0.7986787163828224</v>
      </c>
      <c r="P679" s="6">
        <f t="shared" si="240"/>
        <v>97.058983648239376</v>
      </c>
      <c r="Q679" s="6">
        <f t="shared" si="230"/>
        <v>2.7079629470193778</v>
      </c>
      <c r="R679" s="10">
        <f t="shared" si="241"/>
        <v>2.7079629470193778E-3</v>
      </c>
      <c r="S679" s="3">
        <f t="shared" si="242"/>
        <v>4.87433330463488E-2</v>
      </c>
      <c r="T679" s="4">
        <f t="shared" si="243"/>
        <v>4.8743333046348797E-5</v>
      </c>
      <c r="U679" s="3">
        <f t="shared" si="244"/>
        <v>0.17547599896685567</v>
      </c>
      <c r="V679" s="2">
        <v>22.47</v>
      </c>
      <c r="W679" s="2">
        <v>2.37</v>
      </c>
      <c r="X679" s="2">
        <f t="shared" si="245"/>
        <v>23700</v>
      </c>
      <c r="Y679" s="5">
        <v>-0.82</v>
      </c>
      <c r="Z679" s="5">
        <v>-2.0499999999999998</v>
      </c>
      <c r="AA679" s="2">
        <f t="shared" si="246"/>
        <v>1.23</v>
      </c>
      <c r="AB679" s="3">
        <f t="shared" si="247"/>
        <v>0.14266341379419162</v>
      </c>
    </row>
    <row r="680" spans="1:28" x14ac:dyDescent="0.2">
      <c r="A680" t="s">
        <v>6</v>
      </c>
      <c r="B680">
        <v>72</v>
      </c>
      <c r="C680">
        <v>155</v>
      </c>
      <c r="D680">
        <v>60</v>
      </c>
      <c r="E680" t="s">
        <v>7</v>
      </c>
      <c r="F680" s="1">
        <v>45191</v>
      </c>
      <c r="G680" t="s">
        <v>14</v>
      </c>
      <c r="H680" s="2">
        <v>34.86</v>
      </c>
      <c r="I680" s="2">
        <v>25.83</v>
      </c>
      <c r="J680" s="2">
        <v>23.2</v>
      </c>
      <c r="K680" s="2">
        <f t="shared" si="226"/>
        <v>298.97999999999996</v>
      </c>
      <c r="L680" s="2">
        <v>1.68</v>
      </c>
      <c r="M680" s="2">
        <v>0.2</v>
      </c>
      <c r="N680" s="6">
        <f t="shared" si="238"/>
        <v>2.8417113226350375</v>
      </c>
      <c r="O680" s="6">
        <f t="shared" si="239"/>
        <v>1.1594569966264781</v>
      </c>
      <c r="P680" s="6">
        <f t="shared" si="240"/>
        <v>97.019334297532282</v>
      </c>
      <c r="Q680" s="6">
        <f t="shared" si="230"/>
        <v>2.3948037389586294</v>
      </c>
      <c r="R680" s="10">
        <f t="shared" si="241"/>
        <v>2.3948037389586296E-3</v>
      </c>
      <c r="S680" s="3">
        <f t="shared" si="242"/>
        <v>4.3106467301255336E-2</v>
      </c>
      <c r="T680" s="4">
        <f t="shared" si="243"/>
        <v>4.3106467301255333E-5</v>
      </c>
      <c r="U680" s="3">
        <f t="shared" si="244"/>
        <v>0.15518328228451919</v>
      </c>
      <c r="V680" s="2">
        <v>10.28</v>
      </c>
      <c r="W680" s="2">
        <v>1.1299999999999999</v>
      </c>
      <c r="X680" s="2">
        <f t="shared" si="245"/>
        <v>11299.999999999998</v>
      </c>
      <c r="Y680" s="5">
        <v>-0.45</v>
      </c>
      <c r="Z680" s="5">
        <v>-1.24</v>
      </c>
      <c r="AA680" s="2">
        <f t="shared" si="246"/>
        <v>0.79</v>
      </c>
      <c r="AB680" s="3">
        <f t="shared" si="247"/>
        <v>0.19643453453736606</v>
      </c>
    </row>
    <row r="681" spans="1:28" x14ac:dyDescent="0.2">
      <c r="A681" t="s">
        <v>6</v>
      </c>
      <c r="B681">
        <v>72</v>
      </c>
      <c r="C681">
        <v>5</v>
      </c>
      <c r="D681">
        <v>61</v>
      </c>
      <c r="E681" t="s">
        <v>7</v>
      </c>
      <c r="F681" s="1">
        <v>45191</v>
      </c>
      <c r="G681" t="s">
        <v>14</v>
      </c>
      <c r="H681" s="2">
        <v>28.85</v>
      </c>
      <c r="I681" s="2">
        <v>30.21</v>
      </c>
      <c r="J681" s="2">
        <v>28.11</v>
      </c>
      <c r="K681" s="2">
        <f t="shared" si="226"/>
        <v>303.35999999999996</v>
      </c>
      <c r="L681" s="2">
        <v>2.57</v>
      </c>
      <c r="M681" s="2">
        <v>0.19</v>
      </c>
      <c r="N681" s="6">
        <f t="shared" si="238"/>
        <v>3.8027496290076006</v>
      </c>
      <c r="O681" s="6">
        <f t="shared" si="239"/>
        <v>1.238671773549342</v>
      </c>
      <c r="P681" s="6">
        <f t="shared" si="240"/>
        <v>97.080179868374074</v>
      </c>
      <c r="Q681" s="6">
        <f t="shared" si="230"/>
        <v>2.4126699170625154</v>
      </c>
      <c r="R681" s="10">
        <f t="shared" si="241"/>
        <v>2.4126699170625154E-3</v>
      </c>
      <c r="S681" s="3">
        <f t="shared" si="242"/>
        <v>4.3428058507125278E-2</v>
      </c>
      <c r="T681" s="4">
        <f t="shared" si="243"/>
        <v>4.3428058507125277E-5</v>
      </c>
      <c r="U681" s="3">
        <f t="shared" si="244"/>
        <v>0.15634101062565101</v>
      </c>
      <c r="V681" s="2">
        <v>20.64</v>
      </c>
      <c r="W681" s="2">
        <v>4.72</v>
      </c>
      <c r="X681" s="2">
        <f t="shared" si="245"/>
        <v>47200</v>
      </c>
      <c r="Y681" s="5">
        <v>-0.42</v>
      </c>
      <c r="Z681" s="5">
        <v>-1.82</v>
      </c>
      <c r="AA681" s="2">
        <f t="shared" si="246"/>
        <v>1.4000000000000001</v>
      </c>
      <c r="AB681" s="3">
        <f t="shared" si="247"/>
        <v>0.11167215044689356</v>
      </c>
    </row>
    <row r="682" spans="1:28" x14ac:dyDescent="0.2">
      <c r="A682" t="s">
        <v>6</v>
      </c>
      <c r="B682">
        <v>72</v>
      </c>
      <c r="C682">
        <v>5</v>
      </c>
      <c r="D682">
        <v>63</v>
      </c>
      <c r="E682" t="s">
        <v>7</v>
      </c>
      <c r="F682" s="1">
        <v>45190</v>
      </c>
      <c r="G682" t="s">
        <v>14</v>
      </c>
      <c r="H682" s="2">
        <v>19.77</v>
      </c>
      <c r="I682" s="2">
        <v>28.6</v>
      </c>
      <c r="J682" s="2">
        <v>26.3</v>
      </c>
      <c r="K682" s="2">
        <f t="shared" si="226"/>
        <v>301.75</v>
      </c>
      <c r="L682" s="2">
        <v>2.65</v>
      </c>
      <c r="M682" s="2">
        <v>0.25</v>
      </c>
      <c r="N682" s="6">
        <f t="shared" si="238"/>
        <v>3.4197924643457762</v>
      </c>
      <c r="O682" s="6">
        <f t="shared" si="239"/>
        <v>0.7735305830704724</v>
      </c>
      <c r="P682" s="6">
        <f t="shared" si="240"/>
        <v>97.058015153662637</v>
      </c>
      <c r="Q682" s="6">
        <f t="shared" si="230"/>
        <v>1.9828152861127384</v>
      </c>
      <c r="R682" s="10">
        <f t="shared" si="241"/>
        <v>1.9828152861127383E-3</v>
      </c>
      <c r="S682" s="3">
        <f t="shared" si="242"/>
        <v>3.5690675150029286E-2</v>
      </c>
      <c r="T682" s="4">
        <f t="shared" si="243"/>
        <v>3.5690675150029286E-5</v>
      </c>
      <c r="U682" s="3">
        <f t="shared" si="244"/>
        <v>0.12848643054010542</v>
      </c>
      <c r="V682" s="2">
        <v>20.28</v>
      </c>
      <c r="W682" s="2">
        <v>3.11</v>
      </c>
      <c r="X682" s="2">
        <f t="shared" si="245"/>
        <v>31100</v>
      </c>
      <c r="Y682" s="5">
        <v>-0.27</v>
      </c>
      <c r="Z682" s="5">
        <v>-2.06</v>
      </c>
      <c r="AA682" s="2">
        <f t="shared" si="246"/>
        <v>1.79</v>
      </c>
      <c r="AB682" s="3">
        <f t="shared" si="247"/>
        <v>7.1780128793354978E-2</v>
      </c>
    </row>
    <row r="683" spans="1:28" x14ac:dyDescent="0.2">
      <c r="A683" t="s">
        <v>6</v>
      </c>
      <c r="B683">
        <v>72</v>
      </c>
      <c r="C683">
        <v>5</v>
      </c>
      <c r="D683">
        <v>85</v>
      </c>
      <c r="E683" t="s">
        <v>7</v>
      </c>
      <c r="F683" s="1">
        <v>45191</v>
      </c>
      <c r="G683" t="s">
        <v>14</v>
      </c>
      <c r="H683" s="2">
        <v>34.950000000000003</v>
      </c>
      <c r="I683" s="2">
        <v>25.89</v>
      </c>
      <c r="J683" s="2">
        <v>23.65</v>
      </c>
      <c r="K683" s="2">
        <f t="shared" si="226"/>
        <v>299.03999999999996</v>
      </c>
      <c r="L683" s="2">
        <v>1.75</v>
      </c>
      <c r="M683" s="2">
        <v>0.13</v>
      </c>
      <c r="N683" s="6">
        <f t="shared" si="238"/>
        <v>2.9199183319760289</v>
      </c>
      <c r="O683" s="6">
        <f t="shared" si="239"/>
        <v>1.1665892750509739</v>
      </c>
      <c r="P683" s="6">
        <f t="shared" si="240"/>
        <v>97.020179578100411</v>
      </c>
      <c r="Q683" s="6">
        <f t="shared" si="230"/>
        <v>1.5676056653188639</v>
      </c>
      <c r="R683" s="10">
        <f t="shared" si="241"/>
        <v>1.5676056653188639E-3</v>
      </c>
      <c r="S683" s="3">
        <f t="shared" si="242"/>
        <v>2.8216901975739551E-2</v>
      </c>
      <c r="T683" s="4">
        <f t="shared" si="243"/>
        <v>2.821690197573955E-5</v>
      </c>
      <c r="U683" s="3">
        <f t="shared" si="244"/>
        <v>0.10158084711266238</v>
      </c>
      <c r="V683" s="2">
        <v>7.85</v>
      </c>
      <c r="W683" s="2">
        <v>1.36</v>
      </c>
      <c r="X683" s="2">
        <f t="shared" si="245"/>
        <v>13600.000000000002</v>
      </c>
      <c r="Y683" s="5">
        <v>-0.47</v>
      </c>
      <c r="Z683" s="5">
        <v>-1.69</v>
      </c>
      <c r="AA683" s="2">
        <f t="shared" si="246"/>
        <v>1.22</v>
      </c>
      <c r="AB683" s="3">
        <f t="shared" si="247"/>
        <v>8.3262989436608509E-2</v>
      </c>
    </row>
    <row r="684" spans="1:28" x14ac:dyDescent="0.2">
      <c r="A684" t="s">
        <v>9</v>
      </c>
      <c r="B684">
        <v>1521</v>
      </c>
      <c r="C684">
        <v>153</v>
      </c>
      <c r="D684">
        <v>69</v>
      </c>
      <c r="E684" t="s">
        <v>7</v>
      </c>
      <c r="F684" s="1">
        <v>45191</v>
      </c>
      <c r="G684" t="s">
        <v>14</v>
      </c>
      <c r="H684" s="2">
        <v>29.88</v>
      </c>
      <c r="I684" s="2">
        <v>29.89</v>
      </c>
      <c r="J684" s="2">
        <v>28.49</v>
      </c>
      <c r="K684" s="2">
        <f t="shared" si="226"/>
        <v>303.03999999999996</v>
      </c>
      <c r="L684" s="2">
        <v>2.64</v>
      </c>
      <c r="M684" s="2">
        <v>0.2</v>
      </c>
      <c r="N684" s="6">
        <f t="shared" si="238"/>
        <v>3.8877390340249325</v>
      </c>
      <c r="O684" s="6">
        <f t="shared" si="239"/>
        <v>1.2595383433950904</v>
      </c>
      <c r="P684" s="6">
        <f t="shared" si="240"/>
        <v>97.075792810751508</v>
      </c>
      <c r="Q684" s="6">
        <f t="shared" si="230"/>
        <v>2.570649176066766</v>
      </c>
      <c r="R684" s="10">
        <f t="shared" si="241"/>
        <v>2.5706491760667661E-3</v>
      </c>
      <c r="S684" s="3">
        <f t="shared" si="242"/>
        <v>4.6271685169201791E-2</v>
      </c>
      <c r="T684" s="4">
        <f t="shared" si="243"/>
        <v>4.6271685169201789E-5</v>
      </c>
      <c r="U684" s="3">
        <f t="shared" si="244"/>
        <v>0.16657806660912644</v>
      </c>
      <c r="V684" s="2">
        <v>1.69</v>
      </c>
      <c r="W684" s="2">
        <v>0.31</v>
      </c>
      <c r="X684" s="2">
        <f t="shared" si="245"/>
        <v>3100</v>
      </c>
      <c r="Y684" s="5">
        <v>-0.32</v>
      </c>
      <c r="Z684" s="5">
        <v>-1.63</v>
      </c>
      <c r="AA684" s="2">
        <f t="shared" si="246"/>
        <v>1.3099999999999998</v>
      </c>
      <c r="AB684" s="3">
        <f t="shared" si="247"/>
        <v>0.12715882947261561</v>
      </c>
    </row>
    <row r="685" spans="1:28" x14ac:dyDescent="0.2">
      <c r="A685" t="s">
        <v>9</v>
      </c>
      <c r="B685">
        <v>1521</v>
      </c>
      <c r="C685">
        <v>153</v>
      </c>
      <c r="D685">
        <v>76</v>
      </c>
      <c r="E685" t="s">
        <v>7</v>
      </c>
      <c r="F685" s="1">
        <v>45191</v>
      </c>
      <c r="G685" t="s">
        <v>14</v>
      </c>
      <c r="H685" s="2">
        <v>30.69</v>
      </c>
      <c r="I685" s="2">
        <v>29</v>
      </c>
      <c r="J685" s="2">
        <v>28.25</v>
      </c>
      <c r="K685" s="2">
        <f t="shared" si="226"/>
        <v>302.14999999999998</v>
      </c>
      <c r="L685" s="2">
        <v>2.61</v>
      </c>
      <c r="M685" s="2">
        <v>0.19</v>
      </c>
      <c r="N685" s="6">
        <f t="shared" si="238"/>
        <v>3.8338710035656161</v>
      </c>
      <c r="O685" s="6">
        <f t="shared" si="239"/>
        <v>1.2289519120254107</v>
      </c>
      <c r="P685" s="6">
        <f t="shared" si="240"/>
        <v>97.063543493881951</v>
      </c>
      <c r="Q685" s="6">
        <f t="shared" si="230"/>
        <v>2.395703704059847</v>
      </c>
      <c r="R685" s="10">
        <f t="shared" si="241"/>
        <v>2.3957037040598472E-3</v>
      </c>
      <c r="S685" s="3">
        <f t="shared" si="242"/>
        <v>4.3122666673077251E-2</v>
      </c>
      <c r="T685" s="4">
        <f t="shared" si="243"/>
        <v>4.3122666673077249E-5</v>
      </c>
      <c r="U685" s="3">
        <f t="shared" si="244"/>
        <v>0.1552416000230781</v>
      </c>
      <c r="V685" s="2">
        <v>2.0299999999999998</v>
      </c>
      <c r="W685" s="2">
        <v>0.31</v>
      </c>
      <c r="X685" s="2">
        <f t="shared" si="245"/>
        <v>3100</v>
      </c>
      <c r="Y685" s="5">
        <v>-0.45</v>
      </c>
      <c r="Z685" s="5">
        <v>-2.36</v>
      </c>
      <c r="AA685" s="2">
        <f t="shared" si="246"/>
        <v>1.91</v>
      </c>
      <c r="AB685" s="3">
        <f t="shared" si="247"/>
        <v>8.1278324619412617E-2</v>
      </c>
    </row>
    <row r="686" spans="1:28" x14ac:dyDescent="0.2">
      <c r="A686" t="s">
        <v>9</v>
      </c>
      <c r="B686">
        <v>1521</v>
      </c>
      <c r="C686">
        <v>153</v>
      </c>
      <c r="D686">
        <v>90</v>
      </c>
      <c r="E686" t="s">
        <v>7</v>
      </c>
      <c r="F686" s="1">
        <v>45190</v>
      </c>
      <c r="G686" t="s">
        <v>14</v>
      </c>
      <c r="H686" s="2">
        <v>17.489999999999998</v>
      </c>
      <c r="I686" s="2">
        <v>30.99</v>
      </c>
      <c r="J686" s="2">
        <v>29.71</v>
      </c>
      <c r="K686" s="2">
        <f t="shared" si="226"/>
        <v>304.14</v>
      </c>
      <c r="L686" s="2">
        <v>3.39</v>
      </c>
      <c r="M686" s="2">
        <v>0.14000000000000001</v>
      </c>
      <c r="N686" s="6">
        <f t="shared" si="238"/>
        <v>4.171900772084002</v>
      </c>
      <c r="O686" s="6">
        <f t="shared" si="239"/>
        <v>0.78518482058962458</v>
      </c>
      <c r="P686" s="6">
        <f t="shared" si="240"/>
        <v>97.09083547121827</v>
      </c>
      <c r="Q686" s="6">
        <f t="shared" si="230"/>
        <v>1.1274607697058137</v>
      </c>
      <c r="R686" s="10">
        <f t="shared" si="241"/>
        <v>1.1274607697058137E-3</v>
      </c>
      <c r="S686" s="3">
        <f t="shared" si="242"/>
        <v>2.0294293854704645E-2</v>
      </c>
      <c r="T686" s="4">
        <f t="shared" si="243"/>
        <v>2.0294293854704644E-5</v>
      </c>
      <c r="U686" s="3">
        <f t="shared" si="244"/>
        <v>7.3059457876936712E-2</v>
      </c>
      <c r="V686" s="2">
        <v>1.27</v>
      </c>
      <c r="W686" s="2">
        <v>0.15</v>
      </c>
      <c r="X686" s="2">
        <f t="shared" si="245"/>
        <v>1500</v>
      </c>
      <c r="Y686" s="5">
        <v>-0.37</v>
      </c>
      <c r="Z686" s="5">
        <v>-1.46</v>
      </c>
      <c r="AA686" s="2">
        <f t="shared" si="246"/>
        <v>1.0899999999999999</v>
      </c>
      <c r="AB686" s="3">
        <f t="shared" si="247"/>
        <v>6.7027025575171303E-2</v>
      </c>
    </row>
    <row r="687" spans="1:28" x14ac:dyDescent="0.2">
      <c r="A687" t="s">
        <v>9</v>
      </c>
      <c r="B687">
        <v>1521</v>
      </c>
      <c r="C687">
        <v>155</v>
      </c>
      <c r="D687">
        <v>62</v>
      </c>
      <c r="E687" t="s">
        <v>7</v>
      </c>
      <c r="F687" s="1">
        <v>45190</v>
      </c>
      <c r="G687" t="s">
        <v>14</v>
      </c>
      <c r="H687" s="2">
        <v>20.59</v>
      </c>
      <c r="I687" s="2">
        <v>29.32</v>
      </c>
      <c r="J687" s="2">
        <v>26.02</v>
      </c>
      <c r="K687" s="2">
        <f t="shared" si="226"/>
        <v>302.46999999999997</v>
      </c>
      <c r="L687" s="2">
        <v>2.5299999999999998</v>
      </c>
      <c r="M687" s="2">
        <v>0.25</v>
      </c>
      <c r="N687" s="6">
        <f t="shared" si="238"/>
        <v>3.3636650953457314</v>
      </c>
      <c r="O687" s="6">
        <f t="shared" si="239"/>
        <v>0.83989817830953895</v>
      </c>
      <c r="P687" s="6">
        <f t="shared" si="240"/>
        <v>97.067955864263112</v>
      </c>
      <c r="Q687" s="6">
        <f t="shared" si="230"/>
        <v>2.1471171611759901</v>
      </c>
      <c r="R687" s="10">
        <f t="shared" si="241"/>
        <v>2.1471171611759901E-3</v>
      </c>
      <c r="S687" s="3">
        <f t="shared" si="242"/>
        <v>3.8648108901167821E-2</v>
      </c>
      <c r="T687" s="4">
        <f t="shared" si="243"/>
        <v>3.8648108901167821E-5</v>
      </c>
      <c r="U687" s="3">
        <f t="shared" si="244"/>
        <v>0.13913319204420416</v>
      </c>
      <c r="V687" s="2">
        <v>2.31</v>
      </c>
      <c r="W687" s="2">
        <v>0.45</v>
      </c>
      <c r="X687" s="2">
        <f t="shared" si="245"/>
        <v>4500</v>
      </c>
      <c r="Y687" s="5">
        <v>-0.46</v>
      </c>
      <c r="Z687" s="5">
        <v>-1.97</v>
      </c>
      <c r="AA687" s="2">
        <f t="shared" si="246"/>
        <v>1.51</v>
      </c>
      <c r="AB687" s="3">
        <f t="shared" si="247"/>
        <v>9.2141186784241158E-2</v>
      </c>
    </row>
    <row r="688" spans="1:28" x14ac:dyDescent="0.2">
      <c r="A688" t="s">
        <v>9</v>
      </c>
      <c r="B688">
        <v>1521</v>
      </c>
      <c r="C688">
        <v>155</v>
      </c>
      <c r="D688">
        <v>64</v>
      </c>
      <c r="E688" t="s">
        <v>7</v>
      </c>
      <c r="F688" s="1">
        <v>45190</v>
      </c>
      <c r="G688" t="s">
        <v>14</v>
      </c>
      <c r="H688" s="2">
        <v>22.23</v>
      </c>
      <c r="I688" s="2">
        <v>28.62</v>
      </c>
      <c r="J688" s="2">
        <v>26.25</v>
      </c>
      <c r="K688" s="2">
        <f t="shared" si="226"/>
        <v>301.77</v>
      </c>
      <c r="L688" s="2">
        <v>2.54</v>
      </c>
      <c r="M688" s="2">
        <v>0.21</v>
      </c>
      <c r="N688" s="6">
        <f t="shared" si="238"/>
        <v>3.4097101495616999</v>
      </c>
      <c r="O688" s="6">
        <f t="shared" si="239"/>
        <v>0.87079184065401938</v>
      </c>
      <c r="P688" s="6">
        <f t="shared" si="240"/>
        <v>97.058291911260909</v>
      </c>
      <c r="Q688" s="6">
        <f t="shared" si="230"/>
        <v>1.8817468122655763</v>
      </c>
      <c r="R688" s="10">
        <f t="shared" si="241"/>
        <v>1.8817468122655763E-3</v>
      </c>
      <c r="S688" s="3">
        <f t="shared" si="242"/>
        <v>3.3871442620780373E-2</v>
      </c>
      <c r="T688" s="4">
        <f t="shared" si="243"/>
        <v>3.3871442620780375E-5</v>
      </c>
      <c r="U688" s="3">
        <f t="shared" si="244"/>
        <v>0.12193719343480935</v>
      </c>
      <c r="V688" s="2">
        <v>2.25</v>
      </c>
      <c r="W688" s="2">
        <v>0.5</v>
      </c>
      <c r="X688" s="2">
        <f t="shared" si="245"/>
        <v>5000</v>
      </c>
      <c r="Y688" s="5">
        <v>-0.46</v>
      </c>
      <c r="Z688" s="5">
        <v>-1.83</v>
      </c>
      <c r="AA688" s="2">
        <f t="shared" si="246"/>
        <v>1.37</v>
      </c>
      <c r="AB688" s="3">
        <f t="shared" si="247"/>
        <v>8.9005250682342593E-2</v>
      </c>
    </row>
    <row r="689" spans="1:28" x14ac:dyDescent="0.2">
      <c r="A689" t="s">
        <v>9</v>
      </c>
      <c r="B689">
        <v>1521</v>
      </c>
      <c r="C689">
        <v>155</v>
      </c>
      <c r="D689">
        <v>66</v>
      </c>
      <c r="E689" t="s">
        <v>7</v>
      </c>
      <c r="F689" s="1">
        <v>45191</v>
      </c>
      <c r="G689" t="s">
        <v>14</v>
      </c>
      <c r="H689" s="2">
        <v>24.45</v>
      </c>
      <c r="I689" s="2">
        <v>31.43</v>
      </c>
      <c r="J689" s="2">
        <v>29.17</v>
      </c>
      <c r="K689" s="2">
        <f t="shared" si="226"/>
        <v>304.58</v>
      </c>
      <c r="L689" s="2">
        <v>2.92</v>
      </c>
      <c r="M689" s="2">
        <v>0.11</v>
      </c>
      <c r="N689" s="6">
        <f t="shared" si="238"/>
        <v>4.0439662782568915</v>
      </c>
      <c r="O689" s="6">
        <f t="shared" si="239"/>
        <v>1.1254847420319947</v>
      </c>
      <c r="P689" s="6">
        <f t="shared" si="240"/>
        <v>97.09682276068456</v>
      </c>
      <c r="Q689" s="6">
        <f t="shared" si="230"/>
        <v>1.2733299308154045</v>
      </c>
      <c r="R689" s="10">
        <f t="shared" si="241"/>
        <v>1.2733299308154045E-3</v>
      </c>
      <c r="S689" s="3">
        <f t="shared" si="242"/>
        <v>2.291993875467728E-2</v>
      </c>
      <c r="T689" s="4">
        <f t="shared" si="243"/>
        <v>2.291993875467728E-5</v>
      </c>
      <c r="U689" s="3">
        <f t="shared" si="244"/>
        <v>8.2511779516838205E-2</v>
      </c>
      <c r="V689" s="2">
        <v>3.09</v>
      </c>
      <c r="W689" s="2">
        <v>0.44</v>
      </c>
      <c r="X689" s="2">
        <f t="shared" si="245"/>
        <v>4400</v>
      </c>
      <c r="Y689" s="5">
        <v>-0.4</v>
      </c>
      <c r="Z689" s="5">
        <v>-1.6</v>
      </c>
      <c r="AA689" s="2">
        <f t="shared" si="246"/>
        <v>1.2000000000000002</v>
      </c>
      <c r="AB689" s="3">
        <f t="shared" si="247"/>
        <v>6.8759816264031826E-2</v>
      </c>
    </row>
    <row r="690" spans="1:28" x14ac:dyDescent="0.2">
      <c r="A690" t="s">
        <v>9</v>
      </c>
      <c r="B690">
        <v>1521</v>
      </c>
      <c r="C690">
        <v>156</v>
      </c>
      <c r="D690">
        <v>71</v>
      </c>
      <c r="E690" t="s">
        <v>7</v>
      </c>
      <c r="F690" s="1">
        <v>45190</v>
      </c>
      <c r="G690" t="s">
        <v>14</v>
      </c>
      <c r="H690" s="2">
        <v>19.989999999999998</v>
      </c>
      <c r="I690" s="2">
        <v>29.55</v>
      </c>
      <c r="J690" s="2">
        <v>27.91</v>
      </c>
      <c r="K690" s="2">
        <f t="shared" si="226"/>
        <v>302.7</v>
      </c>
      <c r="L690" s="2">
        <v>2.95</v>
      </c>
      <c r="M690" s="2">
        <v>0.18</v>
      </c>
      <c r="N690" s="6">
        <f t="shared" si="238"/>
        <v>3.7586729031181854</v>
      </c>
      <c r="O690" s="6">
        <f t="shared" si="239"/>
        <v>0.82631294925456444</v>
      </c>
      <c r="P690" s="6">
        <f t="shared" si="240"/>
        <v>97.071121616692409</v>
      </c>
      <c r="Q690" s="6">
        <f t="shared" si="230"/>
        <v>1.4995306548126106</v>
      </c>
      <c r="R690" s="10">
        <f t="shared" si="241"/>
        <v>1.4995306548126106E-3</v>
      </c>
      <c r="S690" s="3">
        <f t="shared" si="242"/>
        <v>2.6991551786626992E-2</v>
      </c>
      <c r="T690" s="4">
        <f t="shared" si="243"/>
        <v>2.6991551786626993E-5</v>
      </c>
      <c r="U690" s="3">
        <f t="shared" si="244"/>
        <v>9.7169586431857177E-2</v>
      </c>
      <c r="V690" s="2">
        <v>1.53</v>
      </c>
      <c r="W690" s="2">
        <v>0.24</v>
      </c>
      <c r="X690" s="2">
        <f t="shared" si="245"/>
        <v>2400</v>
      </c>
      <c r="Y690" s="5">
        <v>-0.26</v>
      </c>
      <c r="Z690" s="5">
        <v>-1.83</v>
      </c>
      <c r="AA690" s="2">
        <f t="shared" si="246"/>
        <v>1.57</v>
      </c>
      <c r="AB690" s="3">
        <f t="shared" si="247"/>
        <v>6.1891456326023678E-2</v>
      </c>
    </row>
    <row r="691" spans="1:28" x14ac:dyDescent="0.2">
      <c r="A691" t="s">
        <v>9</v>
      </c>
      <c r="B691">
        <v>1521</v>
      </c>
      <c r="C691">
        <v>156</v>
      </c>
      <c r="D691">
        <v>74</v>
      </c>
      <c r="E691" t="s">
        <v>7</v>
      </c>
      <c r="F691" s="1">
        <v>45191</v>
      </c>
      <c r="G691" t="s">
        <v>14</v>
      </c>
      <c r="H691" s="2">
        <v>32.200000000000003</v>
      </c>
      <c r="I691" s="2">
        <v>28.28</v>
      </c>
      <c r="J691" s="2">
        <v>26.02</v>
      </c>
      <c r="K691" s="2">
        <f t="shared" si="226"/>
        <v>301.42999999999995</v>
      </c>
      <c r="L691" s="2">
        <v>2.13</v>
      </c>
      <c r="M691" s="2">
        <v>0.19</v>
      </c>
      <c r="N691" s="6">
        <f t="shared" si="238"/>
        <v>3.3636650953457314</v>
      </c>
      <c r="O691" s="6">
        <f t="shared" si="239"/>
        <v>1.2366631213632915</v>
      </c>
      <c r="P691" s="6">
        <f t="shared" si="240"/>
        <v>97.053582144920398</v>
      </c>
      <c r="Q691" s="6">
        <f t="shared" si="230"/>
        <v>2.4151233054508836</v>
      </c>
      <c r="R691" s="10">
        <f t="shared" si="241"/>
        <v>2.4151233054508837E-3</v>
      </c>
      <c r="S691" s="3">
        <f t="shared" si="242"/>
        <v>4.3472219498115909E-2</v>
      </c>
      <c r="T691" s="4">
        <f t="shared" si="243"/>
        <v>4.3472219498115911E-5</v>
      </c>
      <c r="U691" s="3">
        <f t="shared" si="244"/>
        <v>0.15649999019321728</v>
      </c>
      <c r="V691" s="2">
        <v>2.2200000000000002</v>
      </c>
      <c r="W691" s="2">
        <v>0.32</v>
      </c>
      <c r="X691" s="2">
        <f t="shared" si="245"/>
        <v>3200</v>
      </c>
      <c r="Y691" s="5">
        <v>-0.35</v>
      </c>
      <c r="Z691" s="5">
        <v>-1.82</v>
      </c>
      <c r="AA691" s="2">
        <f t="shared" si="246"/>
        <v>1.4700000000000002</v>
      </c>
      <c r="AB691" s="3">
        <f t="shared" si="247"/>
        <v>0.10646257836273283</v>
      </c>
    </row>
    <row r="692" spans="1:28" x14ac:dyDescent="0.2">
      <c r="A692" t="s">
        <v>9</v>
      </c>
      <c r="B692">
        <v>1521</v>
      </c>
      <c r="C692">
        <v>156</v>
      </c>
      <c r="D692">
        <v>75</v>
      </c>
      <c r="E692" t="s">
        <v>7</v>
      </c>
      <c r="F692" s="1">
        <v>45191</v>
      </c>
      <c r="G692" t="s">
        <v>14</v>
      </c>
      <c r="H692" s="2">
        <v>24.96</v>
      </c>
      <c r="I692" s="2">
        <v>31.35</v>
      </c>
      <c r="J692" s="2">
        <v>29.47</v>
      </c>
      <c r="K692" s="2">
        <f t="shared" si="226"/>
        <v>304.5</v>
      </c>
      <c r="L692" s="2">
        <v>2.98</v>
      </c>
      <c r="M692" s="2">
        <v>0.14000000000000001</v>
      </c>
      <c r="N692" s="6">
        <f t="shared" si="238"/>
        <v>4.1146119765431788</v>
      </c>
      <c r="O692" s="6">
        <f t="shared" si="239"/>
        <v>1.143747098669915</v>
      </c>
      <c r="P692" s="6">
        <f t="shared" si="240"/>
        <v>97.095735422175764</v>
      </c>
      <c r="Q692" s="6">
        <f t="shared" si="230"/>
        <v>1.6359696543352631</v>
      </c>
      <c r="R692" s="10">
        <f t="shared" si="241"/>
        <v>1.6359696543352632E-3</v>
      </c>
      <c r="S692" s="3">
        <f t="shared" si="242"/>
        <v>2.9447453778034739E-2</v>
      </c>
      <c r="T692" s="4">
        <f t="shared" si="243"/>
        <v>2.9447453778034738E-5</v>
      </c>
      <c r="U692" s="3">
        <f t="shared" si="244"/>
        <v>0.10601083360092506</v>
      </c>
      <c r="V692" s="2">
        <v>3.2</v>
      </c>
      <c r="W692" s="2">
        <v>0.59</v>
      </c>
      <c r="X692" s="2">
        <f t="shared" si="245"/>
        <v>5900</v>
      </c>
      <c r="Y692" s="5">
        <v>-0.31</v>
      </c>
      <c r="Z692" s="5">
        <v>-1.86</v>
      </c>
      <c r="AA692" s="2">
        <f t="shared" si="246"/>
        <v>1.55</v>
      </c>
      <c r="AB692" s="3">
        <f t="shared" si="247"/>
        <v>6.8394086194145193E-2</v>
      </c>
    </row>
    <row r="693" spans="1:28" x14ac:dyDescent="0.2">
      <c r="A693" t="s">
        <v>9</v>
      </c>
      <c r="B693">
        <v>1521</v>
      </c>
      <c r="C693">
        <v>157</v>
      </c>
      <c r="D693">
        <v>67</v>
      </c>
      <c r="E693" t="s">
        <v>7</v>
      </c>
      <c r="F693" s="1">
        <v>45191</v>
      </c>
      <c r="G693" t="s">
        <v>14</v>
      </c>
      <c r="H693" s="2">
        <v>35.380000000000003</v>
      </c>
      <c r="I693" s="2">
        <v>26.04</v>
      </c>
      <c r="J693" s="2">
        <v>23.78</v>
      </c>
      <c r="K693" s="2">
        <f t="shared" si="226"/>
        <v>299.19</v>
      </c>
      <c r="L693" s="2">
        <v>1.75</v>
      </c>
      <c r="M693" s="2">
        <v>0.17</v>
      </c>
      <c r="N693" s="6">
        <f t="shared" si="238"/>
        <v>2.942859026682981</v>
      </c>
      <c r="O693" s="6">
        <f t="shared" si="239"/>
        <v>1.1914736285522278</v>
      </c>
      <c r="P693" s="6">
        <f t="shared" si="240"/>
        <v>97.022291328456035</v>
      </c>
      <c r="Q693" s="6">
        <f t="shared" si="230"/>
        <v>2.0900973555613285</v>
      </c>
      <c r="R693" s="10">
        <f t="shared" si="241"/>
        <v>2.0900973555613286E-3</v>
      </c>
      <c r="S693" s="3">
        <f t="shared" si="242"/>
        <v>3.7621752400103917E-2</v>
      </c>
      <c r="T693" s="4">
        <f t="shared" si="243"/>
        <v>3.7621752400103915E-5</v>
      </c>
      <c r="U693" s="3">
        <f t="shared" si="244"/>
        <v>0.13543830864037409</v>
      </c>
      <c r="V693" s="2">
        <v>2.02</v>
      </c>
      <c r="W693" s="2">
        <v>0.35</v>
      </c>
      <c r="X693" s="2">
        <f t="shared" si="245"/>
        <v>3500</v>
      </c>
      <c r="Y693" s="5">
        <v>-0.57999999999999996</v>
      </c>
      <c r="Z693" s="5">
        <v>-2.08</v>
      </c>
      <c r="AA693" s="2">
        <f t="shared" si="246"/>
        <v>1.5</v>
      </c>
      <c r="AB693" s="3">
        <f t="shared" si="247"/>
        <v>9.0292205760249392E-2</v>
      </c>
    </row>
    <row r="694" spans="1:28" x14ac:dyDescent="0.2">
      <c r="A694" t="s">
        <v>9</v>
      </c>
      <c r="B694">
        <v>1521</v>
      </c>
      <c r="C694">
        <v>157</v>
      </c>
      <c r="D694">
        <v>68</v>
      </c>
      <c r="E694" t="s">
        <v>7</v>
      </c>
      <c r="F694" s="1">
        <v>45191</v>
      </c>
      <c r="G694" t="s">
        <v>14</v>
      </c>
      <c r="H694" s="2">
        <v>34.49</v>
      </c>
      <c r="I694" s="2">
        <v>25.78</v>
      </c>
      <c r="J694" s="2">
        <v>23.01</v>
      </c>
      <c r="K694" s="2">
        <f t="shared" si="226"/>
        <v>298.92999999999995</v>
      </c>
      <c r="L694" s="2">
        <v>1.67</v>
      </c>
      <c r="M694" s="2">
        <v>0.18</v>
      </c>
      <c r="N694" s="6">
        <f t="shared" si="238"/>
        <v>2.809244716539141</v>
      </c>
      <c r="O694" s="6">
        <f t="shared" si="239"/>
        <v>1.1437566874088219</v>
      </c>
      <c r="P694" s="6">
        <f t="shared" si="240"/>
        <v>97.018629643482825</v>
      </c>
      <c r="Q694" s="6">
        <f t="shared" si="230"/>
        <v>2.1136564155832773</v>
      </c>
      <c r="R694" s="10">
        <f t="shared" si="241"/>
        <v>2.1136564155832772E-3</v>
      </c>
      <c r="S694" s="3">
        <f t="shared" si="242"/>
        <v>3.8045815480498991E-2</v>
      </c>
      <c r="T694" s="4">
        <f t="shared" si="243"/>
        <v>3.8045815480498991E-5</v>
      </c>
      <c r="U694" s="3">
        <f t="shared" si="244"/>
        <v>0.13696493572979637</v>
      </c>
      <c r="V694" s="2">
        <v>2.2400000000000002</v>
      </c>
      <c r="W694" s="2">
        <v>0.41</v>
      </c>
      <c r="X694" s="2">
        <f t="shared" si="245"/>
        <v>4100</v>
      </c>
      <c r="Y694" s="5">
        <v>-0.71</v>
      </c>
      <c r="Z694" s="5">
        <v>-2.42</v>
      </c>
      <c r="AA694" s="2">
        <f t="shared" si="246"/>
        <v>1.71</v>
      </c>
      <c r="AB694" s="3">
        <f t="shared" si="247"/>
        <v>8.0096453643155777E-2</v>
      </c>
    </row>
    <row r="695" spans="1:28" x14ac:dyDescent="0.2">
      <c r="A695" t="s">
        <v>9</v>
      </c>
      <c r="B695">
        <v>1521</v>
      </c>
      <c r="C695">
        <v>157</v>
      </c>
      <c r="D695">
        <v>72</v>
      </c>
      <c r="E695" t="s">
        <v>7</v>
      </c>
      <c r="F695" s="1">
        <v>45190</v>
      </c>
      <c r="G695" t="s">
        <v>14</v>
      </c>
      <c r="H695" s="2">
        <v>21.2</v>
      </c>
      <c r="I695" s="2">
        <v>28.81</v>
      </c>
      <c r="J695" s="2">
        <v>26.88</v>
      </c>
      <c r="K695" s="2">
        <f t="shared" si="226"/>
        <v>301.95999999999998</v>
      </c>
      <c r="L695" s="2">
        <v>2.7</v>
      </c>
      <c r="M695" s="2">
        <v>0.16</v>
      </c>
      <c r="N695" s="6">
        <f t="shared" si="238"/>
        <v>3.5386638830184531</v>
      </c>
      <c r="O695" s="6">
        <f t="shared" si="239"/>
        <v>0.83964493634776782</v>
      </c>
      <c r="P695" s="6">
        <f t="shared" si="240"/>
        <v>97.060919319260393</v>
      </c>
      <c r="Q695" s="6">
        <f t="shared" si="230"/>
        <v>1.3824948519349651</v>
      </c>
      <c r="R695" s="10">
        <f t="shared" si="241"/>
        <v>1.3824948519349652E-3</v>
      </c>
      <c r="S695" s="3">
        <f t="shared" si="242"/>
        <v>2.4884907334829374E-2</v>
      </c>
      <c r="T695" s="4">
        <f t="shared" si="243"/>
        <v>2.4884907334829375E-5</v>
      </c>
      <c r="U695" s="3">
        <f t="shared" si="244"/>
        <v>8.9585666405385747E-2</v>
      </c>
      <c r="V695" s="2">
        <v>2.52</v>
      </c>
      <c r="W695" s="2">
        <v>0.46</v>
      </c>
      <c r="X695" s="2">
        <f t="shared" si="245"/>
        <v>4600</v>
      </c>
      <c r="Y695" s="5">
        <v>-0.59</v>
      </c>
      <c r="Z695" s="5">
        <v>-1.78</v>
      </c>
      <c r="AA695" s="2">
        <f t="shared" si="246"/>
        <v>1.19</v>
      </c>
      <c r="AB695" s="3">
        <f t="shared" si="247"/>
        <v>7.528207260956786E-2</v>
      </c>
    </row>
    <row r="696" spans="1:28" x14ac:dyDescent="0.2">
      <c r="A696" t="s">
        <v>9</v>
      </c>
      <c r="B696">
        <v>1521</v>
      </c>
      <c r="C696">
        <v>158</v>
      </c>
      <c r="D696">
        <v>70</v>
      </c>
      <c r="E696" t="s">
        <v>7</v>
      </c>
      <c r="F696" s="1">
        <v>45191</v>
      </c>
      <c r="G696" t="s">
        <v>14</v>
      </c>
      <c r="H696" s="2">
        <v>21.73</v>
      </c>
      <c r="I696" s="2">
        <v>32.11</v>
      </c>
      <c r="J696" s="2">
        <v>30.66</v>
      </c>
      <c r="K696" s="2">
        <f t="shared" si="226"/>
        <v>305.26</v>
      </c>
      <c r="L696" s="2">
        <v>3.37</v>
      </c>
      <c r="M696" s="2">
        <v>0.19</v>
      </c>
      <c r="N696" s="6">
        <f t="shared" si="238"/>
        <v>4.4055482295312594</v>
      </c>
      <c r="O696" s="6">
        <f t="shared" si="239"/>
        <v>1.0395945621769835</v>
      </c>
      <c r="P696" s="6">
        <f t="shared" si="240"/>
        <v>97.106042616769955</v>
      </c>
      <c r="Q696" s="6">
        <f t="shared" si="230"/>
        <v>2.0261783747838606</v>
      </c>
      <c r="R696" s="10">
        <f t="shared" si="241"/>
        <v>2.0261783747838606E-3</v>
      </c>
      <c r="S696" s="3">
        <f t="shared" si="242"/>
        <v>3.6471210746109491E-2</v>
      </c>
      <c r="T696" s="4">
        <f t="shared" si="243"/>
        <v>3.6471210746109491E-5</v>
      </c>
      <c r="U696" s="3">
        <f t="shared" si="244"/>
        <v>0.13129635868599418</v>
      </c>
      <c r="V696" s="2">
        <v>1.21</v>
      </c>
      <c r="W696" s="2">
        <v>0.27</v>
      </c>
      <c r="X696" s="2">
        <f t="shared" si="245"/>
        <v>2700</v>
      </c>
      <c r="Y696" s="5">
        <v>-0.41</v>
      </c>
      <c r="Z696" s="5">
        <v>-1.93</v>
      </c>
      <c r="AA696" s="2">
        <f t="shared" si="246"/>
        <v>1.52</v>
      </c>
      <c r="AB696" s="3">
        <f t="shared" si="247"/>
        <v>8.6379183346048799E-2</v>
      </c>
    </row>
    <row r="697" spans="1:28" x14ac:dyDescent="0.2">
      <c r="A697" t="s">
        <v>9</v>
      </c>
      <c r="B697">
        <v>1521</v>
      </c>
      <c r="C697">
        <v>158</v>
      </c>
      <c r="D697">
        <v>73</v>
      </c>
      <c r="E697" t="s">
        <v>7</v>
      </c>
      <c r="F697" s="1">
        <v>45191</v>
      </c>
      <c r="G697" t="s">
        <v>14</v>
      </c>
      <c r="H697" s="2">
        <v>31.33</v>
      </c>
      <c r="I697" s="2">
        <v>28.7</v>
      </c>
      <c r="J697" s="2">
        <v>26.73</v>
      </c>
      <c r="K697" s="2">
        <f t="shared" si="226"/>
        <v>301.84999999999997</v>
      </c>
      <c r="L697" s="2">
        <v>2.2799999999999998</v>
      </c>
      <c r="M697" s="2">
        <v>0.23</v>
      </c>
      <c r="N697" s="6">
        <f t="shared" si="238"/>
        <v>3.5075806066578696</v>
      </c>
      <c r="O697" s="6">
        <f t="shared" si="239"/>
        <v>1.2329651741365484</v>
      </c>
      <c r="P697" s="6">
        <f t="shared" si="240"/>
        <v>97.059398582792426</v>
      </c>
      <c r="Q697" s="6">
        <f t="shared" si="230"/>
        <v>2.908976808572215</v>
      </c>
      <c r="R697" s="10">
        <f t="shared" si="241"/>
        <v>2.908976808572215E-3</v>
      </c>
      <c r="S697" s="3">
        <f t="shared" si="242"/>
        <v>5.2361582554299874E-2</v>
      </c>
      <c r="T697" s="4">
        <f t="shared" si="243"/>
        <v>5.2361582554299873E-5</v>
      </c>
      <c r="U697" s="3">
        <f t="shared" si="244"/>
        <v>0.18850169719547955</v>
      </c>
      <c r="V697" s="2">
        <v>0.73</v>
      </c>
      <c r="W697" s="2">
        <v>0.16</v>
      </c>
      <c r="X697" s="2">
        <f t="shared" si="245"/>
        <v>1600</v>
      </c>
      <c r="Y697" s="5">
        <v>-0.43</v>
      </c>
      <c r="Z697" s="5">
        <v>-2.04</v>
      </c>
      <c r="AA697" s="2">
        <f t="shared" si="246"/>
        <v>1.61</v>
      </c>
      <c r="AB697" s="3">
        <f t="shared" si="247"/>
        <v>0.11708179950029785</v>
      </c>
    </row>
    <row r="698" spans="1:28" x14ac:dyDescent="0.2">
      <c r="A698" t="s">
        <v>9</v>
      </c>
      <c r="B698">
        <v>1521</v>
      </c>
      <c r="C698">
        <v>158</v>
      </c>
      <c r="D698">
        <v>81</v>
      </c>
      <c r="E698" t="s">
        <v>7</v>
      </c>
      <c r="F698" s="1">
        <v>45191</v>
      </c>
      <c r="G698" t="s">
        <v>14</v>
      </c>
      <c r="H698" s="2">
        <v>23.78</v>
      </c>
      <c r="I698" s="2">
        <v>32.57</v>
      </c>
      <c r="J698" s="2">
        <v>31.46</v>
      </c>
      <c r="K698" s="2">
        <f t="shared" si="226"/>
        <v>305.71999999999997</v>
      </c>
      <c r="L698" s="2">
        <v>3.45</v>
      </c>
      <c r="M698" s="2">
        <v>0.11</v>
      </c>
      <c r="N698" s="6">
        <f t="shared" si="238"/>
        <v>4.611064483246281</v>
      </c>
      <c r="O698" s="6">
        <f t="shared" si="239"/>
        <v>1.1676035881154334</v>
      </c>
      <c r="P698" s="6">
        <f t="shared" si="240"/>
        <v>97.112256815049491</v>
      </c>
      <c r="Q698" s="6">
        <f t="shared" si="230"/>
        <v>1.3151490588909738</v>
      </c>
      <c r="R698" s="10">
        <f t="shared" si="241"/>
        <v>1.3151490588909737E-3</v>
      </c>
      <c r="S698" s="3">
        <f t="shared" si="242"/>
        <v>2.3672683060037527E-2</v>
      </c>
      <c r="T698" s="4">
        <f t="shared" si="243"/>
        <v>2.3672683060037527E-5</v>
      </c>
      <c r="U698" s="3">
        <f t="shared" si="244"/>
        <v>8.5221659016135098E-2</v>
      </c>
      <c r="V698" s="2">
        <v>0.69</v>
      </c>
      <c r="W698" s="2">
        <v>0.22</v>
      </c>
      <c r="X698" s="2">
        <f t="shared" si="245"/>
        <v>2200</v>
      </c>
      <c r="Y698" s="5">
        <v>-0.4</v>
      </c>
      <c r="Z698" s="5">
        <v>-1.77</v>
      </c>
      <c r="AA698" s="2">
        <f t="shared" si="246"/>
        <v>1.37</v>
      </c>
      <c r="AB698" s="3">
        <f t="shared" si="247"/>
        <v>6.2205590522726346E-2</v>
      </c>
    </row>
    <row r="699" spans="1:28" x14ac:dyDescent="0.2">
      <c r="A699" t="s">
        <v>10</v>
      </c>
      <c r="B699">
        <v>666</v>
      </c>
      <c r="C699">
        <v>101</v>
      </c>
      <c r="D699">
        <v>1</v>
      </c>
      <c r="E699" t="s">
        <v>7</v>
      </c>
      <c r="F699" s="1">
        <v>45190</v>
      </c>
      <c r="G699" t="s">
        <v>14</v>
      </c>
      <c r="H699" s="2">
        <v>18.98</v>
      </c>
      <c r="I699" s="2">
        <v>32.4</v>
      </c>
      <c r="J699" s="2">
        <v>30.33</v>
      </c>
      <c r="K699" s="2">
        <f t="shared" si="226"/>
        <v>305.54999999999995</v>
      </c>
      <c r="L699" s="2">
        <v>3.41</v>
      </c>
      <c r="M699" s="2">
        <v>0.22</v>
      </c>
      <c r="N699" s="6">
        <f t="shared" si="238"/>
        <v>4.3231263585782278</v>
      </c>
      <c r="O699" s="6">
        <f t="shared" si="239"/>
        <v>0.92302988962331511</v>
      </c>
      <c r="P699" s="6">
        <f t="shared" si="240"/>
        <v>97.109962396880761</v>
      </c>
      <c r="Q699" s="6">
        <f t="shared" si="230"/>
        <v>2.0686631312470034</v>
      </c>
      <c r="R699" s="10">
        <f t="shared" si="241"/>
        <v>2.0686631312470034E-3</v>
      </c>
      <c r="S699" s="3">
        <f t="shared" si="242"/>
        <v>3.7235936362446063E-2</v>
      </c>
      <c r="T699" s="4">
        <f t="shared" si="243"/>
        <v>3.7235936362446061E-5</v>
      </c>
      <c r="U699" s="3">
        <f t="shared" si="244"/>
        <v>0.13404937090480581</v>
      </c>
      <c r="V699" s="2">
        <v>5.48</v>
      </c>
      <c r="W699" s="2">
        <v>0.73</v>
      </c>
      <c r="X699" s="2">
        <f t="shared" si="245"/>
        <v>7300</v>
      </c>
      <c r="Y699" s="5">
        <v>-0.39</v>
      </c>
      <c r="Z699" s="5">
        <v>-2.34</v>
      </c>
      <c r="AA699" s="2">
        <f t="shared" si="246"/>
        <v>1.9499999999999997</v>
      </c>
      <c r="AB699" s="3">
        <f t="shared" si="247"/>
        <v>6.8743267130669652E-2</v>
      </c>
    </row>
    <row r="700" spans="1:28" x14ac:dyDescent="0.2">
      <c r="A700" t="s">
        <v>10</v>
      </c>
      <c r="B700">
        <v>666</v>
      </c>
      <c r="C700">
        <v>101</v>
      </c>
      <c r="D700">
        <v>2</v>
      </c>
      <c r="E700" t="s">
        <v>7</v>
      </c>
      <c r="F700" s="1">
        <v>45190</v>
      </c>
      <c r="G700" t="s">
        <v>14</v>
      </c>
      <c r="H700" s="2">
        <v>17.55</v>
      </c>
      <c r="I700" s="2">
        <v>31.54</v>
      </c>
      <c r="J700" s="2">
        <v>30.56</v>
      </c>
      <c r="K700" s="2">
        <f t="shared" si="226"/>
        <v>304.69</v>
      </c>
      <c r="L700" s="2">
        <v>3.58</v>
      </c>
      <c r="M700" s="2">
        <v>0.13</v>
      </c>
      <c r="N700" s="6">
        <f t="shared" si="238"/>
        <v>4.3804285568330563</v>
      </c>
      <c r="O700" s="6">
        <f t="shared" si="239"/>
        <v>0.81292793133919394</v>
      </c>
      <c r="P700" s="6">
        <f t="shared" si="240"/>
        <v>97.098316938681435</v>
      </c>
      <c r="Q700" s="6">
        <f t="shared" si="230"/>
        <v>1.0716531003725795</v>
      </c>
      <c r="R700" s="10">
        <f t="shared" si="241"/>
        <v>1.0716531003725795E-3</v>
      </c>
      <c r="S700" s="3">
        <f t="shared" si="242"/>
        <v>1.928975580670643E-2</v>
      </c>
      <c r="T700" s="4">
        <f t="shared" si="243"/>
        <v>1.928975580670643E-5</v>
      </c>
      <c r="U700" s="3">
        <f t="shared" si="244"/>
        <v>6.9443120904143146E-2</v>
      </c>
      <c r="V700" s="2">
        <v>4.08</v>
      </c>
      <c r="W700" s="2">
        <v>0.49</v>
      </c>
      <c r="X700" s="2">
        <f t="shared" si="245"/>
        <v>4900</v>
      </c>
      <c r="Y700" s="5">
        <v>-0.32</v>
      </c>
      <c r="Z700" s="5">
        <v>-2.02</v>
      </c>
      <c r="AA700" s="2">
        <f t="shared" si="246"/>
        <v>1.7</v>
      </c>
      <c r="AB700" s="3">
        <f t="shared" si="247"/>
        <v>4.0848894649495968E-2</v>
      </c>
    </row>
    <row r="701" spans="1:28" x14ac:dyDescent="0.2">
      <c r="A701" t="s">
        <v>10</v>
      </c>
      <c r="B701">
        <v>666</v>
      </c>
      <c r="C701">
        <v>101</v>
      </c>
      <c r="D701">
        <v>3</v>
      </c>
      <c r="E701" t="s">
        <v>7</v>
      </c>
      <c r="F701" s="1">
        <v>45190</v>
      </c>
      <c r="G701" t="s">
        <v>14</v>
      </c>
      <c r="H701" s="2">
        <v>17.03</v>
      </c>
      <c r="I701" s="2">
        <v>31.44</v>
      </c>
      <c r="J701" s="2">
        <v>29.11</v>
      </c>
      <c r="K701" s="2">
        <f t="shared" si="226"/>
        <v>304.58999999999997</v>
      </c>
      <c r="L701" s="2">
        <v>3.26</v>
      </c>
      <c r="M701" s="2">
        <v>0.15</v>
      </c>
      <c r="N701" s="6">
        <f t="shared" ref="N701:N732" si="248">0.611*EXP((17.502*J701)/(240.97+J701))</f>
        <v>4.029964758046904</v>
      </c>
      <c r="O701" s="6">
        <f t="shared" ref="O701:O732" si="249">(0.611*EXP((17.502*I701)/(240.97+I701)))*(H701/100)</f>
        <v>0.78437226736156329</v>
      </c>
      <c r="P701" s="6">
        <f t="shared" ref="P701:P732" si="250">101.325*EXP(-380/(29.27*K701))</f>
        <v>97.096958638693309</v>
      </c>
      <c r="Q701" s="6">
        <f t="shared" si="230"/>
        <v>1.1894781806379955</v>
      </c>
      <c r="R701" s="10">
        <f t="shared" si="241"/>
        <v>1.1894781806379956E-3</v>
      </c>
      <c r="S701" s="3">
        <f t="shared" ref="S701:S732" si="251">R701*18</f>
        <v>2.1410607251483919E-2</v>
      </c>
      <c r="T701" s="4">
        <f t="shared" ref="T701:T732" si="252">S701/1000</f>
        <v>2.141060725148392E-5</v>
      </c>
      <c r="U701" s="3">
        <f t="shared" ref="U701:U732" si="253">T701*3600</f>
        <v>7.7078186105342117E-2</v>
      </c>
      <c r="V701" s="2">
        <v>6.39</v>
      </c>
      <c r="W701" s="2">
        <v>0.75</v>
      </c>
      <c r="X701" s="2">
        <f t="shared" ref="X701:X732" si="254">W701*10000</f>
        <v>7500</v>
      </c>
      <c r="Y701" s="5">
        <v>-0.49</v>
      </c>
      <c r="Z701" s="5">
        <v>-2.02</v>
      </c>
      <c r="AA701" s="2">
        <f t="shared" ref="AA701:AA732" si="255">Y701-Z701</f>
        <v>1.53</v>
      </c>
      <c r="AB701" s="3">
        <f t="shared" ref="AB701:AB732" si="256">U701/AA701</f>
        <v>5.0377899415256285E-2</v>
      </c>
    </row>
    <row r="702" spans="1:28" x14ac:dyDescent="0.2">
      <c r="A702" t="s">
        <v>10</v>
      </c>
      <c r="B702">
        <v>666</v>
      </c>
      <c r="C702">
        <v>105</v>
      </c>
      <c r="D702">
        <v>7</v>
      </c>
      <c r="E702" t="s">
        <v>7</v>
      </c>
      <c r="F702" s="1">
        <v>45190</v>
      </c>
      <c r="G702" t="s">
        <v>14</v>
      </c>
      <c r="H702" s="2">
        <v>19.510000000000002</v>
      </c>
      <c r="I702" s="2">
        <v>29.86</v>
      </c>
      <c r="J702" s="2">
        <v>27.07</v>
      </c>
      <c r="K702" s="2">
        <f t="shared" si="226"/>
        <v>303.01</v>
      </c>
      <c r="L702" s="2">
        <v>2.76</v>
      </c>
      <c r="M702" s="2">
        <v>0.15</v>
      </c>
      <c r="N702" s="6">
        <f t="shared" si="248"/>
        <v>3.5783810443890229</v>
      </c>
      <c r="O702" s="6">
        <f t="shared" si="249"/>
        <v>0.82099216544288178</v>
      </c>
      <c r="P702" s="6">
        <f t="shared" si="250"/>
        <v>97.075381059208638</v>
      </c>
      <c r="Q702" s="6">
        <f t="shared" si="230"/>
        <v>1.264554981076828</v>
      </c>
      <c r="R702" s="10">
        <f t="shared" si="241"/>
        <v>1.264554981076828E-3</v>
      </c>
      <c r="S702" s="3">
        <f t="shared" si="251"/>
        <v>2.2761989659382906E-2</v>
      </c>
      <c r="T702" s="4">
        <f t="shared" si="252"/>
        <v>2.2761989659382904E-5</v>
      </c>
      <c r="U702" s="3">
        <f t="shared" si="253"/>
        <v>8.1943162773778458E-2</v>
      </c>
      <c r="V702" s="2">
        <v>3.32</v>
      </c>
      <c r="W702" s="2">
        <v>0.56000000000000005</v>
      </c>
      <c r="X702" s="2">
        <f t="shared" si="254"/>
        <v>5600.0000000000009</v>
      </c>
      <c r="Y702" s="5">
        <v>-0.15</v>
      </c>
      <c r="Z702" s="5">
        <v>-1.69</v>
      </c>
      <c r="AA702" s="2">
        <f t="shared" si="255"/>
        <v>1.54</v>
      </c>
      <c r="AB702" s="3">
        <f t="shared" si="256"/>
        <v>5.3209845956999E-2</v>
      </c>
    </row>
    <row r="703" spans="1:28" x14ac:dyDescent="0.2">
      <c r="A703" t="s">
        <v>10</v>
      </c>
      <c r="B703">
        <v>666</v>
      </c>
      <c r="C703">
        <v>105</v>
      </c>
      <c r="D703">
        <v>8</v>
      </c>
      <c r="E703" t="s">
        <v>7</v>
      </c>
      <c r="F703" s="1">
        <v>45190</v>
      </c>
      <c r="G703" t="s">
        <v>14</v>
      </c>
      <c r="H703" s="2">
        <v>20.91</v>
      </c>
      <c r="I703" s="2">
        <v>28.94</v>
      </c>
      <c r="J703" s="2">
        <v>25.62</v>
      </c>
      <c r="K703" s="2">
        <f t="shared" si="226"/>
        <v>302.08999999999997</v>
      </c>
      <c r="L703" s="2">
        <v>2.4500000000000002</v>
      </c>
      <c r="M703" s="2">
        <v>0.33</v>
      </c>
      <c r="N703" s="6">
        <f t="shared" si="248"/>
        <v>3.284879278030064</v>
      </c>
      <c r="O703" s="6">
        <f t="shared" si="249"/>
        <v>0.83441837446457101</v>
      </c>
      <c r="P703" s="6">
        <f t="shared" si="250"/>
        <v>97.062715156109647</v>
      </c>
      <c r="Q703" s="6">
        <f t="shared" si="230"/>
        <v>2.8384757350627128</v>
      </c>
      <c r="R703" s="10">
        <f t="shared" si="241"/>
        <v>2.838475735062713E-3</v>
      </c>
      <c r="S703" s="3">
        <f t="shared" si="251"/>
        <v>5.1092563231128832E-2</v>
      </c>
      <c r="T703" s="4">
        <f t="shared" si="252"/>
        <v>5.1092563231128835E-5</v>
      </c>
      <c r="U703" s="3">
        <f t="shared" si="253"/>
        <v>0.18393322763206379</v>
      </c>
      <c r="V703" s="2">
        <v>1.18</v>
      </c>
      <c r="W703" s="2">
        <v>0.18</v>
      </c>
      <c r="X703" s="2">
        <f t="shared" si="254"/>
        <v>1800</v>
      </c>
      <c r="Y703" s="5">
        <v>-0.52</v>
      </c>
      <c r="Z703" s="5">
        <v>-1.94</v>
      </c>
      <c r="AA703" s="2">
        <f t="shared" si="255"/>
        <v>1.42</v>
      </c>
      <c r="AB703" s="3">
        <f t="shared" si="256"/>
        <v>0.12953044199441113</v>
      </c>
    </row>
    <row r="704" spans="1:28" x14ac:dyDescent="0.2">
      <c r="A704" t="s">
        <v>10</v>
      </c>
      <c r="B704">
        <v>666</v>
      </c>
      <c r="C704">
        <v>105</v>
      </c>
      <c r="D704">
        <v>9</v>
      </c>
      <c r="E704" t="s">
        <v>7</v>
      </c>
      <c r="F704" s="1">
        <v>45191</v>
      </c>
      <c r="G704" t="s">
        <v>14</v>
      </c>
      <c r="H704" s="2">
        <v>34.71</v>
      </c>
      <c r="I704" s="2">
        <v>26.58</v>
      </c>
      <c r="J704" s="2">
        <v>24.81</v>
      </c>
      <c r="K704" s="2">
        <f t="shared" si="226"/>
        <v>299.72999999999996</v>
      </c>
      <c r="L704" s="2">
        <v>1.93</v>
      </c>
      <c r="M704" s="2">
        <v>0.25</v>
      </c>
      <c r="N704" s="6">
        <f t="shared" si="248"/>
        <v>3.1302607438276362</v>
      </c>
      <c r="O704" s="6">
        <f t="shared" si="249"/>
        <v>1.2067750544946954</v>
      </c>
      <c r="P704" s="6">
        <f t="shared" si="250"/>
        <v>97.029876507725817</v>
      </c>
      <c r="Q704" s="6">
        <f t="shared" si="230"/>
        <v>3.0925030182123021</v>
      </c>
      <c r="R704" s="10">
        <f t="shared" si="241"/>
        <v>3.0925030182123022E-3</v>
      </c>
      <c r="S704" s="3">
        <f t="shared" si="251"/>
        <v>5.5665054327821442E-2</v>
      </c>
      <c r="T704" s="4">
        <f t="shared" si="252"/>
        <v>5.566505432782144E-5</v>
      </c>
      <c r="U704" s="3">
        <f t="shared" si="253"/>
        <v>0.2003941955801572</v>
      </c>
      <c r="V704" s="2">
        <v>4.63</v>
      </c>
      <c r="W704" s="2">
        <v>0.75</v>
      </c>
      <c r="X704" s="2">
        <f t="shared" si="254"/>
        <v>7500</v>
      </c>
      <c r="Y704" s="5">
        <v>-0.21</v>
      </c>
      <c r="Z704" s="5">
        <v>-1.89</v>
      </c>
      <c r="AA704" s="2">
        <f t="shared" si="255"/>
        <v>1.68</v>
      </c>
      <c r="AB704" s="3">
        <f t="shared" si="256"/>
        <v>0.1192822592739031</v>
      </c>
    </row>
    <row r="705" spans="1:28" x14ac:dyDescent="0.2">
      <c r="A705" t="s">
        <v>10</v>
      </c>
      <c r="B705">
        <v>666</v>
      </c>
      <c r="C705">
        <v>118</v>
      </c>
      <c r="D705">
        <v>10</v>
      </c>
      <c r="E705" t="s">
        <v>7</v>
      </c>
      <c r="F705" s="1">
        <v>45191</v>
      </c>
      <c r="G705" t="s">
        <v>14</v>
      </c>
      <c r="H705" s="2">
        <v>21.96</v>
      </c>
      <c r="I705" s="2">
        <v>32.299999999999997</v>
      </c>
      <c r="J705" s="2">
        <v>28.86</v>
      </c>
      <c r="K705" s="2">
        <f t="shared" si="226"/>
        <v>305.45</v>
      </c>
      <c r="L705" s="2">
        <v>2.92</v>
      </c>
      <c r="M705" s="2">
        <v>0.16</v>
      </c>
      <c r="N705" s="6">
        <f t="shared" si="248"/>
        <v>3.97207904853237</v>
      </c>
      <c r="O705" s="6">
        <f t="shared" si="249"/>
        <v>1.061940177204634</v>
      </c>
      <c r="P705" s="6">
        <f t="shared" si="250"/>
        <v>97.108611571468927</v>
      </c>
      <c r="Q705" s="6">
        <f t="shared" si="230"/>
        <v>1.7334471684963966</v>
      </c>
      <c r="R705" s="10">
        <f t="shared" si="241"/>
        <v>1.7334471684963967E-3</v>
      </c>
      <c r="S705" s="3">
        <f t="shared" si="251"/>
        <v>3.120204903293514E-2</v>
      </c>
      <c r="T705" s="4">
        <f t="shared" si="252"/>
        <v>3.1202049032935139E-5</v>
      </c>
      <c r="U705" s="3">
        <f t="shared" si="253"/>
        <v>0.1123273765185665</v>
      </c>
      <c r="V705" s="2">
        <v>10.06</v>
      </c>
      <c r="W705" s="2">
        <v>1.55</v>
      </c>
      <c r="X705" s="2">
        <f t="shared" si="254"/>
        <v>15500</v>
      </c>
      <c r="Y705" s="5">
        <v>-0.67</v>
      </c>
      <c r="Z705" s="5">
        <v>-1.98</v>
      </c>
      <c r="AA705" s="2">
        <f t="shared" si="255"/>
        <v>1.31</v>
      </c>
      <c r="AB705" s="3">
        <f t="shared" si="256"/>
        <v>8.5746088945470603E-2</v>
      </c>
    </row>
    <row r="706" spans="1:28" x14ac:dyDescent="0.2">
      <c r="A706" t="s">
        <v>10</v>
      </c>
      <c r="B706">
        <v>666</v>
      </c>
      <c r="C706">
        <v>118</v>
      </c>
      <c r="D706">
        <v>11</v>
      </c>
      <c r="E706" t="s">
        <v>7</v>
      </c>
      <c r="F706" s="1">
        <v>45191</v>
      </c>
      <c r="G706" t="s">
        <v>14</v>
      </c>
      <c r="H706" s="2">
        <v>32.659999999999997</v>
      </c>
      <c r="I706" s="2">
        <v>28.06</v>
      </c>
      <c r="J706" s="2">
        <v>26.09</v>
      </c>
      <c r="K706" s="2">
        <f t="shared" si="226"/>
        <v>301.20999999999998</v>
      </c>
      <c r="L706" s="2">
        <v>2.14</v>
      </c>
      <c r="M706" s="2">
        <v>0.17</v>
      </c>
      <c r="N706" s="6">
        <f t="shared" si="248"/>
        <v>3.3776209679927449</v>
      </c>
      <c r="O706" s="6">
        <f t="shared" si="249"/>
        <v>1.2383654273965912</v>
      </c>
      <c r="P706" s="6">
        <f t="shared" si="250"/>
        <v>97.050529105346016</v>
      </c>
      <c r="Q706" s="6">
        <f t="shared" si="230"/>
        <v>2.1678971407810388</v>
      </c>
      <c r="R706" s="10">
        <f t="shared" si="241"/>
        <v>2.167897140781039E-3</v>
      </c>
      <c r="S706" s="3">
        <f t="shared" si="251"/>
        <v>3.90221485340587E-2</v>
      </c>
      <c r="T706" s="4">
        <f t="shared" si="252"/>
        <v>3.9022148534058696E-5</v>
      </c>
      <c r="U706" s="3">
        <f t="shared" si="253"/>
        <v>0.1404797347226113</v>
      </c>
      <c r="V706" s="2">
        <v>2.44</v>
      </c>
      <c r="W706" s="2">
        <v>0.45</v>
      </c>
      <c r="X706" s="2">
        <f t="shared" si="254"/>
        <v>4500</v>
      </c>
      <c r="Y706" s="5">
        <v>-0.62</v>
      </c>
      <c r="Z706" s="5">
        <v>-2.21</v>
      </c>
      <c r="AA706" s="2">
        <f t="shared" si="255"/>
        <v>1.5899999999999999</v>
      </c>
      <c r="AB706" s="3">
        <f t="shared" si="256"/>
        <v>8.8352034416736669E-2</v>
      </c>
    </row>
    <row r="707" spans="1:28" x14ac:dyDescent="0.2">
      <c r="A707" t="s">
        <v>10</v>
      </c>
      <c r="B707">
        <v>666</v>
      </c>
      <c r="C707">
        <v>118</v>
      </c>
      <c r="D707">
        <v>12</v>
      </c>
      <c r="E707" t="s">
        <v>7</v>
      </c>
      <c r="F707" s="1">
        <v>45190</v>
      </c>
      <c r="G707" t="s">
        <v>14</v>
      </c>
      <c r="H707" s="2">
        <v>19.39</v>
      </c>
      <c r="I707" s="2">
        <v>30.45</v>
      </c>
      <c r="J707" s="2">
        <v>28.8</v>
      </c>
      <c r="K707" s="2">
        <f t="shared" si="226"/>
        <v>303.59999999999997</v>
      </c>
      <c r="L707" s="2">
        <v>3.13</v>
      </c>
      <c r="M707" s="2">
        <v>0.14000000000000001</v>
      </c>
      <c r="N707" s="6">
        <f t="shared" si="248"/>
        <v>3.9582948584469211</v>
      </c>
      <c r="O707" s="6">
        <f t="shared" si="249"/>
        <v>0.84403528504753333</v>
      </c>
      <c r="P707" s="6">
        <f t="shared" si="250"/>
        <v>97.083464222304102</v>
      </c>
      <c r="Q707" s="6">
        <f t="shared" si="230"/>
        <v>1.1944493442986128</v>
      </c>
      <c r="R707" s="10">
        <f t="shared" si="241"/>
        <v>1.1944493442986128E-3</v>
      </c>
      <c r="S707" s="3">
        <f t="shared" si="251"/>
        <v>2.150008819737503E-2</v>
      </c>
      <c r="T707" s="4">
        <f t="shared" si="252"/>
        <v>2.1500088197375029E-5</v>
      </c>
      <c r="U707" s="3">
        <f t="shared" si="253"/>
        <v>7.7400317510550112E-2</v>
      </c>
      <c r="V707" s="2">
        <v>1.93</v>
      </c>
      <c r="W707" s="2">
        <v>0.33</v>
      </c>
      <c r="X707" s="2">
        <f t="shared" si="254"/>
        <v>3300</v>
      </c>
      <c r="Y707" s="5">
        <v>-0.21</v>
      </c>
      <c r="Z707" s="5">
        <v>-2.1800000000000002</v>
      </c>
      <c r="AA707" s="2">
        <f t="shared" si="255"/>
        <v>1.9700000000000002</v>
      </c>
      <c r="AB707" s="3">
        <f t="shared" si="256"/>
        <v>3.9289501274390917E-2</v>
      </c>
    </row>
    <row r="708" spans="1:28" x14ac:dyDescent="0.2">
      <c r="A708" t="s">
        <v>10</v>
      </c>
      <c r="B708">
        <v>666</v>
      </c>
      <c r="C708">
        <v>122</v>
      </c>
      <c r="D708">
        <v>16</v>
      </c>
      <c r="E708" t="s">
        <v>7</v>
      </c>
      <c r="F708" s="1">
        <v>45191</v>
      </c>
      <c r="G708" t="s">
        <v>14</v>
      </c>
      <c r="H708" s="2">
        <v>30.29</v>
      </c>
      <c r="I708" s="2">
        <v>29.35</v>
      </c>
      <c r="J708" s="2">
        <v>28.92</v>
      </c>
      <c r="K708" s="2">
        <f t="shared" ref="K708:K771" si="257">273.15+I708</f>
        <v>302.5</v>
      </c>
      <c r="L708" s="2">
        <v>2.76</v>
      </c>
      <c r="M708" s="2">
        <v>0.16</v>
      </c>
      <c r="N708" s="6">
        <f t="shared" si="248"/>
        <v>3.9859050792310979</v>
      </c>
      <c r="O708" s="6">
        <f t="shared" si="249"/>
        <v>1.2377177476926962</v>
      </c>
      <c r="P708" s="6">
        <f t="shared" si="250"/>
        <v>97.068369055642378</v>
      </c>
      <c r="Q708" s="6">
        <f t="shared" ref="Q708:Q771" si="258">(M708*(N708-L708)/P708)*1000</f>
        <v>2.020687218557673</v>
      </c>
      <c r="R708" s="10">
        <f t="shared" ref="R708:R771" si="259">Q708/1000</f>
        <v>2.020687218557673E-3</v>
      </c>
      <c r="S708" s="3">
        <f t="shared" si="251"/>
        <v>3.6372369934038112E-2</v>
      </c>
      <c r="T708" s="4">
        <f t="shared" si="252"/>
        <v>3.6372369934038111E-5</v>
      </c>
      <c r="U708" s="3">
        <f t="shared" si="253"/>
        <v>0.1309405317625372</v>
      </c>
      <c r="V708" s="2">
        <v>8.4700000000000006</v>
      </c>
      <c r="W708" s="2">
        <v>1.37</v>
      </c>
      <c r="X708" s="2">
        <f t="shared" si="254"/>
        <v>13700.000000000002</v>
      </c>
      <c r="Y708" s="5">
        <v>-0.39</v>
      </c>
      <c r="Z708" s="5">
        <v>-1.67</v>
      </c>
      <c r="AA708" s="2">
        <f t="shared" si="255"/>
        <v>1.2799999999999998</v>
      </c>
      <c r="AB708" s="3">
        <f t="shared" si="256"/>
        <v>0.1022972904394822</v>
      </c>
    </row>
    <row r="709" spans="1:28" x14ac:dyDescent="0.2">
      <c r="A709" t="s">
        <v>10</v>
      </c>
      <c r="B709">
        <v>666</v>
      </c>
      <c r="C709">
        <v>122</v>
      </c>
      <c r="D709">
        <v>17</v>
      </c>
      <c r="E709" t="s">
        <v>7</v>
      </c>
      <c r="F709" s="1">
        <v>45191</v>
      </c>
      <c r="G709" t="s">
        <v>14</v>
      </c>
      <c r="H709" s="2">
        <v>26.49</v>
      </c>
      <c r="I709" s="2">
        <v>31.15</v>
      </c>
      <c r="J709" s="2">
        <v>27.7</v>
      </c>
      <c r="K709" s="2">
        <f t="shared" si="257"/>
        <v>304.29999999999995</v>
      </c>
      <c r="L709" s="2">
        <v>2.52</v>
      </c>
      <c r="M709" s="2">
        <v>0.2</v>
      </c>
      <c r="N709" s="6">
        <f t="shared" si="248"/>
        <v>3.7128727116207974</v>
      </c>
      <c r="O709" s="6">
        <f t="shared" si="249"/>
        <v>1.2001181163681114</v>
      </c>
      <c r="P709" s="6">
        <f t="shared" si="250"/>
        <v>97.093014627988353</v>
      </c>
      <c r="Q709" s="6">
        <f t="shared" si="258"/>
        <v>2.457175145279578</v>
      </c>
      <c r="R709" s="10">
        <f t="shared" si="259"/>
        <v>2.4571751452795781E-3</v>
      </c>
      <c r="S709" s="3">
        <f t="shared" si="251"/>
        <v>4.4229152615032408E-2</v>
      </c>
      <c r="T709" s="4">
        <f t="shared" si="252"/>
        <v>4.4229152615032407E-5</v>
      </c>
      <c r="U709" s="3">
        <f t="shared" si="253"/>
        <v>0.15922494941411666</v>
      </c>
      <c r="V709" s="2">
        <v>8.18</v>
      </c>
      <c r="W709" s="2">
        <v>1.23</v>
      </c>
      <c r="X709" s="2">
        <f t="shared" si="254"/>
        <v>12300</v>
      </c>
      <c r="Y709" s="5">
        <v>-0.44</v>
      </c>
      <c r="Z709" s="5">
        <v>-1.84</v>
      </c>
      <c r="AA709" s="2">
        <f t="shared" si="255"/>
        <v>1.4000000000000001</v>
      </c>
      <c r="AB709" s="3">
        <f t="shared" si="256"/>
        <v>0.11373210672436904</v>
      </c>
    </row>
    <row r="710" spans="1:28" x14ac:dyDescent="0.2">
      <c r="A710" t="s">
        <v>10</v>
      </c>
      <c r="B710">
        <v>666</v>
      </c>
      <c r="C710">
        <v>122</v>
      </c>
      <c r="D710">
        <v>18</v>
      </c>
      <c r="E710" t="s">
        <v>7</v>
      </c>
      <c r="F710" s="1">
        <v>45190</v>
      </c>
      <c r="G710" t="s">
        <v>14</v>
      </c>
      <c r="H710" s="2">
        <v>16.579999999999998</v>
      </c>
      <c r="I710" s="2">
        <v>31.5</v>
      </c>
      <c r="J710" s="2">
        <v>29.32</v>
      </c>
      <c r="K710" s="2">
        <f t="shared" si="257"/>
        <v>304.64999999999998</v>
      </c>
      <c r="L710" s="2">
        <v>3.32</v>
      </c>
      <c r="M710" s="2">
        <v>0.2</v>
      </c>
      <c r="N710" s="6">
        <f t="shared" si="248"/>
        <v>4.0791557955781395</v>
      </c>
      <c r="O710" s="6">
        <f t="shared" si="249"/>
        <v>0.76625395893264026</v>
      </c>
      <c r="P710" s="6">
        <f t="shared" si="250"/>
        <v>97.097773723411606</v>
      </c>
      <c r="Q710" s="6">
        <f t="shared" si="258"/>
        <v>1.5636935152409099</v>
      </c>
      <c r="R710" s="10">
        <f t="shared" si="259"/>
        <v>1.5636935152409099E-3</v>
      </c>
      <c r="S710" s="3">
        <f t="shared" si="251"/>
        <v>2.814648327433638E-2</v>
      </c>
      <c r="T710" s="4">
        <f t="shared" si="252"/>
        <v>2.814648327433638E-5</v>
      </c>
      <c r="U710" s="3">
        <f t="shared" si="253"/>
        <v>0.10132733978761096</v>
      </c>
      <c r="V710" s="2">
        <v>7.71</v>
      </c>
      <c r="W710" s="2">
        <v>1.2</v>
      </c>
      <c r="X710" s="2">
        <f t="shared" si="254"/>
        <v>12000</v>
      </c>
      <c r="Y710" s="5">
        <v>-0.52</v>
      </c>
      <c r="Z710" s="5">
        <v>-2.12</v>
      </c>
      <c r="AA710" s="2">
        <f t="shared" si="255"/>
        <v>1.6</v>
      </c>
      <c r="AB710" s="3">
        <f t="shared" si="256"/>
        <v>6.3329587367256843E-2</v>
      </c>
    </row>
    <row r="711" spans="1:28" x14ac:dyDescent="0.2">
      <c r="A711" t="s">
        <v>10</v>
      </c>
      <c r="B711">
        <v>666</v>
      </c>
      <c r="C711">
        <v>123</v>
      </c>
      <c r="D711">
        <v>19</v>
      </c>
      <c r="E711" t="s">
        <v>7</v>
      </c>
      <c r="F711" s="1">
        <v>45190</v>
      </c>
      <c r="G711" t="s">
        <v>14</v>
      </c>
      <c r="H711" s="2">
        <v>23.69</v>
      </c>
      <c r="I711" s="2">
        <v>28.68</v>
      </c>
      <c r="J711" s="2">
        <v>26.4</v>
      </c>
      <c r="K711" s="2">
        <f t="shared" si="257"/>
        <v>301.83</v>
      </c>
      <c r="L711" s="2">
        <v>2.52</v>
      </c>
      <c r="M711" s="2">
        <v>0.31</v>
      </c>
      <c r="N711" s="6">
        <f t="shared" si="248"/>
        <v>3.4400352239683558</v>
      </c>
      <c r="O711" s="6">
        <f t="shared" si="249"/>
        <v>0.93121873774127017</v>
      </c>
      <c r="P711" s="6">
        <f t="shared" si="250"/>
        <v>97.059121968724824</v>
      </c>
      <c r="Q711" s="6">
        <f t="shared" si="258"/>
        <v>2.9385277101733238</v>
      </c>
      <c r="R711" s="10">
        <f t="shared" si="259"/>
        <v>2.9385277101733236E-3</v>
      </c>
      <c r="S711" s="3">
        <f t="shared" si="251"/>
        <v>5.2893498783119823E-2</v>
      </c>
      <c r="T711" s="4">
        <f t="shared" si="252"/>
        <v>5.2893498783119824E-5</v>
      </c>
      <c r="U711" s="3">
        <f t="shared" si="253"/>
        <v>0.19041659561923135</v>
      </c>
      <c r="V711" s="2">
        <v>8.61</v>
      </c>
      <c r="W711" s="2">
        <v>1.52</v>
      </c>
      <c r="X711" s="2">
        <f t="shared" si="254"/>
        <v>15200</v>
      </c>
      <c r="Y711" s="5">
        <v>-0.43</v>
      </c>
      <c r="Z711" s="5">
        <v>-1.79</v>
      </c>
      <c r="AA711" s="2">
        <f t="shared" si="255"/>
        <v>1.36</v>
      </c>
      <c r="AB711" s="3">
        <f t="shared" si="256"/>
        <v>0.14001220266119951</v>
      </c>
    </row>
    <row r="712" spans="1:28" x14ac:dyDescent="0.2">
      <c r="A712" t="s">
        <v>10</v>
      </c>
      <c r="B712">
        <v>666</v>
      </c>
      <c r="C712">
        <v>123</v>
      </c>
      <c r="D712">
        <v>20</v>
      </c>
      <c r="E712" t="s">
        <v>7</v>
      </c>
      <c r="F712" s="1">
        <v>45190</v>
      </c>
      <c r="G712" t="s">
        <v>14</v>
      </c>
      <c r="H712" s="2">
        <v>22.13</v>
      </c>
      <c r="I712" s="2">
        <v>28.63</v>
      </c>
      <c r="J712" s="2">
        <v>26.94</v>
      </c>
      <c r="K712" s="2">
        <f t="shared" si="257"/>
        <v>301.77999999999997</v>
      </c>
      <c r="L712" s="2">
        <v>2.69</v>
      </c>
      <c r="M712" s="2">
        <v>0.24</v>
      </c>
      <c r="N712" s="6">
        <f t="shared" si="248"/>
        <v>3.5511643604672045</v>
      </c>
      <c r="O712" s="6">
        <f t="shared" si="249"/>
        <v>0.86737781208839559</v>
      </c>
      <c r="P712" s="6">
        <f t="shared" si="250"/>
        <v>97.05843027659968</v>
      </c>
      <c r="Q712" s="6">
        <f t="shared" si="258"/>
        <v>2.1294332282433222</v>
      </c>
      <c r="R712" s="10">
        <f t="shared" si="259"/>
        <v>2.1294332282433223E-3</v>
      </c>
      <c r="S712" s="3">
        <f t="shared" si="251"/>
        <v>3.8329798108379803E-2</v>
      </c>
      <c r="T712" s="4">
        <f t="shared" si="252"/>
        <v>3.8329798108379805E-5</v>
      </c>
      <c r="U712" s="3">
        <f t="shared" si="253"/>
        <v>0.13798727319016729</v>
      </c>
      <c r="V712" s="2">
        <v>1.94</v>
      </c>
      <c r="W712" s="2">
        <v>0.35</v>
      </c>
      <c r="X712" s="2">
        <f t="shared" si="254"/>
        <v>3500</v>
      </c>
      <c r="Y712" s="5">
        <v>-0.36</v>
      </c>
      <c r="Z712" s="5">
        <v>-1.67</v>
      </c>
      <c r="AA712" s="2">
        <f t="shared" si="255"/>
        <v>1.31</v>
      </c>
      <c r="AB712" s="3">
        <f t="shared" si="256"/>
        <v>0.10533379632837198</v>
      </c>
    </row>
    <row r="713" spans="1:28" x14ac:dyDescent="0.2">
      <c r="A713" t="s">
        <v>10</v>
      </c>
      <c r="B713">
        <v>666</v>
      </c>
      <c r="C713">
        <v>123</v>
      </c>
      <c r="D713">
        <v>22</v>
      </c>
      <c r="E713" t="s">
        <v>7</v>
      </c>
      <c r="F713" s="1">
        <v>45190</v>
      </c>
      <c r="G713" t="s">
        <v>14</v>
      </c>
      <c r="H713" s="2">
        <v>19.350000000000001</v>
      </c>
      <c r="I713" s="2">
        <v>31.81</v>
      </c>
      <c r="J713" s="2">
        <v>29.95</v>
      </c>
      <c r="K713" s="2">
        <f t="shared" si="257"/>
        <v>304.95999999999998</v>
      </c>
      <c r="L713" s="2">
        <v>3.33</v>
      </c>
      <c r="M713" s="2">
        <v>0.17</v>
      </c>
      <c r="N713" s="6">
        <f t="shared" si="248"/>
        <v>4.2298835881922647</v>
      </c>
      <c r="O713" s="6">
        <f t="shared" si="249"/>
        <v>0.9101410096127055</v>
      </c>
      <c r="P713" s="6">
        <f t="shared" si="250"/>
        <v>97.101979993790394</v>
      </c>
      <c r="Q713" s="6">
        <f t="shared" si="258"/>
        <v>1.5754592234109746</v>
      </c>
      <c r="R713" s="10">
        <f t="shared" si="259"/>
        <v>1.5754592234109746E-3</v>
      </c>
      <c r="S713" s="3">
        <f t="shared" si="251"/>
        <v>2.8358266021397543E-2</v>
      </c>
      <c r="T713" s="4">
        <f t="shared" si="252"/>
        <v>2.8358266021397543E-5</v>
      </c>
      <c r="U713" s="3">
        <f t="shared" si="253"/>
        <v>0.10208975767703116</v>
      </c>
      <c r="V713" s="2">
        <v>7.09</v>
      </c>
      <c r="W713" s="2">
        <v>0.5</v>
      </c>
      <c r="X713" s="2">
        <f t="shared" si="254"/>
        <v>5000</v>
      </c>
      <c r="Y713" s="5">
        <v>-0.52</v>
      </c>
      <c r="Z713" s="5">
        <v>-1.87</v>
      </c>
      <c r="AA713" s="2">
        <f t="shared" si="255"/>
        <v>1.35</v>
      </c>
      <c r="AB713" s="3">
        <f t="shared" si="256"/>
        <v>7.5622042723726773E-2</v>
      </c>
    </row>
    <row r="714" spans="1:28" x14ac:dyDescent="0.2">
      <c r="A714" t="s">
        <v>11</v>
      </c>
      <c r="B714">
        <v>1212</v>
      </c>
      <c r="C714">
        <v>3</v>
      </c>
      <c r="D714">
        <v>29</v>
      </c>
      <c r="E714" t="s">
        <v>7</v>
      </c>
      <c r="F714" s="1">
        <v>45190</v>
      </c>
      <c r="G714" t="s">
        <v>14</v>
      </c>
      <c r="H714" s="2">
        <v>17.920000000000002</v>
      </c>
      <c r="I714" s="2">
        <v>30.76</v>
      </c>
      <c r="J714" s="2">
        <v>28.41</v>
      </c>
      <c r="K714" s="2">
        <f t="shared" si="257"/>
        <v>303.90999999999997</v>
      </c>
      <c r="L714" s="2">
        <v>3.09</v>
      </c>
      <c r="M714" s="2">
        <v>0.14000000000000001</v>
      </c>
      <c r="N714" s="6">
        <f t="shared" si="248"/>
        <v>3.8697101372901153</v>
      </c>
      <c r="O714" s="6">
        <f t="shared" si="249"/>
        <v>0.79399816002235335</v>
      </c>
      <c r="P714" s="6">
        <f t="shared" si="250"/>
        <v>97.087698999315791</v>
      </c>
      <c r="Q714" s="6">
        <f t="shared" si="258"/>
        <v>1.1243383080011553</v>
      </c>
      <c r="R714" s="10">
        <f t="shared" si="259"/>
        <v>1.1243383080011553E-3</v>
      </c>
      <c r="S714" s="3">
        <f t="shared" si="251"/>
        <v>2.0238089544020794E-2</v>
      </c>
      <c r="T714" s="4">
        <f t="shared" si="252"/>
        <v>2.0238089544020793E-5</v>
      </c>
      <c r="U714" s="3">
        <f t="shared" si="253"/>
        <v>7.2857122358474857E-2</v>
      </c>
      <c r="V714" s="2">
        <v>0.9</v>
      </c>
      <c r="W714" s="2">
        <v>0.17</v>
      </c>
      <c r="X714" s="2">
        <f t="shared" si="254"/>
        <v>1700.0000000000002</v>
      </c>
      <c r="Y714" s="5">
        <v>-0.57999999999999996</v>
      </c>
      <c r="Z714" s="5">
        <v>-2.12</v>
      </c>
      <c r="AA714" s="2">
        <f t="shared" si="255"/>
        <v>1.54</v>
      </c>
      <c r="AB714" s="3">
        <f t="shared" si="256"/>
        <v>4.7309819713295363E-2</v>
      </c>
    </row>
    <row r="715" spans="1:28" x14ac:dyDescent="0.2">
      <c r="A715" t="s">
        <v>11</v>
      </c>
      <c r="B715">
        <v>1212</v>
      </c>
      <c r="C715">
        <v>3</v>
      </c>
      <c r="D715">
        <v>30</v>
      </c>
      <c r="E715" t="s">
        <v>7</v>
      </c>
      <c r="F715" s="1">
        <v>45190</v>
      </c>
      <c r="G715" t="s">
        <v>14</v>
      </c>
      <c r="H715" s="2">
        <v>16.68</v>
      </c>
      <c r="I715" s="2">
        <v>32.74</v>
      </c>
      <c r="J715" s="2">
        <v>31.26</v>
      </c>
      <c r="K715" s="2">
        <f t="shared" si="257"/>
        <v>305.89</v>
      </c>
      <c r="L715" s="2">
        <v>3.74</v>
      </c>
      <c r="M715" s="2">
        <v>0.14000000000000001</v>
      </c>
      <c r="N715" s="6">
        <f t="shared" si="248"/>
        <v>4.5589181739236322</v>
      </c>
      <c r="O715" s="6">
        <f t="shared" si="249"/>
        <v>0.82687232885420758</v>
      </c>
      <c r="P715" s="6">
        <f t="shared" si="250"/>
        <v>97.114548737067835</v>
      </c>
      <c r="Q715" s="6">
        <f t="shared" si="258"/>
        <v>1.1805496276331671</v>
      </c>
      <c r="R715" s="10">
        <f t="shared" si="259"/>
        <v>1.1805496276331671E-3</v>
      </c>
      <c r="S715" s="3">
        <f t="shared" si="251"/>
        <v>2.1249893297397009E-2</v>
      </c>
      <c r="T715" s="4">
        <f t="shared" si="252"/>
        <v>2.1249893297397007E-5</v>
      </c>
      <c r="U715" s="3">
        <f t="shared" si="253"/>
        <v>7.6499615870629228E-2</v>
      </c>
      <c r="V715" s="2">
        <v>7.13</v>
      </c>
      <c r="W715" s="2">
        <v>1.39</v>
      </c>
      <c r="X715" s="2">
        <f t="shared" si="254"/>
        <v>13899.999999999998</v>
      </c>
      <c r="Y715" s="5">
        <v>-0.35</v>
      </c>
      <c r="Z715" s="5">
        <v>-1.78</v>
      </c>
      <c r="AA715" s="2">
        <f t="shared" si="255"/>
        <v>1.4300000000000002</v>
      </c>
      <c r="AB715" s="3">
        <f t="shared" si="256"/>
        <v>5.3496234874565889E-2</v>
      </c>
    </row>
    <row r="716" spans="1:28" x14ac:dyDescent="0.2">
      <c r="A716" t="s">
        <v>11</v>
      </c>
      <c r="B716">
        <v>1212</v>
      </c>
      <c r="C716">
        <v>3</v>
      </c>
      <c r="D716">
        <v>31</v>
      </c>
      <c r="E716" t="s">
        <v>7</v>
      </c>
      <c r="F716" s="1">
        <v>45191</v>
      </c>
      <c r="G716" t="s">
        <v>14</v>
      </c>
      <c r="H716" s="2">
        <v>33.19</v>
      </c>
      <c r="I716" s="2">
        <v>27.29</v>
      </c>
      <c r="J716" s="2">
        <v>24.99</v>
      </c>
      <c r="K716" s="2">
        <f t="shared" si="257"/>
        <v>300.44</v>
      </c>
      <c r="L716" s="2">
        <v>1.96</v>
      </c>
      <c r="M716" s="2">
        <v>0.21</v>
      </c>
      <c r="N716" s="6">
        <f t="shared" si="248"/>
        <v>3.1640593817129479</v>
      </c>
      <c r="O716" s="6">
        <f t="shared" si="249"/>
        <v>1.2030893671498757</v>
      </c>
      <c r="P716" s="6">
        <f t="shared" si="250"/>
        <v>97.039809016605261</v>
      </c>
      <c r="Q716" s="6">
        <f t="shared" si="258"/>
        <v>2.6056571289876658</v>
      </c>
      <c r="R716" s="10">
        <f t="shared" si="259"/>
        <v>2.605657128987666E-3</v>
      </c>
      <c r="S716" s="3">
        <f t="shared" si="251"/>
        <v>4.6901828321777986E-2</v>
      </c>
      <c r="T716" s="4">
        <f t="shared" si="252"/>
        <v>4.6901828321777986E-5</v>
      </c>
      <c r="U716" s="3">
        <f t="shared" si="253"/>
        <v>0.16884658195840074</v>
      </c>
      <c r="V716" s="2">
        <v>4.1399999999999997</v>
      </c>
      <c r="W716" s="2">
        <v>0.74</v>
      </c>
      <c r="X716" s="2">
        <f t="shared" si="254"/>
        <v>7400</v>
      </c>
      <c r="Y716" s="5">
        <v>-0.32</v>
      </c>
      <c r="Z716" s="5">
        <v>-1.82</v>
      </c>
      <c r="AA716" s="2">
        <f t="shared" si="255"/>
        <v>1.5</v>
      </c>
      <c r="AB716" s="3">
        <f t="shared" si="256"/>
        <v>0.11256438797226716</v>
      </c>
    </row>
    <row r="717" spans="1:28" x14ac:dyDescent="0.2">
      <c r="A717" t="s">
        <v>11</v>
      </c>
      <c r="B717">
        <v>1212</v>
      </c>
      <c r="C717">
        <v>4</v>
      </c>
      <c r="D717">
        <v>32</v>
      </c>
      <c r="E717" t="s">
        <v>7</v>
      </c>
      <c r="F717" s="1">
        <v>45190</v>
      </c>
      <c r="G717" t="s">
        <v>14</v>
      </c>
      <c r="H717" s="2">
        <v>17.239999999999998</v>
      </c>
      <c r="I717" s="2">
        <v>30.83</v>
      </c>
      <c r="J717" s="2">
        <v>29.8</v>
      </c>
      <c r="K717" s="2">
        <f t="shared" si="257"/>
        <v>303.97999999999996</v>
      </c>
      <c r="L717" s="2">
        <v>3.43</v>
      </c>
      <c r="M717" s="2">
        <v>0.05</v>
      </c>
      <c r="N717" s="6">
        <f t="shared" si="248"/>
        <v>4.1935626194062712</v>
      </c>
      <c r="O717" s="6">
        <f t="shared" si="249"/>
        <v>0.76692825310397805</v>
      </c>
      <c r="P717" s="6">
        <f t="shared" si="250"/>
        <v>97.088654069434327</v>
      </c>
      <c r="Q717" s="6">
        <f t="shared" si="258"/>
        <v>0.39322958317055179</v>
      </c>
      <c r="R717" s="10">
        <f t="shared" si="259"/>
        <v>3.9322958317055176E-4</v>
      </c>
      <c r="S717" s="3">
        <f t="shared" si="251"/>
        <v>7.0781324970699321E-3</v>
      </c>
      <c r="T717" s="4">
        <f t="shared" si="252"/>
        <v>7.0781324970699324E-6</v>
      </c>
      <c r="U717" s="3">
        <f t="shared" si="253"/>
        <v>2.5481276989451757E-2</v>
      </c>
      <c r="V717" s="2">
        <v>7.33</v>
      </c>
      <c r="W717" s="2">
        <v>1.02</v>
      </c>
      <c r="X717" s="2">
        <f t="shared" si="254"/>
        <v>10200</v>
      </c>
      <c r="Y717" s="5">
        <v>-0.64</v>
      </c>
      <c r="Z717" s="5">
        <v>-1.56</v>
      </c>
      <c r="AA717" s="2">
        <f t="shared" si="255"/>
        <v>0.92</v>
      </c>
      <c r="AB717" s="3">
        <f t="shared" si="256"/>
        <v>2.7697040205925821E-2</v>
      </c>
    </row>
    <row r="718" spans="1:28" x14ac:dyDescent="0.2">
      <c r="A718" t="s">
        <v>11</v>
      </c>
      <c r="B718">
        <v>1212</v>
      </c>
      <c r="C718">
        <v>4</v>
      </c>
      <c r="D718">
        <v>33</v>
      </c>
      <c r="E718" t="s">
        <v>7</v>
      </c>
      <c r="F718" s="1">
        <v>45191</v>
      </c>
      <c r="G718" t="s">
        <v>14</v>
      </c>
      <c r="H718" s="2">
        <v>28.13</v>
      </c>
      <c r="I718" s="2">
        <v>30.81</v>
      </c>
      <c r="J718" s="2">
        <v>29.98</v>
      </c>
      <c r="K718" s="2">
        <f t="shared" si="257"/>
        <v>303.95999999999998</v>
      </c>
      <c r="L718" s="2">
        <v>2.99</v>
      </c>
      <c r="M718" s="2">
        <v>0.14000000000000001</v>
      </c>
      <c r="N718" s="6">
        <f t="shared" si="248"/>
        <v>4.2371805897342583</v>
      </c>
      <c r="O718" s="6">
        <f t="shared" si="249"/>
        <v>1.2499461505335199</v>
      </c>
      <c r="P718" s="6">
        <f t="shared" si="250"/>
        <v>97.088381236186038</v>
      </c>
      <c r="Q718" s="6">
        <f t="shared" si="258"/>
        <v>1.7984158386371221</v>
      </c>
      <c r="R718" s="10">
        <f t="shared" si="259"/>
        <v>1.798415838637122E-3</v>
      </c>
      <c r="S718" s="3">
        <f t="shared" si="251"/>
        <v>3.2371485095468194E-2</v>
      </c>
      <c r="T718" s="4">
        <f t="shared" si="252"/>
        <v>3.2371485095468195E-5</v>
      </c>
      <c r="U718" s="3">
        <f t="shared" si="253"/>
        <v>0.1165373463436855</v>
      </c>
      <c r="V718" s="2">
        <v>19.41</v>
      </c>
      <c r="W718" s="2">
        <v>3.48</v>
      </c>
      <c r="X718" s="2">
        <f t="shared" si="254"/>
        <v>34800</v>
      </c>
      <c r="Y718" s="5">
        <v>-0.28999999999999998</v>
      </c>
      <c r="Z718" s="5">
        <v>-2.23</v>
      </c>
      <c r="AA718" s="2">
        <f t="shared" si="255"/>
        <v>1.94</v>
      </c>
      <c r="AB718" s="3">
        <f t="shared" si="256"/>
        <v>6.0070797084373968E-2</v>
      </c>
    </row>
    <row r="719" spans="1:28" x14ac:dyDescent="0.2">
      <c r="A719" t="s">
        <v>11</v>
      </c>
      <c r="B719">
        <v>1212</v>
      </c>
      <c r="C719">
        <v>4</v>
      </c>
      <c r="D719">
        <v>34</v>
      </c>
      <c r="E719" t="s">
        <v>7</v>
      </c>
      <c r="F719" s="1">
        <v>45190</v>
      </c>
      <c r="G719" t="s">
        <v>14</v>
      </c>
      <c r="H719" s="2">
        <v>17.3</v>
      </c>
      <c r="I719" s="2">
        <v>32.58</v>
      </c>
      <c r="J719" s="2">
        <v>30.38</v>
      </c>
      <c r="K719" s="2">
        <f t="shared" si="257"/>
        <v>305.72999999999996</v>
      </c>
      <c r="L719" s="2">
        <v>3.49</v>
      </c>
      <c r="M719" s="2">
        <v>0.18</v>
      </c>
      <c r="N719" s="6">
        <f t="shared" si="248"/>
        <v>4.3355274847726486</v>
      </c>
      <c r="O719" s="6">
        <f t="shared" si="249"/>
        <v>0.8499129657278145</v>
      </c>
      <c r="P719" s="6">
        <f t="shared" si="250"/>
        <v>97.112391703049511</v>
      </c>
      <c r="Q719" s="6">
        <f t="shared" si="258"/>
        <v>1.5672041908354886</v>
      </c>
      <c r="R719" s="10">
        <f t="shared" si="259"/>
        <v>1.5672041908354885E-3</v>
      </c>
      <c r="S719" s="3">
        <f t="shared" si="251"/>
        <v>2.8209675435038793E-2</v>
      </c>
      <c r="T719" s="4">
        <f t="shared" si="252"/>
        <v>2.8209675435038792E-5</v>
      </c>
      <c r="U719" s="3">
        <f t="shared" si="253"/>
        <v>0.10155483156613965</v>
      </c>
      <c r="V719" s="2">
        <v>6.58</v>
      </c>
      <c r="W719" s="2">
        <v>1.1499999999999999</v>
      </c>
      <c r="X719" s="2">
        <f t="shared" si="254"/>
        <v>11500</v>
      </c>
      <c r="Y719" s="5">
        <v>-0.45</v>
      </c>
      <c r="Z719" s="5">
        <v>-2.08</v>
      </c>
      <c r="AA719" s="2">
        <f t="shared" si="255"/>
        <v>1.6300000000000001</v>
      </c>
      <c r="AB719" s="3">
        <f t="shared" si="256"/>
        <v>6.2303577647938431E-2</v>
      </c>
    </row>
    <row r="720" spans="1:28" x14ac:dyDescent="0.2">
      <c r="A720" t="s">
        <v>11</v>
      </c>
      <c r="B720">
        <v>1212</v>
      </c>
      <c r="C720">
        <v>7</v>
      </c>
      <c r="D720">
        <v>36</v>
      </c>
      <c r="E720" t="s">
        <v>7</v>
      </c>
      <c r="F720" s="1">
        <v>45190</v>
      </c>
      <c r="G720" t="s">
        <v>14</v>
      </c>
      <c r="H720" s="2">
        <v>17.46</v>
      </c>
      <c r="I720" s="2">
        <v>32.89</v>
      </c>
      <c r="J720" s="2">
        <v>32.22</v>
      </c>
      <c r="K720" s="2">
        <f t="shared" si="257"/>
        <v>306.03999999999996</v>
      </c>
      <c r="L720" s="2">
        <v>3.95</v>
      </c>
      <c r="M720" s="2">
        <v>0.12</v>
      </c>
      <c r="N720" s="6">
        <f t="shared" si="248"/>
        <v>4.8139874285487076</v>
      </c>
      <c r="O720" s="6">
        <f t="shared" si="249"/>
        <v>0.87287474861975045</v>
      </c>
      <c r="P720" s="6">
        <f t="shared" si="250"/>
        <v>97.116568951522069</v>
      </c>
      <c r="Q720" s="6">
        <f t="shared" si="258"/>
        <v>1.0675674866314351</v>
      </c>
      <c r="R720" s="10">
        <f t="shared" si="259"/>
        <v>1.0675674866314352E-3</v>
      </c>
      <c r="S720" s="3">
        <f t="shared" si="251"/>
        <v>1.9216214759365833E-2</v>
      </c>
      <c r="T720" s="4">
        <f t="shared" si="252"/>
        <v>1.9216214759365832E-5</v>
      </c>
      <c r="U720" s="3">
        <f t="shared" si="253"/>
        <v>6.9178373133716997E-2</v>
      </c>
      <c r="V720" s="2">
        <v>8.77</v>
      </c>
      <c r="W720" s="2">
        <v>0.91</v>
      </c>
      <c r="X720" s="2">
        <f t="shared" si="254"/>
        <v>9100</v>
      </c>
      <c r="Y720" s="5">
        <v>-0.24</v>
      </c>
      <c r="Z720" s="5">
        <v>-1.9</v>
      </c>
      <c r="AA720" s="2">
        <f t="shared" si="255"/>
        <v>1.66</v>
      </c>
      <c r="AB720" s="3">
        <f t="shared" si="256"/>
        <v>4.1673718755251207E-2</v>
      </c>
    </row>
    <row r="721" spans="1:28" x14ac:dyDescent="0.2">
      <c r="A721" t="s">
        <v>11</v>
      </c>
      <c r="B721">
        <v>1212</v>
      </c>
      <c r="C721">
        <v>7</v>
      </c>
      <c r="D721">
        <v>37</v>
      </c>
      <c r="E721" t="s">
        <v>7</v>
      </c>
      <c r="F721" s="1">
        <v>45190</v>
      </c>
      <c r="G721" t="s">
        <v>14</v>
      </c>
      <c r="H721" s="2">
        <v>17.88</v>
      </c>
      <c r="I721" s="2">
        <v>32.25</v>
      </c>
      <c r="J721" s="2">
        <v>29.56</v>
      </c>
      <c r="K721" s="2">
        <f t="shared" si="257"/>
        <v>305.39999999999998</v>
      </c>
      <c r="L721" s="2">
        <v>3.28</v>
      </c>
      <c r="M721" s="2">
        <v>0.18</v>
      </c>
      <c r="N721" s="6">
        <f t="shared" si="248"/>
        <v>4.1360143903830995</v>
      </c>
      <c r="O721" s="6">
        <f t="shared" si="249"/>
        <v>0.86220122917663378</v>
      </c>
      <c r="P721" s="6">
        <f t="shared" si="250"/>
        <v>97.107935834078901</v>
      </c>
      <c r="Q721" s="6">
        <f t="shared" si="258"/>
        <v>1.586714710239824</v>
      </c>
      <c r="R721" s="10">
        <f t="shared" si="259"/>
        <v>1.5867147102398241E-3</v>
      </c>
      <c r="S721" s="3">
        <f t="shared" si="251"/>
        <v>2.8560864784316835E-2</v>
      </c>
      <c r="T721" s="4">
        <f t="shared" si="252"/>
        <v>2.8560864784316837E-5</v>
      </c>
      <c r="U721" s="3">
        <f t="shared" si="253"/>
        <v>0.10281911322354061</v>
      </c>
      <c r="V721" s="2">
        <v>4.8499999999999996</v>
      </c>
      <c r="W721" s="2">
        <v>0.94</v>
      </c>
      <c r="X721" s="2">
        <f t="shared" si="254"/>
        <v>9400</v>
      </c>
      <c r="Y721" s="5">
        <v>-0.41</v>
      </c>
      <c r="Z721" s="5">
        <v>-2.15</v>
      </c>
      <c r="AA721" s="2">
        <f t="shared" si="255"/>
        <v>1.74</v>
      </c>
      <c r="AB721" s="3">
        <f t="shared" si="256"/>
        <v>5.9091444381345178E-2</v>
      </c>
    </row>
    <row r="722" spans="1:28" x14ac:dyDescent="0.2">
      <c r="A722" t="s">
        <v>11</v>
      </c>
      <c r="B722">
        <v>1212</v>
      </c>
      <c r="C722">
        <v>7</v>
      </c>
      <c r="D722">
        <v>83</v>
      </c>
      <c r="E722" t="s">
        <v>7</v>
      </c>
      <c r="F722" s="1">
        <v>45190</v>
      </c>
      <c r="G722" t="s">
        <v>14</v>
      </c>
      <c r="H722" s="2">
        <v>21.4</v>
      </c>
      <c r="I722" s="2">
        <v>30.07</v>
      </c>
      <c r="J722" s="2">
        <v>26.75</v>
      </c>
      <c r="K722" s="2">
        <f t="shared" si="257"/>
        <v>303.21999999999997</v>
      </c>
      <c r="L722" s="2">
        <v>2.6</v>
      </c>
      <c r="M722" s="2">
        <v>0.3</v>
      </c>
      <c r="N722" s="6">
        <f t="shared" si="248"/>
        <v>3.5117112216612822</v>
      </c>
      <c r="O722" s="6">
        <f t="shared" si="249"/>
        <v>0.91145541628439364</v>
      </c>
      <c r="P722" s="6">
        <f t="shared" si="250"/>
        <v>97.078261645646009</v>
      </c>
      <c r="Q722" s="6">
        <f t="shared" si="258"/>
        <v>2.8174522479271427</v>
      </c>
      <c r="R722" s="10">
        <f t="shared" si="259"/>
        <v>2.8174522479271426E-3</v>
      </c>
      <c r="S722" s="3">
        <f t="shared" si="251"/>
        <v>5.0714140462688566E-2</v>
      </c>
      <c r="T722" s="4">
        <f t="shared" si="252"/>
        <v>5.0714140462688568E-5</v>
      </c>
      <c r="U722" s="3">
        <f t="shared" si="253"/>
        <v>0.18257090566567885</v>
      </c>
      <c r="V722" s="2">
        <v>11.85</v>
      </c>
      <c r="W722" s="2">
        <v>1.4</v>
      </c>
      <c r="X722" s="2">
        <f t="shared" si="254"/>
        <v>14000</v>
      </c>
      <c r="Y722" s="5">
        <v>-0.43</v>
      </c>
      <c r="Z722" s="5">
        <v>-2.17</v>
      </c>
      <c r="AA722" s="2">
        <f t="shared" si="255"/>
        <v>1.74</v>
      </c>
      <c r="AB722" s="3">
        <f t="shared" si="256"/>
        <v>0.10492580785383843</v>
      </c>
    </row>
    <row r="723" spans="1:28" x14ac:dyDescent="0.2">
      <c r="A723" t="s">
        <v>11</v>
      </c>
      <c r="B723">
        <v>1212</v>
      </c>
      <c r="C723">
        <v>8</v>
      </c>
      <c r="D723">
        <v>38</v>
      </c>
      <c r="E723" t="s">
        <v>7</v>
      </c>
      <c r="F723" s="1">
        <v>45190</v>
      </c>
      <c r="G723" t="s">
        <v>14</v>
      </c>
      <c r="H723" s="2">
        <v>20.28</v>
      </c>
      <c r="I723" s="2">
        <v>29.14</v>
      </c>
      <c r="J723" s="2">
        <v>26.75</v>
      </c>
      <c r="K723" s="2">
        <f t="shared" si="257"/>
        <v>302.28999999999996</v>
      </c>
      <c r="L723" s="2">
        <v>2.7</v>
      </c>
      <c r="M723" s="2">
        <v>0.24</v>
      </c>
      <c r="N723" s="6">
        <f t="shared" si="248"/>
        <v>3.5117112216612822</v>
      </c>
      <c r="O723" s="6">
        <f t="shared" si="249"/>
        <v>0.8186955337231957</v>
      </c>
      <c r="P723" s="6">
        <f t="shared" si="250"/>
        <v>97.065475030713202</v>
      </c>
      <c r="Q723" s="6">
        <f t="shared" si="258"/>
        <v>2.0070029342262652</v>
      </c>
      <c r="R723" s="10">
        <f t="shared" si="259"/>
        <v>2.0070029342262653E-3</v>
      </c>
      <c r="S723" s="3">
        <f t="shared" si="251"/>
        <v>3.6126052816072778E-2</v>
      </c>
      <c r="T723" s="4">
        <f t="shared" si="252"/>
        <v>3.6126052816072777E-5</v>
      </c>
      <c r="U723" s="3">
        <f t="shared" si="253"/>
        <v>0.130053790137862</v>
      </c>
      <c r="V723" s="2">
        <v>26.5</v>
      </c>
      <c r="W723" s="2">
        <v>3.13</v>
      </c>
      <c r="X723" s="2">
        <f t="shared" si="254"/>
        <v>31300</v>
      </c>
      <c r="Y723" s="5">
        <v>-0.38</v>
      </c>
      <c r="Z723" s="5">
        <v>-1.73</v>
      </c>
      <c r="AA723" s="2">
        <f t="shared" si="255"/>
        <v>1.35</v>
      </c>
      <c r="AB723" s="3">
        <f t="shared" si="256"/>
        <v>9.633614084286074E-2</v>
      </c>
    </row>
    <row r="724" spans="1:28" x14ac:dyDescent="0.2">
      <c r="A724" t="s">
        <v>11</v>
      </c>
      <c r="B724">
        <v>1212</v>
      </c>
      <c r="C724">
        <v>8</v>
      </c>
      <c r="D724">
        <v>39</v>
      </c>
      <c r="E724" t="s">
        <v>7</v>
      </c>
      <c r="F724" s="1">
        <v>45191</v>
      </c>
      <c r="G724" t="s">
        <v>14</v>
      </c>
      <c r="H724" s="2">
        <v>21.95</v>
      </c>
      <c r="I724" s="2">
        <v>32.83</v>
      </c>
      <c r="J724" s="2">
        <v>31.71</v>
      </c>
      <c r="K724" s="2">
        <f t="shared" si="257"/>
        <v>305.97999999999996</v>
      </c>
      <c r="L724" s="2">
        <v>3.59</v>
      </c>
      <c r="M724" s="2">
        <v>0.14000000000000001</v>
      </c>
      <c r="N724" s="6">
        <f t="shared" si="248"/>
        <v>4.676977216373067</v>
      </c>
      <c r="O724" s="6">
        <f t="shared" si="249"/>
        <v>1.093645538936838</v>
      </c>
      <c r="P724" s="6">
        <f t="shared" si="250"/>
        <v>97.115761098385718</v>
      </c>
      <c r="Q724" s="6">
        <f t="shared" si="258"/>
        <v>1.5669630611045988</v>
      </c>
      <c r="R724" s="10">
        <f t="shared" si="259"/>
        <v>1.5669630611045988E-3</v>
      </c>
      <c r="S724" s="3">
        <f t="shared" si="251"/>
        <v>2.8205335099882777E-2</v>
      </c>
      <c r="T724" s="4">
        <f t="shared" si="252"/>
        <v>2.8205335099882777E-5</v>
      </c>
      <c r="U724" s="3">
        <f t="shared" si="253"/>
        <v>0.101539206359578</v>
      </c>
      <c r="V724" s="2">
        <v>11.76</v>
      </c>
      <c r="W724" s="2">
        <v>2.09</v>
      </c>
      <c r="X724" s="2">
        <f t="shared" si="254"/>
        <v>20900</v>
      </c>
      <c r="Y724" s="5">
        <v>-0.87</v>
      </c>
      <c r="Z724" s="5">
        <v>-1.87</v>
      </c>
      <c r="AA724" s="7">
        <f t="shared" si="255"/>
        <v>1</v>
      </c>
      <c r="AB724" s="3">
        <f t="shared" si="256"/>
        <v>0.101539206359578</v>
      </c>
    </row>
    <row r="725" spans="1:28" x14ac:dyDescent="0.2">
      <c r="A725" t="s">
        <v>11</v>
      </c>
      <c r="B725">
        <v>1212</v>
      </c>
      <c r="C725">
        <v>8</v>
      </c>
      <c r="D725">
        <v>40</v>
      </c>
      <c r="E725" t="s">
        <v>7</v>
      </c>
      <c r="F725" s="1">
        <v>45191</v>
      </c>
      <c r="G725" t="s">
        <v>14</v>
      </c>
      <c r="H725" s="2">
        <v>34.28</v>
      </c>
      <c r="I725" s="2">
        <v>26.98</v>
      </c>
      <c r="J725" s="2">
        <v>26.15</v>
      </c>
      <c r="K725" s="2">
        <f t="shared" si="257"/>
        <v>300.13</v>
      </c>
      <c r="L725" s="2">
        <v>2.17</v>
      </c>
      <c r="M725" s="2">
        <v>0.19</v>
      </c>
      <c r="N725" s="6">
        <f t="shared" si="248"/>
        <v>3.3896233670733857</v>
      </c>
      <c r="O725" s="6">
        <f t="shared" si="249"/>
        <v>1.2202032544293322</v>
      </c>
      <c r="P725" s="6">
        <f t="shared" si="250"/>
        <v>97.03547794216999</v>
      </c>
      <c r="Q725" s="6">
        <f t="shared" si="258"/>
        <v>2.3880795422272869</v>
      </c>
      <c r="R725" s="10">
        <f t="shared" si="259"/>
        <v>2.3880795422272869E-3</v>
      </c>
      <c r="S725" s="3">
        <f t="shared" si="251"/>
        <v>4.2985431760091161E-2</v>
      </c>
      <c r="T725" s="4">
        <f t="shared" si="252"/>
        <v>4.2985431760091163E-5</v>
      </c>
      <c r="U725" s="3">
        <f t="shared" si="253"/>
        <v>0.1547475543363282</v>
      </c>
      <c r="V725" s="2">
        <v>3.51</v>
      </c>
      <c r="W725" s="2">
        <v>0.74</v>
      </c>
      <c r="X725" s="2">
        <f t="shared" si="254"/>
        <v>7400</v>
      </c>
      <c r="Y725" s="5">
        <v>-0.25</v>
      </c>
      <c r="Z725" s="5">
        <v>-1.78</v>
      </c>
      <c r="AA725" s="2">
        <f t="shared" si="255"/>
        <v>1.53</v>
      </c>
      <c r="AB725" s="3">
        <f t="shared" si="256"/>
        <v>0.10114219237668509</v>
      </c>
    </row>
    <row r="726" spans="1:28" x14ac:dyDescent="0.2">
      <c r="A726" t="s">
        <v>11</v>
      </c>
      <c r="B726">
        <v>1212</v>
      </c>
      <c r="C726">
        <v>10</v>
      </c>
      <c r="D726">
        <v>21</v>
      </c>
      <c r="E726" t="s">
        <v>7</v>
      </c>
      <c r="F726" s="1">
        <v>45190</v>
      </c>
      <c r="G726" t="s">
        <v>14</v>
      </c>
      <c r="H726" s="2">
        <v>18.420000000000002</v>
      </c>
      <c r="I726" s="2">
        <v>32.1</v>
      </c>
      <c r="J726" s="2">
        <v>30.23</v>
      </c>
      <c r="K726" s="2">
        <f t="shared" si="257"/>
        <v>305.25</v>
      </c>
      <c r="L726" s="2">
        <v>3.43</v>
      </c>
      <c r="M726" s="2">
        <v>0.25</v>
      </c>
      <c r="N726" s="6">
        <f t="shared" si="248"/>
        <v>4.2984167992656275</v>
      </c>
      <c r="O726" s="6">
        <f t="shared" si="249"/>
        <v>0.88074112285288664</v>
      </c>
      <c r="P726" s="6">
        <f t="shared" si="250"/>
        <v>97.105907321923326</v>
      </c>
      <c r="Q726" s="6">
        <f t="shared" si="258"/>
        <v>2.2357465761240238</v>
      </c>
      <c r="R726" s="10">
        <f t="shared" si="259"/>
        <v>2.2357465761240237E-3</v>
      </c>
      <c r="S726" s="3">
        <f t="shared" si="251"/>
        <v>4.0243438370232427E-2</v>
      </c>
      <c r="T726" s="4">
        <f t="shared" si="252"/>
        <v>4.0243438370232428E-5</v>
      </c>
      <c r="U726" s="3">
        <f t="shared" si="253"/>
        <v>0.14487637813283674</v>
      </c>
      <c r="V726" s="2">
        <v>7.09</v>
      </c>
      <c r="W726" s="2">
        <v>1.0900000000000001</v>
      </c>
      <c r="X726" s="2">
        <f t="shared" si="254"/>
        <v>10900</v>
      </c>
      <c r="Y726" s="5">
        <v>-0.33</v>
      </c>
      <c r="Z726" s="5">
        <v>-2.2200000000000002</v>
      </c>
      <c r="AA726" s="2">
        <f t="shared" si="255"/>
        <v>1.8900000000000001</v>
      </c>
      <c r="AB726" s="3">
        <f t="shared" si="256"/>
        <v>7.6654168324252245E-2</v>
      </c>
    </row>
    <row r="727" spans="1:28" x14ac:dyDescent="0.2">
      <c r="A727" t="s">
        <v>11</v>
      </c>
      <c r="B727">
        <v>1212</v>
      </c>
      <c r="C727">
        <v>10</v>
      </c>
      <c r="D727">
        <v>41</v>
      </c>
      <c r="E727" t="s">
        <v>7</v>
      </c>
      <c r="F727" s="1">
        <v>45191</v>
      </c>
      <c r="G727" t="s">
        <v>14</v>
      </c>
      <c r="H727" s="2">
        <v>23.37</v>
      </c>
      <c r="I727" s="2">
        <v>31.49</v>
      </c>
      <c r="J727" s="2">
        <v>30.33</v>
      </c>
      <c r="K727" s="2">
        <f t="shared" si="257"/>
        <v>304.64</v>
      </c>
      <c r="L727" s="2">
        <v>3.26</v>
      </c>
      <c r="M727" s="2">
        <v>0.12</v>
      </c>
      <c r="N727" s="6">
        <f t="shared" si="248"/>
        <v>4.3231263585782278</v>
      </c>
      <c r="O727" s="6">
        <f t="shared" si="249"/>
        <v>1.0794441880242156</v>
      </c>
      <c r="P727" s="6">
        <f t="shared" si="250"/>
        <v>97.097637897779848</v>
      </c>
      <c r="Q727" s="6">
        <f t="shared" si="258"/>
        <v>1.3138853404826687</v>
      </c>
      <c r="R727" s="10">
        <f t="shared" si="259"/>
        <v>1.3138853404826686E-3</v>
      </c>
      <c r="S727" s="3">
        <f t="shared" si="251"/>
        <v>2.3649936128688036E-2</v>
      </c>
      <c r="T727" s="4">
        <f t="shared" si="252"/>
        <v>2.3649936128688036E-5</v>
      </c>
      <c r="U727" s="3">
        <f t="shared" si="253"/>
        <v>8.5139770063276929E-2</v>
      </c>
      <c r="V727" s="2">
        <v>19.809999999999999</v>
      </c>
      <c r="W727" s="2">
        <v>2.92</v>
      </c>
      <c r="X727" s="2">
        <f t="shared" si="254"/>
        <v>29200</v>
      </c>
      <c r="Y727" s="5">
        <v>-0.19</v>
      </c>
      <c r="Z727" s="5">
        <v>-2.68</v>
      </c>
      <c r="AA727" s="2">
        <f t="shared" si="255"/>
        <v>2.4900000000000002</v>
      </c>
      <c r="AB727" s="3">
        <f t="shared" si="256"/>
        <v>3.4192678740271855E-2</v>
      </c>
    </row>
    <row r="728" spans="1:28" x14ac:dyDescent="0.2">
      <c r="A728" t="s">
        <v>11</v>
      </c>
      <c r="B728">
        <v>1212</v>
      </c>
      <c r="C728">
        <v>10</v>
      </c>
      <c r="D728">
        <v>42</v>
      </c>
      <c r="E728" t="s">
        <v>7</v>
      </c>
      <c r="F728" s="1">
        <v>45191</v>
      </c>
      <c r="G728" t="s">
        <v>14</v>
      </c>
      <c r="H728" s="2">
        <v>28.83</v>
      </c>
      <c r="I728" s="2">
        <v>30.47</v>
      </c>
      <c r="J728" s="2">
        <v>28.42</v>
      </c>
      <c r="K728" s="2">
        <f t="shared" si="257"/>
        <v>303.62</v>
      </c>
      <c r="L728" s="2">
        <v>2.62</v>
      </c>
      <c r="M728" s="2">
        <v>0.27</v>
      </c>
      <c r="N728" s="6">
        <f t="shared" si="248"/>
        <v>3.871959753740994</v>
      </c>
      <c r="O728" s="6">
        <f t="shared" si="249"/>
        <v>1.2563905375090276</v>
      </c>
      <c r="P728" s="6">
        <f t="shared" si="250"/>
        <v>97.08373768910063</v>
      </c>
      <c r="Q728" s="6">
        <f t="shared" si="258"/>
        <v>3.4818306500782583</v>
      </c>
      <c r="R728" s="10">
        <f t="shared" si="259"/>
        <v>3.4818306500782581E-3</v>
      </c>
      <c r="S728" s="3">
        <f t="shared" si="251"/>
        <v>6.2672951701408644E-2</v>
      </c>
      <c r="T728" s="4">
        <f t="shared" si="252"/>
        <v>6.2672951701408638E-5</v>
      </c>
      <c r="U728" s="3">
        <f t="shared" si="253"/>
        <v>0.22562262612507109</v>
      </c>
      <c r="V728" s="2">
        <v>2.74</v>
      </c>
      <c r="W728" s="2">
        <v>0.32</v>
      </c>
      <c r="X728" s="2">
        <f t="shared" si="254"/>
        <v>3200</v>
      </c>
      <c r="Y728" s="5">
        <v>-0.46</v>
      </c>
      <c r="Z728" s="5">
        <v>-1.47</v>
      </c>
      <c r="AA728" s="2">
        <f t="shared" si="255"/>
        <v>1.01</v>
      </c>
      <c r="AB728" s="3">
        <f t="shared" si="256"/>
        <v>0.22338873873769413</v>
      </c>
    </row>
    <row r="729" spans="1:28" x14ac:dyDescent="0.2">
      <c r="A729" t="s">
        <v>6</v>
      </c>
      <c r="B729">
        <v>72</v>
      </c>
      <c r="C729">
        <v>156</v>
      </c>
      <c r="D729">
        <v>43</v>
      </c>
      <c r="E729" t="s">
        <v>12</v>
      </c>
      <c r="F729" s="1">
        <v>45189</v>
      </c>
      <c r="G729" t="s">
        <v>14</v>
      </c>
      <c r="H729" s="2">
        <v>13.33</v>
      </c>
      <c r="I729" s="2">
        <v>38.71</v>
      </c>
      <c r="J729" s="2">
        <v>34.69</v>
      </c>
      <c r="K729" s="2">
        <f t="shared" si="257"/>
        <v>311.85999999999996</v>
      </c>
      <c r="L729" s="2">
        <v>4.6100000000000003</v>
      </c>
      <c r="M729" s="2">
        <v>0.14000000000000001</v>
      </c>
      <c r="N729" s="6">
        <f t="shared" si="248"/>
        <v>5.5281509775849624</v>
      </c>
      <c r="O729" s="6">
        <f t="shared" si="249"/>
        <v>0.91815285672354519</v>
      </c>
      <c r="P729" s="6">
        <f t="shared" si="250"/>
        <v>97.193483986651458</v>
      </c>
      <c r="Q729" s="6">
        <f t="shared" si="258"/>
        <v>1.3225283382119373</v>
      </c>
      <c r="R729" s="10">
        <f t="shared" si="259"/>
        <v>1.3225283382119373E-3</v>
      </c>
      <c r="S729" s="3">
        <f t="shared" si="251"/>
        <v>2.3805510087814872E-2</v>
      </c>
      <c r="T729" s="4">
        <f t="shared" si="252"/>
        <v>2.3805510087814872E-5</v>
      </c>
      <c r="U729" s="3">
        <f t="shared" si="253"/>
        <v>8.5699836316133537E-2</v>
      </c>
      <c r="V729" s="2">
        <v>17.37</v>
      </c>
      <c r="W729" s="2">
        <v>2.1</v>
      </c>
      <c r="X729" s="2">
        <f t="shared" si="254"/>
        <v>21000</v>
      </c>
      <c r="Y729" s="5">
        <v>-0.52</v>
      </c>
      <c r="Z729" s="5">
        <v>-1.85</v>
      </c>
      <c r="AA729" s="2">
        <f t="shared" si="255"/>
        <v>1.33</v>
      </c>
      <c r="AB729" s="3">
        <f t="shared" si="256"/>
        <v>6.4435967154987617E-2</v>
      </c>
    </row>
    <row r="730" spans="1:28" x14ac:dyDescent="0.2">
      <c r="A730" t="s">
        <v>6</v>
      </c>
      <c r="B730">
        <v>72</v>
      </c>
      <c r="C730">
        <v>156</v>
      </c>
      <c r="D730">
        <v>44</v>
      </c>
      <c r="E730" t="s">
        <v>12</v>
      </c>
      <c r="F730" s="1">
        <v>45190</v>
      </c>
      <c r="G730" t="s">
        <v>14</v>
      </c>
      <c r="H730" s="2">
        <v>12.89</v>
      </c>
      <c r="I730" s="2">
        <v>37.840000000000003</v>
      </c>
      <c r="J730" s="2">
        <v>33.78</v>
      </c>
      <c r="K730" s="2">
        <f t="shared" si="257"/>
        <v>310.99</v>
      </c>
      <c r="L730" s="2">
        <v>4.42</v>
      </c>
      <c r="M730" s="2">
        <v>0.06</v>
      </c>
      <c r="N730" s="6">
        <f t="shared" si="248"/>
        <v>5.2549996259374332</v>
      </c>
      <c r="O730" s="6">
        <f t="shared" si="249"/>
        <v>0.84703683255523399</v>
      </c>
      <c r="P730" s="6">
        <f t="shared" si="250"/>
        <v>97.182165564465819</v>
      </c>
      <c r="Q730" s="6">
        <f t="shared" si="258"/>
        <v>0.5155264576092633</v>
      </c>
      <c r="R730" s="10">
        <f t="shared" si="259"/>
        <v>5.1552645760926329E-4</v>
      </c>
      <c r="S730" s="3">
        <f t="shared" si="251"/>
        <v>9.2794762369667397E-3</v>
      </c>
      <c r="T730" s="4">
        <f t="shared" si="252"/>
        <v>9.2794762369667395E-6</v>
      </c>
      <c r="U730" s="3">
        <f t="shared" si="253"/>
        <v>3.3406114453080261E-2</v>
      </c>
      <c r="V730" s="2">
        <v>12.19</v>
      </c>
      <c r="W730" s="2">
        <v>2.64</v>
      </c>
      <c r="X730" s="2">
        <f t="shared" si="254"/>
        <v>26400</v>
      </c>
      <c r="Y730" s="5">
        <v>-0.45</v>
      </c>
      <c r="Z730" s="5">
        <v>-1.76</v>
      </c>
      <c r="AA730" s="2">
        <f t="shared" si="255"/>
        <v>1.31</v>
      </c>
      <c r="AB730" s="3">
        <f t="shared" si="256"/>
        <v>2.5500850727542185E-2</v>
      </c>
    </row>
    <row r="731" spans="1:28" x14ac:dyDescent="0.2">
      <c r="A731" t="s">
        <v>6</v>
      </c>
      <c r="B731">
        <v>72</v>
      </c>
      <c r="C731">
        <v>156</v>
      </c>
      <c r="D731">
        <v>45</v>
      </c>
      <c r="E731" t="s">
        <v>12</v>
      </c>
      <c r="F731" s="1">
        <v>45189</v>
      </c>
      <c r="G731" t="s">
        <v>14</v>
      </c>
      <c r="H731" s="2">
        <v>13.74</v>
      </c>
      <c r="I731" s="2">
        <v>38.43</v>
      </c>
      <c r="J731" s="2">
        <v>35.79</v>
      </c>
      <c r="K731" s="2">
        <f t="shared" si="257"/>
        <v>311.58</v>
      </c>
      <c r="L731" s="2">
        <v>4.9800000000000004</v>
      </c>
      <c r="M731" s="2">
        <v>0.09</v>
      </c>
      <c r="N731" s="6">
        <f t="shared" si="248"/>
        <v>5.8747421780529896</v>
      </c>
      <c r="O731" s="6">
        <f t="shared" si="249"/>
        <v>0.93219878181930327</v>
      </c>
      <c r="P731" s="6">
        <f t="shared" si="250"/>
        <v>97.189848030102681</v>
      </c>
      <c r="Q731" s="6">
        <f t="shared" si="258"/>
        <v>0.82855151702498187</v>
      </c>
      <c r="R731" s="10">
        <f t="shared" si="259"/>
        <v>8.2855151702498182E-4</v>
      </c>
      <c r="S731" s="3">
        <f t="shared" si="251"/>
        <v>1.4913927306449673E-2</v>
      </c>
      <c r="T731" s="4">
        <f t="shared" si="252"/>
        <v>1.4913927306449673E-5</v>
      </c>
      <c r="U731" s="3">
        <f t="shared" si="253"/>
        <v>5.3690138303218823E-2</v>
      </c>
      <c r="V731" s="2">
        <v>9.84</v>
      </c>
      <c r="W731" s="2">
        <v>1.55</v>
      </c>
      <c r="X731" s="2">
        <f t="shared" si="254"/>
        <v>15500</v>
      </c>
      <c r="Y731" s="5">
        <v>-0.48</v>
      </c>
      <c r="Z731" s="5">
        <v>-2.09</v>
      </c>
      <c r="AA731" s="2">
        <f t="shared" si="255"/>
        <v>1.6099999999999999</v>
      </c>
      <c r="AB731" s="3">
        <f t="shared" si="256"/>
        <v>3.3347911989576914E-2</v>
      </c>
    </row>
    <row r="732" spans="1:28" x14ac:dyDescent="0.2">
      <c r="A732" t="s">
        <v>6</v>
      </c>
      <c r="B732">
        <v>72</v>
      </c>
      <c r="C732">
        <v>149</v>
      </c>
      <c r="D732">
        <v>46</v>
      </c>
      <c r="E732" t="s">
        <v>12</v>
      </c>
      <c r="F732" s="1">
        <v>45189</v>
      </c>
      <c r="G732" t="s">
        <v>14</v>
      </c>
      <c r="H732" s="2">
        <v>13.19</v>
      </c>
      <c r="I732" s="2">
        <v>38.64</v>
      </c>
      <c r="J732" s="2">
        <v>33.71</v>
      </c>
      <c r="K732" s="2">
        <f t="shared" si="257"/>
        <v>311.78999999999996</v>
      </c>
      <c r="L732" s="2">
        <v>4.34</v>
      </c>
      <c r="M732" s="2">
        <v>0.14000000000000001</v>
      </c>
      <c r="N732" s="6">
        <f t="shared" si="248"/>
        <v>5.2344829276054545</v>
      </c>
      <c r="O732" s="6">
        <f t="shared" si="249"/>
        <v>0.90508654289451829</v>
      </c>
      <c r="P732" s="6">
        <f t="shared" si="250"/>
        <v>97.192575596999617</v>
      </c>
      <c r="Q732" s="6">
        <f t="shared" si="258"/>
        <v>1.2884483109492728</v>
      </c>
      <c r="R732" s="10">
        <f t="shared" si="259"/>
        <v>1.2884483109492728E-3</v>
      </c>
      <c r="S732" s="3">
        <f t="shared" si="251"/>
        <v>2.319206959708691E-2</v>
      </c>
      <c r="T732" s="4">
        <f t="shared" si="252"/>
        <v>2.3192069597086911E-5</v>
      </c>
      <c r="U732" s="3">
        <f t="shared" si="253"/>
        <v>8.3491450549512874E-2</v>
      </c>
      <c r="V732" s="2">
        <v>11.24</v>
      </c>
      <c r="W732" s="2">
        <v>1.25</v>
      </c>
      <c r="X732" s="2">
        <f t="shared" si="254"/>
        <v>12500</v>
      </c>
      <c r="Y732" s="5">
        <v>-0.4</v>
      </c>
      <c r="Z732" s="5">
        <v>-1.99</v>
      </c>
      <c r="AA732" s="2">
        <f t="shared" si="255"/>
        <v>1.5899999999999999</v>
      </c>
      <c r="AB732" s="3">
        <f t="shared" si="256"/>
        <v>5.2510346257555275E-2</v>
      </c>
    </row>
    <row r="733" spans="1:28" x14ac:dyDescent="0.2">
      <c r="A733" t="s">
        <v>6</v>
      </c>
      <c r="B733">
        <v>72</v>
      </c>
      <c r="C733">
        <v>149</v>
      </c>
      <c r="D733">
        <v>47</v>
      </c>
      <c r="E733" t="s">
        <v>12</v>
      </c>
      <c r="F733" s="1">
        <v>45190</v>
      </c>
      <c r="G733" t="s">
        <v>14</v>
      </c>
      <c r="H733" s="2">
        <v>12.33</v>
      </c>
      <c r="I733" s="2">
        <v>36.950000000000003</v>
      </c>
      <c r="J733" s="2">
        <v>34.299999999999997</v>
      </c>
      <c r="K733" s="2">
        <f t="shared" si="257"/>
        <v>310.09999999999997</v>
      </c>
      <c r="L733" s="2">
        <v>4.6399999999999997</v>
      </c>
      <c r="M733" s="2">
        <v>0.11</v>
      </c>
      <c r="N733" s="6">
        <f t="shared" ref="N733:N764" si="260">0.611*EXP((17.502*J733)/(240.97+J733))</f>
        <v>5.4096112006032655</v>
      </c>
      <c r="O733" s="6">
        <f t="shared" ref="O733:O764" si="261">(0.611*EXP((17.502*I733)/(240.97+I733)))*(H733/100)</f>
        <v>0.77192449816423025</v>
      </c>
      <c r="P733" s="6">
        <f t="shared" ref="P733:P764" si="262">101.325*EXP(-380/(29.27*K733))</f>
        <v>97.170522608740384</v>
      </c>
      <c r="Q733" s="6">
        <f t="shared" si="258"/>
        <v>0.87122338949676914</v>
      </c>
      <c r="R733" s="10">
        <f t="shared" si="259"/>
        <v>8.7122338949676911E-4</v>
      </c>
      <c r="S733" s="3">
        <f t="shared" ref="S733:S764" si="263">R733*18</f>
        <v>1.5682021010941846E-2</v>
      </c>
      <c r="T733" s="4">
        <f t="shared" ref="T733:T764" si="264">S733/1000</f>
        <v>1.5682021010941847E-5</v>
      </c>
      <c r="U733" s="3">
        <f t="shared" ref="U733:U764" si="265">T733*3600</f>
        <v>5.6455275639390651E-2</v>
      </c>
      <c r="V733" s="2">
        <v>20.43</v>
      </c>
      <c r="W733" s="2">
        <v>2.5299999999999998</v>
      </c>
      <c r="X733" s="2">
        <f t="shared" ref="X733:X764" si="266">W733*10000</f>
        <v>25299.999999999996</v>
      </c>
      <c r="Y733" s="5">
        <v>-0.36</v>
      </c>
      <c r="Z733" s="5">
        <v>-2.2999999999999998</v>
      </c>
      <c r="AA733" s="2">
        <f t="shared" ref="AA733:AA764" si="267">Y733-Z733</f>
        <v>1.94</v>
      </c>
      <c r="AB733" s="3">
        <f t="shared" ref="AB733:AB764" si="268">U733/AA733</f>
        <v>2.9100657546077657E-2</v>
      </c>
    </row>
    <row r="734" spans="1:28" x14ac:dyDescent="0.2">
      <c r="A734" t="s">
        <v>6</v>
      </c>
      <c r="B734">
        <v>72</v>
      </c>
      <c r="C734">
        <v>149</v>
      </c>
      <c r="D734">
        <v>48</v>
      </c>
      <c r="E734" t="s">
        <v>12</v>
      </c>
      <c r="F734" s="1">
        <v>45190</v>
      </c>
      <c r="G734" t="s">
        <v>14</v>
      </c>
      <c r="H734" s="2">
        <v>12.21</v>
      </c>
      <c r="I734" s="2">
        <v>38.15</v>
      </c>
      <c r="J734" s="2">
        <v>34.450000000000003</v>
      </c>
      <c r="K734" s="2">
        <f t="shared" si="257"/>
        <v>311.29999999999995</v>
      </c>
      <c r="L734" s="2">
        <v>4.6399999999999997</v>
      </c>
      <c r="M734" s="2">
        <v>0.1</v>
      </c>
      <c r="N734" s="6">
        <f t="shared" si="260"/>
        <v>5.4549392263522174</v>
      </c>
      <c r="O734" s="6">
        <f t="shared" si="261"/>
        <v>0.81594569007931217</v>
      </c>
      <c r="P734" s="6">
        <f t="shared" si="262"/>
        <v>97.186205669189718</v>
      </c>
      <c r="Q734" s="6">
        <f t="shared" si="258"/>
        <v>0.83853384411999166</v>
      </c>
      <c r="R734" s="10">
        <f t="shared" si="259"/>
        <v>8.3853384411999171E-4</v>
      </c>
      <c r="S734" s="3">
        <f t="shared" si="263"/>
        <v>1.5093609194159851E-2</v>
      </c>
      <c r="T734" s="4">
        <f t="shared" si="264"/>
        <v>1.509360919415985E-5</v>
      </c>
      <c r="U734" s="3">
        <f t="shared" si="265"/>
        <v>5.433699309897546E-2</v>
      </c>
      <c r="V734" s="2">
        <v>21.78</v>
      </c>
      <c r="W734" s="2">
        <v>2.31</v>
      </c>
      <c r="X734" s="2">
        <f t="shared" si="266"/>
        <v>23100</v>
      </c>
      <c r="Y734" s="5">
        <v>-0.89</v>
      </c>
      <c r="Z734" s="5">
        <v>-1.65</v>
      </c>
      <c r="AA734" s="2">
        <f t="shared" si="267"/>
        <v>0.7599999999999999</v>
      </c>
      <c r="AB734" s="3">
        <f t="shared" si="268"/>
        <v>7.1496043551283514E-2</v>
      </c>
    </row>
    <row r="735" spans="1:28" x14ac:dyDescent="0.2">
      <c r="A735" t="s">
        <v>6</v>
      </c>
      <c r="B735">
        <v>72</v>
      </c>
      <c r="C735">
        <v>152</v>
      </c>
      <c r="D735">
        <v>49</v>
      </c>
      <c r="E735" t="s">
        <v>12</v>
      </c>
      <c r="F735" s="1">
        <v>45189</v>
      </c>
      <c r="G735" t="s">
        <v>14</v>
      </c>
      <c r="H735" s="2">
        <v>14.44</v>
      </c>
      <c r="I735" s="2">
        <v>37.53</v>
      </c>
      <c r="J735" s="2">
        <v>31.3</v>
      </c>
      <c r="K735" s="2">
        <f t="shared" si="257"/>
        <v>310.67999999999995</v>
      </c>
      <c r="L735" s="2">
        <v>3.64</v>
      </c>
      <c r="M735" s="2">
        <v>0.26</v>
      </c>
      <c r="N735" s="6">
        <f t="shared" si="260"/>
        <v>4.5693061512999442</v>
      </c>
      <c r="O735" s="6">
        <f t="shared" si="261"/>
        <v>0.93304828296254505</v>
      </c>
      <c r="P735" s="6">
        <f t="shared" si="262"/>
        <v>97.178117565671315</v>
      </c>
      <c r="Q735" s="6">
        <f t="shared" si="258"/>
        <v>2.4863580957379945</v>
      </c>
      <c r="R735" s="10">
        <f t="shared" si="259"/>
        <v>2.4863580957379945E-3</v>
      </c>
      <c r="S735" s="3">
        <f t="shared" si="263"/>
        <v>4.4754445723283902E-2</v>
      </c>
      <c r="T735" s="4">
        <f t="shared" si="264"/>
        <v>4.4754445723283903E-5</v>
      </c>
      <c r="U735" s="3">
        <f t="shared" si="265"/>
        <v>0.16111600460382206</v>
      </c>
      <c r="V735" s="2">
        <v>27.89</v>
      </c>
      <c r="W735" s="2">
        <v>2.35</v>
      </c>
      <c r="X735" s="2">
        <f t="shared" si="266"/>
        <v>23500</v>
      </c>
      <c r="Y735" s="5">
        <v>-0.33</v>
      </c>
      <c r="Z735" s="5">
        <v>-2.2400000000000002</v>
      </c>
      <c r="AA735" s="2">
        <f t="shared" si="267"/>
        <v>1.9100000000000001</v>
      </c>
      <c r="AB735" s="3">
        <f t="shared" si="268"/>
        <v>8.4353929111948708E-2</v>
      </c>
    </row>
    <row r="736" spans="1:28" x14ac:dyDescent="0.2">
      <c r="A736" t="s">
        <v>6</v>
      </c>
      <c r="B736">
        <v>72</v>
      </c>
      <c r="C736">
        <v>152</v>
      </c>
      <c r="D736">
        <v>50</v>
      </c>
      <c r="E736" t="s">
        <v>12</v>
      </c>
      <c r="F736" s="1">
        <v>45190</v>
      </c>
      <c r="G736" t="s">
        <v>14</v>
      </c>
      <c r="H736" s="2">
        <v>11.32</v>
      </c>
      <c r="I736" s="2">
        <v>38.47</v>
      </c>
      <c r="J736" s="2">
        <v>34.4</v>
      </c>
      <c r="K736" s="2">
        <f t="shared" si="257"/>
        <v>311.62</v>
      </c>
      <c r="L736" s="2">
        <v>4.68</v>
      </c>
      <c r="M736" s="2">
        <v>0.16</v>
      </c>
      <c r="N736" s="6">
        <f t="shared" si="260"/>
        <v>5.4397933341552092</v>
      </c>
      <c r="O736" s="6">
        <f t="shared" si="261"/>
        <v>0.76967363097525732</v>
      </c>
      <c r="P736" s="6">
        <f t="shared" si="262"/>
        <v>97.190367844176521</v>
      </c>
      <c r="Q736" s="6">
        <f t="shared" si="258"/>
        <v>1.2508125667323275</v>
      </c>
      <c r="R736" s="10">
        <f t="shared" si="259"/>
        <v>1.2508125667323275E-3</v>
      </c>
      <c r="S736" s="3">
        <f t="shared" si="263"/>
        <v>2.2514626201181897E-2</v>
      </c>
      <c r="T736" s="4">
        <f t="shared" si="264"/>
        <v>2.2514626201181896E-5</v>
      </c>
      <c r="U736" s="3">
        <f t="shared" si="265"/>
        <v>8.1052654324254819E-2</v>
      </c>
      <c r="V736" s="2">
        <v>25.57</v>
      </c>
      <c r="W736" s="2">
        <v>2.29</v>
      </c>
      <c r="X736" s="2">
        <f t="shared" si="266"/>
        <v>22900</v>
      </c>
      <c r="Y736" s="5">
        <v>-0.33</v>
      </c>
      <c r="Z736" s="5">
        <v>-1.38</v>
      </c>
      <c r="AA736" s="2">
        <f t="shared" si="267"/>
        <v>1.0499999999999998</v>
      </c>
      <c r="AB736" s="3">
        <f t="shared" si="268"/>
        <v>7.7193004118337932E-2</v>
      </c>
    </row>
    <row r="737" spans="1:28" x14ac:dyDescent="0.2">
      <c r="A737" t="s">
        <v>6</v>
      </c>
      <c r="B737">
        <v>72</v>
      </c>
      <c r="C737">
        <v>152</v>
      </c>
      <c r="D737">
        <v>51</v>
      </c>
      <c r="E737" t="s">
        <v>12</v>
      </c>
      <c r="F737" s="1">
        <v>45190</v>
      </c>
      <c r="G737" t="s">
        <v>14</v>
      </c>
      <c r="H737" s="2">
        <v>13.68</v>
      </c>
      <c r="I737" s="2">
        <v>37.68</v>
      </c>
      <c r="J737" s="2">
        <v>31.78</v>
      </c>
      <c r="K737" s="2">
        <f t="shared" si="257"/>
        <v>310.83</v>
      </c>
      <c r="L737" s="2">
        <v>3.81</v>
      </c>
      <c r="M737" s="2">
        <v>0.16</v>
      </c>
      <c r="N737" s="6">
        <f t="shared" si="260"/>
        <v>4.695579152453595</v>
      </c>
      <c r="O737" s="6">
        <f t="shared" si="261"/>
        <v>0.89117570377088628</v>
      </c>
      <c r="P737" s="6">
        <f t="shared" si="262"/>
        <v>97.180077261956598</v>
      </c>
      <c r="Q737" s="6">
        <f t="shared" si="258"/>
        <v>1.4580423105718614</v>
      </c>
      <c r="R737" s="10">
        <f t="shared" si="259"/>
        <v>1.4580423105718613E-3</v>
      </c>
      <c r="S737" s="3">
        <f t="shared" si="263"/>
        <v>2.6244761590293503E-2</v>
      </c>
      <c r="T737" s="4">
        <f t="shared" si="264"/>
        <v>2.6244761590293503E-5</v>
      </c>
      <c r="U737" s="3">
        <f t="shared" si="265"/>
        <v>9.4481141725056617E-2</v>
      </c>
      <c r="V737" s="2">
        <v>18.57</v>
      </c>
      <c r="W737" s="2">
        <v>1.84</v>
      </c>
      <c r="X737" s="2">
        <f t="shared" si="266"/>
        <v>18400</v>
      </c>
      <c r="Y737" s="5">
        <v>-0.67</v>
      </c>
      <c r="Z737" s="5">
        <v>-1.61</v>
      </c>
      <c r="AA737" s="2">
        <f t="shared" si="267"/>
        <v>0.94000000000000006</v>
      </c>
      <c r="AB737" s="3">
        <f t="shared" si="268"/>
        <v>0.10051185289899639</v>
      </c>
    </row>
    <row r="738" spans="1:28" x14ac:dyDescent="0.2">
      <c r="A738" t="s">
        <v>6</v>
      </c>
      <c r="B738">
        <v>72</v>
      </c>
      <c r="C738">
        <v>155</v>
      </c>
      <c r="D738">
        <v>58</v>
      </c>
      <c r="E738" t="s">
        <v>12</v>
      </c>
      <c r="F738" s="1">
        <v>45190</v>
      </c>
      <c r="G738" t="s">
        <v>14</v>
      </c>
      <c r="H738" s="2">
        <v>12.16</v>
      </c>
      <c r="I738" s="2">
        <v>36.53</v>
      </c>
      <c r="J738" s="2">
        <v>33.67</v>
      </c>
      <c r="K738" s="2">
        <f t="shared" si="257"/>
        <v>309.67999999999995</v>
      </c>
      <c r="L738" s="2">
        <v>4.4800000000000004</v>
      </c>
      <c r="M738" s="2">
        <v>0.15</v>
      </c>
      <c r="N738" s="6">
        <f t="shared" si="260"/>
        <v>5.2227904081126093</v>
      </c>
      <c r="O738" s="6">
        <f t="shared" si="261"/>
        <v>0.74399597337978252</v>
      </c>
      <c r="P738" s="6">
        <f t="shared" si="262"/>
        <v>97.16500542498315</v>
      </c>
      <c r="Q738" s="6">
        <f t="shared" si="258"/>
        <v>1.1466943343394624</v>
      </c>
      <c r="R738" s="10">
        <f t="shared" si="259"/>
        <v>1.1466943343394623E-3</v>
      </c>
      <c r="S738" s="3">
        <f t="shared" si="263"/>
        <v>2.0640498018110322E-2</v>
      </c>
      <c r="T738" s="4">
        <f t="shared" si="264"/>
        <v>2.0640498018110321E-5</v>
      </c>
      <c r="U738" s="3">
        <f t="shared" si="265"/>
        <v>7.4305792865197159E-2</v>
      </c>
      <c r="V738" s="2">
        <v>4.1100000000000003</v>
      </c>
      <c r="W738" s="2">
        <v>0.5</v>
      </c>
      <c r="X738" s="2">
        <f t="shared" si="266"/>
        <v>5000</v>
      </c>
      <c r="Y738" s="5">
        <v>-0.34</v>
      </c>
      <c r="Z738" s="5">
        <v>-2.08</v>
      </c>
      <c r="AA738" s="2">
        <f t="shared" si="267"/>
        <v>1.74</v>
      </c>
      <c r="AB738" s="3">
        <f t="shared" si="268"/>
        <v>4.2704478658159288E-2</v>
      </c>
    </row>
    <row r="739" spans="1:28" x14ac:dyDescent="0.2">
      <c r="A739" t="s">
        <v>6</v>
      </c>
      <c r="B739">
        <v>72</v>
      </c>
      <c r="C739">
        <v>155</v>
      </c>
      <c r="D739">
        <v>59</v>
      </c>
      <c r="E739" t="s">
        <v>12</v>
      </c>
      <c r="F739" s="1">
        <v>45189</v>
      </c>
      <c r="G739" t="s">
        <v>14</v>
      </c>
      <c r="H739" s="2">
        <v>13.62</v>
      </c>
      <c r="I739" s="2">
        <v>37.81</v>
      </c>
      <c r="J739" s="2">
        <v>32.64</v>
      </c>
      <c r="K739" s="2">
        <f t="shared" si="257"/>
        <v>310.95999999999998</v>
      </c>
      <c r="L739" s="2">
        <v>4.04</v>
      </c>
      <c r="M739" s="2">
        <v>0.31</v>
      </c>
      <c r="N739" s="6">
        <f t="shared" si="260"/>
        <v>4.9294295107833497</v>
      </c>
      <c r="O739" s="6">
        <f t="shared" si="261"/>
        <v>0.89355140039940262</v>
      </c>
      <c r="P739" s="6">
        <f t="shared" si="262"/>
        <v>97.1817741680225</v>
      </c>
      <c r="Q739" s="6">
        <f t="shared" si="258"/>
        <v>2.8371899021531202</v>
      </c>
      <c r="R739" s="10">
        <f t="shared" si="259"/>
        <v>2.8371899021531204E-3</v>
      </c>
      <c r="S739" s="3">
        <f t="shared" si="263"/>
        <v>5.1069418238756166E-2</v>
      </c>
      <c r="T739" s="4">
        <f t="shared" si="264"/>
        <v>5.1069418238756164E-5</v>
      </c>
      <c r="U739" s="3">
        <f t="shared" si="265"/>
        <v>0.18384990565952219</v>
      </c>
      <c r="V739" s="2">
        <v>22.47</v>
      </c>
      <c r="W739" s="2">
        <v>2.37</v>
      </c>
      <c r="X739" s="2">
        <f t="shared" si="266"/>
        <v>23700</v>
      </c>
      <c r="Y739" s="5">
        <v>-0.82</v>
      </c>
      <c r="Z739" s="5">
        <v>-2.0499999999999998</v>
      </c>
      <c r="AA739" s="2">
        <f t="shared" si="267"/>
        <v>1.23</v>
      </c>
      <c r="AB739" s="3">
        <f t="shared" si="268"/>
        <v>0.14947146801587172</v>
      </c>
    </row>
    <row r="740" spans="1:28" x14ac:dyDescent="0.2">
      <c r="A740" t="s">
        <v>6</v>
      </c>
      <c r="B740">
        <v>72</v>
      </c>
      <c r="C740">
        <v>155</v>
      </c>
      <c r="D740">
        <v>60</v>
      </c>
      <c r="E740" t="s">
        <v>12</v>
      </c>
      <c r="F740" s="1">
        <v>45190</v>
      </c>
      <c r="G740" t="s">
        <v>14</v>
      </c>
      <c r="H740" s="2">
        <v>12.14</v>
      </c>
      <c r="I740" s="2">
        <v>37.39</v>
      </c>
      <c r="J740" s="2">
        <v>34.26</v>
      </c>
      <c r="K740" s="2">
        <f t="shared" si="257"/>
        <v>310.53999999999996</v>
      </c>
      <c r="L740" s="2">
        <v>4.63</v>
      </c>
      <c r="M740" s="2">
        <v>0.12</v>
      </c>
      <c r="N740" s="6">
        <f t="shared" si="260"/>
        <v>5.3975791784617639</v>
      </c>
      <c r="O740" s="6">
        <f t="shared" si="261"/>
        <v>0.77848074374772025</v>
      </c>
      <c r="P740" s="6">
        <f t="shared" si="262"/>
        <v>97.17628684343758</v>
      </c>
      <c r="Q740" s="6">
        <f t="shared" si="258"/>
        <v>0.94785985766065461</v>
      </c>
      <c r="R740" s="10">
        <f t="shared" si="259"/>
        <v>9.4785985766065463E-4</v>
      </c>
      <c r="S740" s="3">
        <f t="shared" si="263"/>
        <v>1.7061477437891784E-2</v>
      </c>
      <c r="T740" s="4">
        <f t="shared" si="264"/>
        <v>1.7061477437891784E-5</v>
      </c>
      <c r="U740" s="3">
        <f t="shared" si="265"/>
        <v>6.1421318776410425E-2</v>
      </c>
      <c r="V740" s="2">
        <v>10.28</v>
      </c>
      <c r="W740" s="2">
        <v>1.1299999999999999</v>
      </c>
      <c r="X740" s="2">
        <f t="shared" si="266"/>
        <v>11299.999999999998</v>
      </c>
      <c r="Y740" s="5">
        <v>-0.45</v>
      </c>
      <c r="Z740" s="5">
        <v>-1.24</v>
      </c>
      <c r="AA740" s="2">
        <f t="shared" si="267"/>
        <v>0.79</v>
      </c>
      <c r="AB740" s="3">
        <f t="shared" si="268"/>
        <v>7.7748504780266361E-2</v>
      </c>
    </row>
    <row r="741" spans="1:28" x14ac:dyDescent="0.2">
      <c r="A741" t="s">
        <v>6</v>
      </c>
      <c r="B741">
        <v>72</v>
      </c>
      <c r="C741">
        <v>5</v>
      </c>
      <c r="D741">
        <v>61</v>
      </c>
      <c r="E741" t="s">
        <v>12</v>
      </c>
      <c r="F741" s="1">
        <v>45190</v>
      </c>
      <c r="G741" t="s">
        <v>14</v>
      </c>
      <c r="H741" s="2">
        <v>12.26</v>
      </c>
      <c r="I741" s="2">
        <v>38.4</v>
      </c>
      <c r="J741" s="2">
        <v>36</v>
      </c>
      <c r="K741" s="2">
        <f t="shared" si="257"/>
        <v>311.54999999999995</v>
      </c>
      <c r="L741" s="2">
        <v>5.12</v>
      </c>
      <c r="M741" s="2">
        <v>0.08</v>
      </c>
      <c r="N741" s="6">
        <f t="shared" si="260"/>
        <v>5.9430128306723935</v>
      </c>
      <c r="O741" s="6">
        <f t="shared" si="261"/>
        <v>0.8304400868069064</v>
      </c>
      <c r="P741" s="6">
        <f t="shared" si="262"/>
        <v>97.189458083777325</v>
      </c>
      <c r="Q741" s="6">
        <f t="shared" si="258"/>
        <v>0.67745028886812497</v>
      </c>
      <c r="R741" s="10">
        <f t="shared" si="259"/>
        <v>6.7745028886812496E-4</v>
      </c>
      <c r="S741" s="3">
        <f t="shared" si="263"/>
        <v>1.219410519962625E-2</v>
      </c>
      <c r="T741" s="4">
        <f t="shared" si="264"/>
        <v>1.2194105199626249E-5</v>
      </c>
      <c r="U741" s="3">
        <f t="shared" si="265"/>
        <v>4.3898778718654496E-2</v>
      </c>
      <c r="V741" s="2">
        <v>20.64</v>
      </c>
      <c r="W741" s="2">
        <v>4.72</v>
      </c>
      <c r="X741" s="2">
        <f t="shared" si="266"/>
        <v>47200</v>
      </c>
      <c r="Y741" s="5">
        <v>-0.42</v>
      </c>
      <c r="Z741" s="5">
        <v>-1.82</v>
      </c>
      <c r="AA741" s="2">
        <f t="shared" si="267"/>
        <v>1.4000000000000001</v>
      </c>
      <c r="AB741" s="3">
        <f t="shared" si="268"/>
        <v>3.1356270513324638E-2</v>
      </c>
    </row>
    <row r="742" spans="1:28" x14ac:dyDescent="0.2">
      <c r="A742" t="s">
        <v>6</v>
      </c>
      <c r="B742">
        <v>72</v>
      </c>
      <c r="C742">
        <v>5</v>
      </c>
      <c r="D742">
        <v>63</v>
      </c>
      <c r="E742" t="s">
        <v>12</v>
      </c>
      <c r="F742" s="1">
        <v>45189</v>
      </c>
      <c r="G742" t="s">
        <v>14</v>
      </c>
      <c r="H742" s="2">
        <v>14.96</v>
      </c>
      <c r="I742" s="2">
        <v>37.56</v>
      </c>
      <c r="J742" s="2">
        <v>32.96</v>
      </c>
      <c r="K742" s="2">
        <f t="shared" si="257"/>
        <v>310.70999999999998</v>
      </c>
      <c r="L742" s="2">
        <v>4.0599999999999996</v>
      </c>
      <c r="M742" s="2">
        <v>0.17</v>
      </c>
      <c r="N742" s="6">
        <f t="shared" si="260"/>
        <v>5.0189951973819547</v>
      </c>
      <c r="O742" s="6">
        <f t="shared" si="261"/>
        <v>0.96822632506166839</v>
      </c>
      <c r="P742" s="6">
        <f t="shared" si="262"/>
        <v>97.178509653137681</v>
      </c>
      <c r="Q742" s="6">
        <f t="shared" si="258"/>
        <v>1.6776258880367436</v>
      </c>
      <c r="R742" s="10">
        <f t="shared" si="259"/>
        <v>1.6776258880367436E-3</v>
      </c>
      <c r="S742" s="3">
        <f t="shared" si="263"/>
        <v>3.0197265984661385E-2</v>
      </c>
      <c r="T742" s="4">
        <f t="shared" si="264"/>
        <v>3.0197265984661385E-5</v>
      </c>
      <c r="U742" s="3">
        <f t="shared" si="265"/>
        <v>0.10871015754478099</v>
      </c>
      <c r="V742" s="2">
        <v>20.28</v>
      </c>
      <c r="W742" s="2">
        <v>3.11</v>
      </c>
      <c r="X742" s="2">
        <f t="shared" si="266"/>
        <v>31100</v>
      </c>
      <c r="Y742" s="5">
        <v>-0.27</v>
      </c>
      <c r="Z742" s="5">
        <v>-2.06</v>
      </c>
      <c r="AA742" s="2">
        <f t="shared" si="267"/>
        <v>1.79</v>
      </c>
      <c r="AB742" s="3">
        <f t="shared" si="268"/>
        <v>6.073193158926312E-2</v>
      </c>
    </row>
    <row r="743" spans="1:28" x14ac:dyDescent="0.2">
      <c r="A743" t="s">
        <v>6</v>
      </c>
      <c r="B743">
        <v>72</v>
      </c>
      <c r="C743">
        <v>5</v>
      </c>
      <c r="D743">
        <v>85</v>
      </c>
      <c r="E743" t="s">
        <v>12</v>
      </c>
      <c r="F743" s="1">
        <v>45190</v>
      </c>
      <c r="G743" t="s">
        <v>14</v>
      </c>
      <c r="H743" s="2">
        <v>12.78</v>
      </c>
      <c r="I743" s="2">
        <v>37.65</v>
      </c>
      <c r="J743" s="2">
        <v>36.11</v>
      </c>
      <c r="K743" s="2">
        <f t="shared" si="257"/>
        <v>310.79999999999995</v>
      </c>
      <c r="L743" s="2">
        <v>5.16</v>
      </c>
      <c r="M743" s="2">
        <v>0.06</v>
      </c>
      <c r="N743" s="6">
        <f t="shared" si="260"/>
        <v>5.9790479068224958</v>
      </c>
      <c r="O743" s="6">
        <f t="shared" si="261"/>
        <v>0.83119005059305584</v>
      </c>
      <c r="P743" s="6">
        <f t="shared" si="262"/>
        <v>97.179685470866843</v>
      </c>
      <c r="Q743" s="6">
        <f t="shared" si="258"/>
        <v>0.50569081563946927</v>
      </c>
      <c r="R743" s="10">
        <f t="shared" si="259"/>
        <v>5.0569081563946931E-4</v>
      </c>
      <c r="S743" s="3">
        <f t="shared" si="263"/>
        <v>9.1024346815104483E-3</v>
      </c>
      <c r="T743" s="4">
        <f t="shared" si="264"/>
        <v>9.1024346815104485E-6</v>
      </c>
      <c r="U743" s="3">
        <f t="shared" si="265"/>
        <v>3.2768764853437618E-2</v>
      </c>
      <c r="V743" s="2">
        <v>7.85</v>
      </c>
      <c r="W743" s="2">
        <v>1.36</v>
      </c>
      <c r="X743" s="2">
        <f t="shared" si="266"/>
        <v>13600.000000000002</v>
      </c>
      <c r="Y743" s="5">
        <v>-0.47</v>
      </c>
      <c r="Z743" s="5">
        <v>-1.69</v>
      </c>
      <c r="AA743" s="2">
        <f t="shared" si="267"/>
        <v>1.22</v>
      </c>
      <c r="AB743" s="3">
        <f t="shared" si="268"/>
        <v>2.685964332248985E-2</v>
      </c>
    </row>
    <row r="744" spans="1:28" x14ac:dyDescent="0.2">
      <c r="A744" t="s">
        <v>9</v>
      </c>
      <c r="B744">
        <v>1521</v>
      </c>
      <c r="C744">
        <v>153</v>
      </c>
      <c r="D744">
        <v>69</v>
      </c>
      <c r="E744" t="s">
        <v>12</v>
      </c>
      <c r="F744" s="1">
        <v>45190</v>
      </c>
      <c r="G744" t="s">
        <v>14</v>
      </c>
      <c r="H744" s="2">
        <v>12.18</v>
      </c>
      <c r="I744" s="2">
        <v>38.22</v>
      </c>
      <c r="J744" s="2">
        <v>34.96</v>
      </c>
      <c r="K744" s="2">
        <f t="shared" si="257"/>
        <v>311.37</v>
      </c>
      <c r="L744" s="2">
        <v>4.79</v>
      </c>
      <c r="M744" s="2">
        <v>0.12</v>
      </c>
      <c r="N744" s="6">
        <f t="shared" si="260"/>
        <v>5.6115337907201344</v>
      </c>
      <c r="O744" s="6">
        <f t="shared" si="261"/>
        <v>0.81703030610759686</v>
      </c>
      <c r="P744" s="6">
        <f t="shared" si="262"/>
        <v>97.187116860752127</v>
      </c>
      <c r="Q744" s="6">
        <f t="shared" si="258"/>
        <v>1.0143736955142471</v>
      </c>
      <c r="R744" s="10">
        <f t="shared" si="259"/>
        <v>1.0143736955142472E-3</v>
      </c>
      <c r="S744" s="3">
        <f t="shared" si="263"/>
        <v>1.825872651925645E-2</v>
      </c>
      <c r="T744" s="4">
        <f t="shared" si="264"/>
        <v>1.8258726519256451E-5</v>
      </c>
      <c r="U744" s="3">
        <f t="shared" si="265"/>
        <v>6.5731415469323221E-2</v>
      </c>
      <c r="V744" s="2">
        <v>1.69</v>
      </c>
      <c r="W744" s="2">
        <v>0.31</v>
      </c>
      <c r="X744" s="2">
        <f t="shared" si="266"/>
        <v>3100</v>
      </c>
      <c r="Y744" s="5">
        <v>-0.32</v>
      </c>
      <c r="Z744" s="5">
        <v>-1.63</v>
      </c>
      <c r="AA744" s="2">
        <f t="shared" si="267"/>
        <v>1.3099999999999998</v>
      </c>
      <c r="AB744" s="3">
        <f t="shared" si="268"/>
        <v>5.0176653030017733E-2</v>
      </c>
    </row>
    <row r="745" spans="1:28" x14ac:dyDescent="0.2">
      <c r="A745" t="s">
        <v>9</v>
      </c>
      <c r="B745">
        <v>1521</v>
      </c>
      <c r="C745">
        <v>153</v>
      </c>
      <c r="D745">
        <v>76</v>
      </c>
      <c r="E745" t="s">
        <v>12</v>
      </c>
      <c r="F745" s="1">
        <v>45190</v>
      </c>
      <c r="G745" t="s">
        <v>14</v>
      </c>
      <c r="H745" s="2">
        <v>11.18</v>
      </c>
      <c r="I745" s="2">
        <v>38.369999999999997</v>
      </c>
      <c r="J745" s="2">
        <v>33.799999999999997</v>
      </c>
      <c r="K745" s="2">
        <f t="shared" si="257"/>
        <v>311.52</v>
      </c>
      <c r="L745" s="2">
        <v>4.5</v>
      </c>
      <c r="M745" s="2">
        <v>0.08</v>
      </c>
      <c r="N745" s="6">
        <f t="shared" si="260"/>
        <v>5.2608743702676151</v>
      </c>
      <c r="O745" s="6">
        <f t="shared" si="261"/>
        <v>0.75605871526849255</v>
      </c>
      <c r="P745" s="6">
        <f t="shared" si="262"/>
        <v>97.189068063911748</v>
      </c>
      <c r="Q745" s="6">
        <f t="shared" si="258"/>
        <v>0.62630448911580261</v>
      </c>
      <c r="R745" s="10">
        <f t="shared" si="259"/>
        <v>6.263044891158026E-4</v>
      </c>
      <c r="S745" s="3">
        <f t="shared" si="263"/>
        <v>1.1273480804084447E-2</v>
      </c>
      <c r="T745" s="4">
        <f t="shared" si="264"/>
        <v>1.1273480804084447E-5</v>
      </c>
      <c r="U745" s="3">
        <f t="shared" si="265"/>
        <v>4.0584530894704006E-2</v>
      </c>
      <c r="V745" s="2">
        <v>2.0299999999999998</v>
      </c>
      <c r="W745" s="2">
        <v>0.31</v>
      </c>
      <c r="X745" s="2">
        <f t="shared" si="266"/>
        <v>3100</v>
      </c>
      <c r="Y745" s="5">
        <v>-0.45</v>
      </c>
      <c r="Z745" s="5">
        <v>-2.36</v>
      </c>
      <c r="AA745" s="2">
        <f t="shared" si="267"/>
        <v>1.91</v>
      </c>
      <c r="AB745" s="3">
        <f t="shared" si="268"/>
        <v>2.1248445494609428E-2</v>
      </c>
    </row>
    <row r="746" spans="1:28" x14ac:dyDescent="0.2">
      <c r="A746" t="s">
        <v>9</v>
      </c>
      <c r="B746">
        <v>1521</v>
      </c>
      <c r="C746">
        <v>153</v>
      </c>
      <c r="D746">
        <v>90</v>
      </c>
      <c r="E746" t="s">
        <v>12</v>
      </c>
      <c r="F746" s="1">
        <v>45189</v>
      </c>
      <c r="G746" t="s">
        <v>14</v>
      </c>
      <c r="H746" s="2">
        <v>11.93</v>
      </c>
      <c r="I746" s="2">
        <v>38.47</v>
      </c>
      <c r="J746" s="2">
        <v>36.79</v>
      </c>
      <c r="K746" s="2">
        <f t="shared" si="257"/>
        <v>311.62</v>
      </c>
      <c r="L746" s="2">
        <v>5.43</v>
      </c>
      <c r="M746" s="2">
        <v>0.08</v>
      </c>
      <c r="N746" s="6">
        <f t="shared" si="260"/>
        <v>6.2060519189390781</v>
      </c>
      <c r="O746" s="6">
        <f t="shared" si="261"/>
        <v>0.81114897681402998</v>
      </c>
      <c r="P746" s="6">
        <f t="shared" si="262"/>
        <v>97.190367844176521</v>
      </c>
      <c r="Q746" s="6">
        <f t="shared" si="258"/>
        <v>0.63878916082162207</v>
      </c>
      <c r="R746" s="10">
        <f t="shared" si="259"/>
        <v>6.3878916082162204E-4</v>
      </c>
      <c r="S746" s="3">
        <f t="shared" si="263"/>
        <v>1.1498204894789197E-2</v>
      </c>
      <c r="T746" s="4">
        <f t="shared" si="264"/>
        <v>1.1498204894789197E-5</v>
      </c>
      <c r="U746" s="3">
        <f t="shared" si="265"/>
        <v>4.1393537621241108E-2</v>
      </c>
      <c r="V746" s="2">
        <v>1.27</v>
      </c>
      <c r="W746" s="2">
        <v>0.15</v>
      </c>
      <c r="X746" s="2">
        <f t="shared" si="266"/>
        <v>1500</v>
      </c>
      <c r="Y746" s="5">
        <v>-0.37</v>
      </c>
      <c r="Z746" s="5">
        <v>-1.46</v>
      </c>
      <c r="AA746" s="2">
        <f t="shared" si="267"/>
        <v>1.0899999999999999</v>
      </c>
      <c r="AB746" s="3">
        <f t="shared" si="268"/>
        <v>3.7975722588294597E-2</v>
      </c>
    </row>
    <row r="747" spans="1:28" x14ac:dyDescent="0.2">
      <c r="A747" t="s">
        <v>9</v>
      </c>
      <c r="B747">
        <v>1521</v>
      </c>
      <c r="C747">
        <v>155</v>
      </c>
      <c r="D747">
        <v>62</v>
      </c>
      <c r="E747" t="s">
        <v>12</v>
      </c>
      <c r="F747" s="1">
        <v>45189</v>
      </c>
      <c r="G747" t="s">
        <v>14</v>
      </c>
      <c r="H747" s="2">
        <v>13.11</v>
      </c>
      <c r="I747" s="2">
        <v>38.22</v>
      </c>
      <c r="J747" s="2">
        <v>34.19</v>
      </c>
      <c r="K747" s="2">
        <f t="shared" si="257"/>
        <v>311.37</v>
      </c>
      <c r="L747" s="2">
        <v>4.5199999999999996</v>
      </c>
      <c r="M747" s="2">
        <v>0.18</v>
      </c>
      <c r="N747" s="6">
        <f t="shared" si="260"/>
        <v>5.3765791234281357</v>
      </c>
      <c r="O747" s="6">
        <f t="shared" si="261"/>
        <v>0.87941439351975337</v>
      </c>
      <c r="P747" s="6">
        <f t="shared" si="262"/>
        <v>97.187116860752127</v>
      </c>
      <c r="Q747" s="6">
        <f t="shared" si="258"/>
        <v>1.5864679105356811</v>
      </c>
      <c r="R747" s="10">
        <f t="shared" si="259"/>
        <v>1.5864679105356812E-3</v>
      </c>
      <c r="S747" s="3">
        <f t="shared" si="263"/>
        <v>2.8556422389642261E-2</v>
      </c>
      <c r="T747" s="4">
        <f t="shared" si="264"/>
        <v>2.8556422389642261E-5</v>
      </c>
      <c r="U747" s="3">
        <f t="shared" si="265"/>
        <v>0.10280312060271214</v>
      </c>
      <c r="V747" s="2">
        <v>2.31</v>
      </c>
      <c r="W747" s="2">
        <v>0.45</v>
      </c>
      <c r="X747" s="2">
        <f t="shared" si="266"/>
        <v>4500</v>
      </c>
      <c r="Y747" s="5">
        <v>-0.46</v>
      </c>
      <c r="Z747" s="5">
        <v>-1.97</v>
      </c>
      <c r="AA747" s="2">
        <f t="shared" si="267"/>
        <v>1.51</v>
      </c>
      <c r="AB747" s="3">
        <f t="shared" si="268"/>
        <v>6.8081536822988176E-2</v>
      </c>
    </row>
    <row r="748" spans="1:28" x14ac:dyDescent="0.2">
      <c r="A748" t="s">
        <v>9</v>
      </c>
      <c r="B748">
        <v>1521</v>
      </c>
      <c r="C748">
        <v>155</v>
      </c>
      <c r="D748">
        <v>64</v>
      </c>
      <c r="E748" t="s">
        <v>12</v>
      </c>
      <c r="F748" s="1">
        <v>45189</v>
      </c>
      <c r="G748" t="s">
        <v>14</v>
      </c>
      <c r="H748" s="2">
        <v>14.88</v>
      </c>
      <c r="I748" s="2">
        <v>37.04</v>
      </c>
      <c r="J748" s="2">
        <v>34.630000000000003</v>
      </c>
      <c r="K748" s="2">
        <f t="shared" si="257"/>
        <v>310.19</v>
      </c>
      <c r="L748" s="2">
        <v>4.58</v>
      </c>
      <c r="M748" s="2">
        <v>0.1</v>
      </c>
      <c r="N748" s="6">
        <f t="shared" si="260"/>
        <v>5.5097684272433742</v>
      </c>
      <c r="O748" s="6">
        <f t="shared" si="261"/>
        <v>0.93615594885977504</v>
      </c>
      <c r="P748" s="6">
        <f t="shared" si="262"/>
        <v>97.171702959274285</v>
      </c>
      <c r="Q748" s="6">
        <f t="shared" si="258"/>
        <v>0.95683043409566504</v>
      </c>
      <c r="R748" s="10">
        <f t="shared" si="259"/>
        <v>9.56830434095665E-4</v>
      </c>
      <c r="S748" s="3">
        <f t="shared" si="263"/>
        <v>1.7222947813721971E-2</v>
      </c>
      <c r="T748" s="4">
        <f t="shared" si="264"/>
        <v>1.722294781372197E-5</v>
      </c>
      <c r="U748" s="3">
        <f t="shared" si="265"/>
        <v>6.2002612129399094E-2</v>
      </c>
      <c r="V748" s="2">
        <v>2.25</v>
      </c>
      <c r="W748" s="2">
        <v>0.5</v>
      </c>
      <c r="X748" s="2">
        <f t="shared" si="266"/>
        <v>5000</v>
      </c>
      <c r="Y748" s="5">
        <v>-0.46</v>
      </c>
      <c r="Z748" s="5">
        <v>-1.83</v>
      </c>
      <c r="AA748" s="2">
        <f t="shared" si="267"/>
        <v>1.37</v>
      </c>
      <c r="AB748" s="3">
        <f t="shared" si="268"/>
        <v>4.52573811163497E-2</v>
      </c>
    </row>
    <row r="749" spans="1:28" x14ac:dyDescent="0.2">
      <c r="A749" t="s">
        <v>9</v>
      </c>
      <c r="B749">
        <v>1521</v>
      </c>
      <c r="C749">
        <v>155</v>
      </c>
      <c r="D749">
        <v>66</v>
      </c>
      <c r="E749" t="s">
        <v>12</v>
      </c>
      <c r="F749" s="1">
        <v>45190</v>
      </c>
      <c r="G749" t="s">
        <v>14</v>
      </c>
      <c r="H749" s="2">
        <v>11.84</v>
      </c>
      <c r="I749" s="2">
        <v>38.14</v>
      </c>
      <c r="J749" s="2">
        <v>33.92</v>
      </c>
      <c r="K749" s="2">
        <f t="shared" si="257"/>
        <v>311.28999999999996</v>
      </c>
      <c r="L749" s="2">
        <v>4.51</v>
      </c>
      <c r="M749" s="2">
        <v>0.08</v>
      </c>
      <c r="N749" s="6">
        <f t="shared" si="260"/>
        <v>5.2962429299797646</v>
      </c>
      <c r="O749" s="6">
        <f t="shared" si="261"/>
        <v>0.79079184596760144</v>
      </c>
      <c r="P749" s="6">
        <f t="shared" si="262"/>
        <v>97.186075466211008</v>
      </c>
      <c r="Q749" s="6">
        <f t="shared" si="258"/>
        <v>0.64720623913093023</v>
      </c>
      <c r="R749" s="10">
        <f t="shared" si="259"/>
        <v>6.4720623913093022E-4</v>
      </c>
      <c r="S749" s="3">
        <f t="shared" si="263"/>
        <v>1.1649712304356744E-2</v>
      </c>
      <c r="T749" s="4">
        <f t="shared" si="264"/>
        <v>1.1649712304356745E-5</v>
      </c>
      <c r="U749" s="3">
        <f t="shared" si="265"/>
        <v>4.1938964295684285E-2</v>
      </c>
      <c r="V749" s="2">
        <v>3.09</v>
      </c>
      <c r="W749" s="2">
        <v>0.44</v>
      </c>
      <c r="X749" s="2">
        <f t="shared" si="266"/>
        <v>4400</v>
      </c>
      <c r="Y749" s="5">
        <v>-0.4</v>
      </c>
      <c r="Z749" s="5">
        <v>-1.6</v>
      </c>
      <c r="AA749" s="2">
        <f t="shared" si="267"/>
        <v>1.2000000000000002</v>
      </c>
      <c r="AB749" s="3">
        <f t="shared" si="268"/>
        <v>3.4949136913070229E-2</v>
      </c>
    </row>
    <row r="750" spans="1:28" x14ac:dyDescent="0.2">
      <c r="A750" t="s">
        <v>9</v>
      </c>
      <c r="B750">
        <v>1521</v>
      </c>
      <c r="C750">
        <v>156</v>
      </c>
      <c r="D750">
        <v>71</v>
      </c>
      <c r="E750" t="s">
        <v>12</v>
      </c>
      <c r="F750" s="1">
        <v>45189</v>
      </c>
      <c r="G750" t="s">
        <v>14</v>
      </c>
      <c r="H750" s="2">
        <v>12.84</v>
      </c>
      <c r="I750" s="2">
        <v>38.229999999999997</v>
      </c>
      <c r="J750" s="2">
        <v>35.57</v>
      </c>
      <c r="K750" s="2">
        <f t="shared" si="257"/>
        <v>311.38</v>
      </c>
      <c r="L750" s="2">
        <v>4.95</v>
      </c>
      <c r="M750" s="2">
        <v>0.09</v>
      </c>
      <c r="N750" s="6">
        <f t="shared" si="260"/>
        <v>5.8039523200992074</v>
      </c>
      <c r="O750" s="6">
        <f t="shared" si="261"/>
        <v>0.86176901612080981</v>
      </c>
      <c r="P750" s="6">
        <f t="shared" si="262"/>
        <v>97.187246998229085</v>
      </c>
      <c r="Q750" s="6">
        <f t="shared" si="258"/>
        <v>0.79080034863348969</v>
      </c>
      <c r="R750" s="10">
        <f t="shared" si="259"/>
        <v>7.9080034863348973E-4</v>
      </c>
      <c r="S750" s="3">
        <f t="shared" si="263"/>
        <v>1.4234406275402815E-2</v>
      </c>
      <c r="T750" s="4">
        <f t="shared" si="264"/>
        <v>1.4234406275402815E-5</v>
      </c>
      <c r="U750" s="3">
        <f t="shared" si="265"/>
        <v>5.1243862591450133E-2</v>
      </c>
      <c r="V750" s="2">
        <v>1.53</v>
      </c>
      <c r="W750" s="2">
        <v>0.24</v>
      </c>
      <c r="X750" s="2">
        <f t="shared" si="266"/>
        <v>2400</v>
      </c>
      <c r="Y750" s="5">
        <v>-0.26</v>
      </c>
      <c r="Z750" s="5">
        <v>-1.83</v>
      </c>
      <c r="AA750" s="2">
        <f t="shared" si="267"/>
        <v>1.57</v>
      </c>
      <c r="AB750" s="3">
        <f t="shared" si="268"/>
        <v>3.2639402924490531E-2</v>
      </c>
    </row>
    <row r="751" spans="1:28" x14ac:dyDescent="0.2">
      <c r="A751" t="s">
        <v>9</v>
      </c>
      <c r="B751">
        <v>1521</v>
      </c>
      <c r="C751">
        <v>156</v>
      </c>
      <c r="D751">
        <v>74</v>
      </c>
      <c r="E751" t="s">
        <v>12</v>
      </c>
      <c r="F751" s="1">
        <v>45190</v>
      </c>
      <c r="G751" t="s">
        <v>14</v>
      </c>
      <c r="H751" s="2">
        <v>11.04</v>
      </c>
      <c r="I751" s="2">
        <v>38.65</v>
      </c>
      <c r="J751" s="2">
        <v>35.909999999999997</v>
      </c>
      <c r="K751" s="2">
        <f t="shared" si="257"/>
        <v>311.79999999999995</v>
      </c>
      <c r="L751" s="2">
        <v>5.17</v>
      </c>
      <c r="M751" s="2">
        <v>0.08</v>
      </c>
      <c r="N751" s="6">
        <f t="shared" si="260"/>
        <v>5.9136700564738316</v>
      </c>
      <c r="O751" s="6">
        <f t="shared" si="261"/>
        <v>0.7579641311090366</v>
      </c>
      <c r="P751" s="6">
        <f t="shared" si="262"/>
        <v>97.192705391401759</v>
      </c>
      <c r="Q751" s="6">
        <f t="shared" si="258"/>
        <v>0.61212005858177998</v>
      </c>
      <c r="R751" s="10">
        <f t="shared" si="259"/>
        <v>6.1212005858178001E-4</v>
      </c>
      <c r="S751" s="3">
        <f t="shared" si="263"/>
        <v>1.101816105447204E-2</v>
      </c>
      <c r="T751" s="4">
        <f t="shared" si="264"/>
        <v>1.1018161054472041E-5</v>
      </c>
      <c r="U751" s="3">
        <f t="shared" si="265"/>
        <v>3.9665379796099347E-2</v>
      </c>
      <c r="V751" s="2">
        <v>2.2200000000000002</v>
      </c>
      <c r="W751" s="2">
        <v>0.32</v>
      </c>
      <c r="X751" s="2">
        <f t="shared" si="266"/>
        <v>3200</v>
      </c>
      <c r="Y751" s="5">
        <v>-0.35</v>
      </c>
      <c r="Z751" s="5">
        <v>-1.82</v>
      </c>
      <c r="AA751" s="2">
        <f t="shared" si="267"/>
        <v>1.4700000000000002</v>
      </c>
      <c r="AB751" s="3">
        <f t="shared" si="268"/>
        <v>2.698325156197234E-2</v>
      </c>
    </row>
    <row r="752" spans="1:28" x14ac:dyDescent="0.2">
      <c r="A752" t="s">
        <v>9</v>
      </c>
      <c r="B752">
        <v>1521</v>
      </c>
      <c r="C752">
        <v>156</v>
      </c>
      <c r="D752">
        <v>75</v>
      </c>
      <c r="E752" t="s">
        <v>12</v>
      </c>
      <c r="F752" s="1">
        <v>45190</v>
      </c>
      <c r="G752" t="s">
        <v>14</v>
      </c>
      <c r="H752" s="2">
        <v>11.39</v>
      </c>
      <c r="I752" s="2">
        <v>38.29</v>
      </c>
      <c r="J752" s="2">
        <v>33.909999999999997</v>
      </c>
      <c r="K752" s="2">
        <f t="shared" si="257"/>
        <v>311.44</v>
      </c>
      <c r="L752" s="2">
        <v>4.53</v>
      </c>
      <c r="M752" s="2">
        <v>0.09</v>
      </c>
      <c r="N752" s="6">
        <f t="shared" si="260"/>
        <v>5.2932876728310827</v>
      </c>
      <c r="O752" s="6">
        <f t="shared" si="261"/>
        <v>0.76693589762476322</v>
      </c>
      <c r="P752" s="6">
        <f t="shared" si="262"/>
        <v>97.18802765124866</v>
      </c>
      <c r="Q752" s="6">
        <f t="shared" si="258"/>
        <v>0.70683490770393076</v>
      </c>
      <c r="R752" s="10">
        <f t="shared" si="259"/>
        <v>7.0683490770393073E-4</v>
      </c>
      <c r="S752" s="3">
        <f t="shared" si="263"/>
        <v>1.2723028338670754E-2</v>
      </c>
      <c r="T752" s="4">
        <f t="shared" si="264"/>
        <v>1.2723028338670754E-5</v>
      </c>
      <c r="U752" s="3">
        <f t="shared" si="265"/>
        <v>4.5802902019214713E-2</v>
      </c>
      <c r="V752" s="2">
        <v>3.2</v>
      </c>
      <c r="W752" s="2">
        <v>0.59</v>
      </c>
      <c r="X752" s="2">
        <f t="shared" si="266"/>
        <v>5900</v>
      </c>
      <c r="Y752" s="5">
        <v>-0.31</v>
      </c>
      <c r="Z752" s="5">
        <v>-1.86</v>
      </c>
      <c r="AA752" s="2">
        <f t="shared" si="267"/>
        <v>1.55</v>
      </c>
      <c r="AB752" s="3">
        <f t="shared" si="268"/>
        <v>2.9550259367235297E-2</v>
      </c>
    </row>
    <row r="753" spans="1:28" x14ac:dyDescent="0.2">
      <c r="A753" t="s">
        <v>9</v>
      </c>
      <c r="B753">
        <v>1521</v>
      </c>
      <c r="C753">
        <v>157</v>
      </c>
      <c r="D753">
        <v>67</v>
      </c>
      <c r="E753" t="s">
        <v>12</v>
      </c>
      <c r="F753" s="1">
        <v>45190</v>
      </c>
      <c r="G753" t="s">
        <v>14</v>
      </c>
      <c r="H753" s="2">
        <v>12.38</v>
      </c>
      <c r="I753" s="2">
        <v>37.79</v>
      </c>
      <c r="J753" s="2">
        <v>35.200000000000003</v>
      </c>
      <c r="K753" s="2">
        <f t="shared" si="257"/>
        <v>310.94</v>
      </c>
      <c r="L753" s="2">
        <v>4.88</v>
      </c>
      <c r="M753" s="2">
        <v>0.08</v>
      </c>
      <c r="N753" s="6">
        <f t="shared" si="260"/>
        <v>5.6865673512752339</v>
      </c>
      <c r="O753" s="6">
        <f t="shared" si="261"/>
        <v>0.81131909026846971</v>
      </c>
      <c r="P753" s="6">
        <f t="shared" si="262"/>
        <v>97.1815131959778</v>
      </c>
      <c r="Q753" s="6">
        <f t="shared" si="258"/>
        <v>0.66396772369551182</v>
      </c>
      <c r="R753" s="10">
        <f t="shared" si="259"/>
        <v>6.6396772369551184E-4</v>
      </c>
      <c r="S753" s="3">
        <f t="shared" si="263"/>
        <v>1.1951419026519213E-2</v>
      </c>
      <c r="T753" s="4">
        <f t="shared" si="264"/>
        <v>1.1951419026519213E-5</v>
      </c>
      <c r="U753" s="3">
        <f t="shared" si="265"/>
        <v>4.3025108495469165E-2</v>
      </c>
      <c r="V753" s="2">
        <v>2.02</v>
      </c>
      <c r="W753" s="2">
        <v>0.35</v>
      </c>
      <c r="X753" s="2">
        <f t="shared" si="266"/>
        <v>3500</v>
      </c>
      <c r="Y753" s="5">
        <v>-0.57999999999999996</v>
      </c>
      <c r="Z753" s="5">
        <v>-2.08</v>
      </c>
      <c r="AA753" s="2">
        <f t="shared" si="267"/>
        <v>1.5</v>
      </c>
      <c r="AB753" s="3">
        <f t="shared" si="268"/>
        <v>2.8683405663646109E-2</v>
      </c>
    </row>
    <row r="754" spans="1:28" x14ac:dyDescent="0.2">
      <c r="A754" t="s">
        <v>9</v>
      </c>
      <c r="B754">
        <v>1521</v>
      </c>
      <c r="C754">
        <v>157</v>
      </c>
      <c r="D754">
        <v>68</v>
      </c>
      <c r="E754" t="s">
        <v>12</v>
      </c>
      <c r="F754" s="1">
        <v>45190</v>
      </c>
      <c r="G754" t="s">
        <v>14</v>
      </c>
      <c r="H754" s="2">
        <v>12.03</v>
      </c>
      <c r="I754" s="2">
        <v>37.159999999999997</v>
      </c>
      <c r="J754" s="2">
        <v>35.36</v>
      </c>
      <c r="K754" s="2">
        <f t="shared" si="257"/>
        <v>310.30999999999995</v>
      </c>
      <c r="L754" s="2">
        <v>4.9800000000000004</v>
      </c>
      <c r="M754" s="2">
        <v>0.11</v>
      </c>
      <c r="N754" s="6">
        <f t="shared" si="260"/>
        <v>5.7370727483379111</v>
      </c>
      <c r="O754" s="6">
        <f t="shared" si="261"/>
        <v>0.76182188845651433</v>
      </c>
      <c r="P754" s="6">
        <f t="shared" si="262"/>
        <v>97.173275717207957</v>
      </c>
      <c r="Q754" s="6">
        <f t="shared" si="258"/>
        <v>0.8570051971853293</v>
      </c>
      <c r="R754" s="10">
        <f t="shared" si="259"/>
        <v>8.5700519718532936E-4</v>
      </c>
      <c r="S754" s="3">
        <f t="shared" si="263"/>
        <v>1.5426093549335929E-2</v>
      </c>
      <c r="T754" s="4">
        <f t="shared" si="264"/>
        <v>1.5426093549335929E-5</v>
      </c>
      <c r="U754" s="3">
        <f t="shared" si="265"/>
        <v>5.5533936777609344E-2</v>
      </c>
      <c r="V754" s="2">
        <v>2.2400000000000002</v>
      </c>
      <c r="W754" s="2">
        <v>0.41</v>
      </c>
      <c r="X754" s="2">
        <f t="shared" si="266"/>
        <v>4100</v>
      </c>
      <c r="Y754" s="5">
        <v>-0.71</v>
      </c>
      <c r="Z754" s="5">
        <v>-2.42</v>
      </c>
      <c r="AA754" s="2">
        <f t="shared" si="267"/>
        <v>1.71</v>
      </c>
      <c r="AB754" s="3">
        <f t="shared" si="268"/>
        <v>3.2475986419654587E-2</v>
      </c>
    </row>
    <row r="755" spans="1:28" x14ac:dyDescent="0.2">
      <c r="A755" t="s">
        <v>9</v>
      </c>
      <c r="B755">
        <v>1521</v>
      </c>
      <c r="C755">
        <v>157</v>
      </c>
      <c r="D755">
        <v>72</v>
      </c>
      <c r="E755" t="s">
        <v>12</v>
      </c>
      <c r="F755" s="1">
        <v>45189</v>
      </c>
      <c r="G755" t="s">
        <v>14</v>
      </c>
      <c r="H755" s="2">
        <v>13.25</v>
      </c>
      <c r="I755" s="2">
        <v>37.979999999999997</v>
      </c>
      <c r="J755" s="2">
        <v>34.47</v>
      </c>
      <c r="K755" s="2">
        <f t="shared" si="257"/>
        <v>311.13</v>
      </c>
      <c r="L755" s="2">
        <v>4.59</v>
      </c>
      <c r="M755" s="2">
        <v>0.1</v>
      </c>
      <c r="N755" s="6">
        <f t="shared" si="260"/>
        <v>5.4610078408436618</v>
      </c>
      <c r="O755" s="6">
        <f t="shared" si="261"/>
        <v>0.87732868147205501</v>
      </c>
      <c r="P755" s="6">
        <f t="shared" si="262"/>
        <v>97.183991104022994</v>
      </c>
      <c r="Q755" s="6">
        <f t="shared" si="258"/>
        <v>0.89624621395859305</v>
      </c>
      <c r="R755" s="10">
        <f t="shared" si="259"/>
        <v>8.962462139585931E-4</v>
      </c>
      <c r="S755" s="3">
        <f t="shared" si="263"/>
        <v>1.6132431851254677E-2</v>
      </c>
      <c r="T755" s="4">
        <f t="shared" si="264"/>
        <v>1.6132431851254678E-5</v>
      </c>
      <c r="U755" s="3">
        <f t="shared" si="265"/>
        <v>5.8076754664516839E-2</v>
      </c>
      <c r="V755" s="2">
        <v>2.52</v>
      </c>
      <c r="W755" s="2">
        <v>0.46</v>
      </c>
      <c r="X755" s="2">
        <f t="shared" si="266"/>
        <v>4600</v>
      </c>
      <c r="Y755" s="5">
        <v>-0.59</v>
      </c>
      <c r="Z755" s="5">
        <v>-1.78</v>
      </c>
      <c r="AA755" s="2">
        <f t="shared" si="267"/>
        <v>1.19</v>
      </c>
      <c r="AB755" s="3">
        <f t="shared" si="268"/>
        <v>4.880399551640071E-2</v>
      </c>
    </row>
    <row r="756" spans="1:28" x14ac:dyDescent="0.2">
      <c r="A756" t="s">
        <v>9</v>
      </c>
      <c r="B756">
        <v>1521</v>
      </c>
      <c r="C756">
        <v>158</v>
      </c>
      <c r="D756">
        <v>70</v>
      </c>
      <c r="E756" t="s">
        <v>12</v>
      </c>
      <c r="F756" s="1">
        <v>45190</v>
      </c>
      <c r="G756" t="s">
        <v>14</v>
      </c>
      <c r="H756" s="2">
        <v>13.03</v>
      </c>
      <c r="I756" s="2">
        <v>37.53</v>
      </c>
      <c r="J756" s="2">
        <v>34.65</v>
      </c>
      <c r="K756" s="2">
        <f t="shared" si="257"/>
        <v>310.67999999999995</v>
      </c>
      <c r="L756" s="2">
        <v>4.68</v>
      </c>
      <c r="M756" s="2">
        <v>0.09</v>
      </c>
      <c r="N756" s="6">
        <f t="shared" si="260"/>
        <v>5.5158900308769079</v>
      </c>
      <c r="O756" s="6">
        <f t="shared" si="261"/>
        <v>0.84194038275636862</v>
      </c>
      <c r="P756" s="6">
        <f t="shared" si="262"/>
        <v>97.178117565671315</v>
      </c>
      <c r="Q756" s="6">
        <f t="shared" si="258"/>
        <v>0.77414653281467927</v>
      </c>
      <c r="R756" s="10">
        <f t="shared" si="259"/>
        <v>7.7414653281467928E-4</v>
      </c>
      <c r="S756" s="3">
        <f t="shared" si="263"/>
        <v>1.3934637590664227E-2</v>
      </c>
      <c r="T756" s="4">
        <f t="shared" si="264"/>
        <v>1.3934637590664228E-5</v>
      </c>
      <c r="U756" s="3">
        <f t="shared" si="265"/>
        <v>5.0164695326391222E-2</v>
      </c>
      <c r="V756" s="2">
        <v>1.21</v>
      </c>
      <c r="W756" s="2">
        <v>0.27</v>
      </c>
      <c r="X756" s="2">
        <f t="shared" si="266"/>
        <v>2700</v>
      </c>
      <c r="Y756" s="5">
        <v>-0.41</v>
      </c>
      <c r="Z756" s="5">
        <v>-1.93</v>
      </c>
      <c r="AA756" s="2">
        <f t="shared" si="267"/>
        <v>1.52</v>
      </c>
      <c r="AB756" s="3">
        <f t="shared" si="268"/>
        <v>3.3003089030520537E-2</v>
      </c>
    </row>
    <row r="757" spans="1:28" x14ac:dyDescent="0.2">
      <c r="A757" t="s">
        <v>9</v>
      </c>
      <c r="B757">
        <v>1521</v>
      </c>
      <c r="C757">
        <v>158</v>
      </c>
      <c r="D757">
        <v>73</v>
      </c>
      <c r="E757" t="s">
        <v>12</v>
      </c>
      <c r="F757" s="1">
        <v>45190</v>
      </c>
      <c r="G757" t="s">
        <v>14</v>
      </c>
      <c r="H757" s="2">
        <v>10.69</v>
      </c>
      <c r="I757" s="2">
        <v>38.6</v>
      </c>
      <c r="J757" s="2">
        <v>34.35</v>
      </c>
      <c r="K757" s="2">
        <f t="shared" si="257"/>
        <v>311.75</v>
      </c>
      <c r="L757" s="2">
        <v>4.7</v>
      </c>
      <c r="M757" s="2">
        <v>0.08</v>
      </c>
      <c r="N757" s="6">
        <f t="shared" si="260"/>
        <v>5.4246840169359016</v>
      </c>
      <c r="O757" s="6">
        <f t="shared" si="261"/>
        <v>0.73195734889404029</v>
      </c>
      <c r="P757" s="6">
        <f t="shared" si="262"/>
        <v>97.192056337856556</v>
      </c>
      <c r="Q757" s="6">
        <f t="shared" si="258"/>
        <v>0.59649649919271042</v>
      </c>
      <c r="R757" s="10">
        <f t="shared" si="259"/>
        <v>5.9649649919271046E-4</v>
      </c>
      <c r="S757" s="3">
        <f t="shared" si="263"/>
        <v>1.0736936985468789E-2</v>
      </c>
      <c r="T757" s="4">
        <f t="shared" si="264"/>
        <v>1.0736936985468789E-5</v>
      </c>
      <c r="U757" s="3">
        <f t="shared" si="265"/>
        <v>3.865297314768764E-2</v>
      </c>
      <c r="V757" s="2">
        <v>0.73</v>
      </c>
      <c r="W757" s="2">
        <v>0.16</v>
      </c>
      <c r="X757" s="2">
        <f t="shared" si="266"/>
        <v>1600</v>
      </c>
      <c r="Y757" s="5">
        <v>-0.43</v>
      </c>
      <c r="Z757" s="5">
        <v>-2.04</v>
      </c>
      <c r="AA757" s="2">
        <f t="shared" si="267"/>
        <v>1.61</v>
      </c>
      <c r="AB757" s="3">
        <f t="shared" si="268"/>
        <v>2.4008057855706606E-2</v>
      </c>
    </row>
    <row r="758" spans="1:28" x14ac:dyDescent="0.2">
      <c r="A758" t="s">
        <v>9</v>
      </c>
      <c r="B758">
        <v>1521</v>
      </c>
      <c r="C758">
        <v>158</v>
      </c>
      <c r="D758">
        <v>81</v>
      </c>
      <c r="E758" t="s">
        <v>12</v>
      </c>
      <c r="F758" s="1">
        <v>45190</v>
      </c>
      <c r="G758" t="s">
        <v>14</v>
      </c>
      <c r="H758" s="2">
        <v>13.22</v>
      </c>
      <c r="I758" s="2">
        <v>37.79</v>
      </c>
      <c r="J758" s="2">
        <v>38.340000000000003</v>
      </c>
      <c r="K758" s="2">
        <f t="shared" si="257"/>
        <v>310.94</v>
      </c>
      <c r="L758" s="2">
        <v>5.9</v>
      </c>
      <c r="M758" s="2">
        <v>0.06</v>
      </c>
      <c r="N758" s="6">
        <f t="shared" si="260"/>
        <v>6.7516427535437087</v>
      </c>
      <c r="O758" s="6">
        <f t="shared" si="261"/>
        <v>0.86636820463240471</v>
      </c>
      <c r="P758" s="6">
        <f t="shared" si="262"/>
        <v>97.1815131959778</v>
      </c>
      <c r="Q758" s="6">
        <f t="shared" si="258"/>
        <v>0.52580540817034116</v>
      </c>
      <c r="R758" s="10">
        <f t="shared" si="259"/>
        <v>5.2580540817034113E-4</v>
      </c>
      <c r="S758" s="3">
        <f t="shared" si="263"/>
        <v>9.4644973470661403E-3</v>
      </c>
      <c r="T758" s="4">
        <f t="shared" si="264"/>
        <v>9.4644973470661401E-6</v>
      </c>
      <c r="U758" s="3">
        <f t="shared" si="265"/>
        <v>3.4072190449438107E-2</v>
      </c>
      <c r="V758" s="2">
        <v>0.69</v>
      </c>
      <c r="W758" s="2">
        <v>0.22</v>
      </c>
      <c r="X758" s="2">
        <f t="shared" si="266"/>
        <v>2200</v>
      </c>
      <c r="Y758" s="5">
        <v>-0.4</v>
      </c>
      <c r="Z758" s="5">
        <v>-1.77</v>
      </c>
      <c r="AA758" s="2">
        <f t="shared" si="267"/>
        <v>1.37</v>
      </c>
      <c r="AB758" s="3">
        <f t="shared" si="268"/>
        <v>2.4870212006889127E-2</v>
      </c>
    </row>
    <row r="759" spans="1:28" x14ac:dyDescent="0.2">
      <c r="A759" t="s">
        <v>10</v>
      </c>
      <c r="B759">
        <v>666</v>
      </c>
      <c r="C759">
        <v>101</v>
      </c>
      <c r="D759">
        <v>1</v>
      </c>
      <c r="E759" t="s">
        <v>12</v>
      </c>
      <c r="F759" s="1">
        <v>45189</v>
      </c>
      <c r="G759" t="s">
        <v>14</v>
      </c>
      <c r="H759" s="2">
        <v>11.78</v>
      </c>
      <c r="I759" s="2">
        <v>38.909999999999997</v>
      </c>
      <c r="J759" s="2">
        <v>34.619999999999997</v>
      </c>
      <c r="K759" s="2">
        <f t="shared" si="257"/>
        <v>312.05999999999995</v>
      </c>
      <c r="L759" s="2">
        <v>4.7</v>
      </c>
      <c r="M759" s="2">
        <v>0.14000000000000001</v>
      </c>
      <c r="N759" s="6">
        <f t="shared" si="260"/>
        <v>5.5067098407641053</v>
      </c>
      <c r="O759" s="6">
        <f t="shared" si="261"/>
        <v>0.82018151715628607</v>
      </c>
      <c r="P759" s="6">
        <f t="shared" si="262"/>
        <v>97.196077186782091</v>
      </c>
      <c r="Q759" s="6">
        <f t="shared" si="258"/>
        <v>1.1619746493465848</v>
      </c>
      <c r="R759" s="10">
        <f t="shared" si="259"/>
        <v>1.1619746493465848E-3</v>
      </c>
      <c r="S759" s="3">
        <f t="shared" si="263"/>
        <v>2.0915543688238527E-2</v>
      </c>
      <c r="T759" s="4">
        <f t="shared" si="264"/>
        <v>2.0915543688238526E-5</v>
      </c>
      <c r="U759" s="3">
        <f t="shared" si="265"/>
        <v>7.5295957277658698E-2</v>
      </c>
      <c r="V759" s="2">
        <v>5.48</v>
      </c>
      <c r="W759" s="2">
        <v>0.73</v>
      </c>
      <c r="X759" s="2">
        <f t="shared" si="266"/>
        <v>7300</v>
      </c>
      <c r="Y759" s="5">
        <v>-0.39</v>
      </c>
      <c r="Z759" s="5">
        <v>-2.34</v>
      </c>
      <c r="AA759" s="2">
        <f t="shared" si="267"/>
        <v>1.9499999999999997</v>
      </c>
      <c r="AB759" s="3">
        <f t="shared" si="268"/>
        <v>3.8613311424440362E-2</v>
      </c>
    </row>
    <row r="760" spans="1:28" x14ac:dyDescent="0.2">
      <c r="A760" t="s">
        <v>10</v>
      </c>
      <c r="B760">
        <v>666</v>
      </c>
      <c r="C760">
        <v>101</v>
      </c>
      <c r="D760">
        <v>2</v>
      </c>
      <c r="E760" t="s">
        <v>12</v>
      </c>
      <c r="F760" s="1">
        <v>45189</v>
      </c>
      <c r="G760" t="s">
        <v>14</v>
      </c>
      <c r="H760" s="2">
        <v>12.84</v>
      </c>
      <c r="I760" s="2">
        <v>38.4</v>
      </c>
      <c r="J760" s="2">
        <v>34.76</v>
      </c>
      <c r="K760" s="2">
        <f t="shared" si="257"/>
        <v>311.54999999999995</v>
      </c>
      <c r="L760" s="2">
        <v>4.68</v>
      </c>
      <c r="M760" s="2">
        <v>0.12</v>
      </c>
      <c r="N760" s="6">
        <f t="shared" si="260"/>
        <v>5.5496646482234926</v>
      </c>
      <c r="O760" s="6">
        <f t="shared" si="261"/>
        <v>0.86972681195764079</v>
      </c>
      <c r="P760" s="6">
        <f t="shared" si="262"/>
        <v>97.189458083777325</v>
      </c>
      <c r="Q760" s="6">
        <f t="shared" si="258"/>
        <v>1.073776516964021</v>
      </c>
      <c r="R760" s="10">
        <f t="shared" si="259"/>
        <v>1.0737765169640209E-3</v>
      </c>
      <c r="S760" s="3">
        <f t="shared" si="263"/>
        <v>1.9327977305352375E-2</v>
      </c>
      <c r="T760" s="4">
        <f t="shared" si="264"/>
        <v>1.9327977305352375E-5</v>
      </c>
      <c r="U760" s="3">
        <f t="shared" si="265"/>
        <v>6.9580718299268554E-2</v>
      </c>
      <c r="V760" s="2">
        <v>4.08</v>
      </c>
      <c r="W760" s="2">
        <v>0.49</v>
      </c>
      <c r="X760" s="2">
        <f t="shared" si="266"/>
        <v>4900</v>
      </c>
      <c r="Y760" s="5">
        <v>-0.32</v>
      </c>
      <c r="Z760" s="5">
        <v>-2.02</v>
      </c>
      <c r="AA760" s="2">
        <f t="shared" si="267"/>
        <v>1.7</v>
      </c>
      <c r="AB760" s="3">
        <f t="shared" si="268"/>
        <v>4.0929834293687385E-2</v>
      </c>
    </row>
    <row r="761" spans="1:28" x14ac:dyDescent="0.2">
      <c r="A761" t="s">
        <v>10</v>
      </c>
      <c r="B761">
        <v>666</v>
      </c>
      <c r="C761">
        <v>101</v>
      </c>
      <c r="D761">
        <v>3</v>
      </c>
      <c r="E761" t="s">
        <v>12</v>
      </c>
      <c r="F761" s="1">
        <v>45189</v>
      </c>
      <c r="G761" t="s">
        <v>14</v>
      </c>
      <c r="H761" s="2">
        <v>12.52</v>
      </c>
      <c r="I761" s="2">
        <v>38.409999999999997</v>
      </c>
      <c r="J761" s="2">
        <v>34.08</v>
      </c>
      <c r="K761" s="2">
        <f t="shared" si="257"/>
        <v>311.55999999999995</v>
      </c>
      <c r="L761" s="2">
        <v>4.51</v>
      </c>
      <c r="M761" s="2">
        <v>0.16</v>
      </c>
      <c r="N761" s="6">
        <f t="shared" si="260"/>
        <v>5.3437225670417936</v>
      </c>
      <c r="O761" s="6">
        <f t="shared" si="261"/>
        <v>0.84850974622599529</v>
      </c>
      <c r="P761" s="6">
        <f t="shared" si="262"/>
        <v>97.189588074055891</v>
      </c>
      <c r="Q761" s="6">
        <f t="shared" si="258"/>
        <v>1.3725298498543186</v>
      </c>
      <c r="R761" s="10">
        <f t="shared" si="259"/>
        <v>1.3725298498543186E-3</v>
      </c>
      <c r="S761" s="3">
        <f t="shared" si="263"/>
        <v>2.4705537297377733E-2</v>
      </c>
      <c r="T761" s="4">
        <f t="shared" si="264"/>
        <v>2.4705537297377734E-5</v>
      </c>
      <c r="U761" s="3">
        <f t="shared" si="265"/>
        <v>8.8939934270559837E-2</v>
      </c>
      <c r="V761" s="2">
        <v>6.39</v>
      </c>
      <c r="W761" s="2">
        <v>0.75</v>
      </c>
      <c r="X761" s="2">
        <f t="shared" si="266"/>
        <v>7500</v>
      </c>
      <c r="Y761" s="5">
        <v>-0.49</v>
      </c>
      <c r="Z761" s="5">
        <v>-2.02</v>
      </c>
      <c r="AA761" s="2">
        <f t="shared" si="267"/>
        <v>1.53</v>
      </c>
      <c r="AB761" s="3">
        <f t="shared" si="268"/>
        <v>5.8130675993829956E-2</v>
      </c>
    </row>
    <row r="762" spans="1:28" x14ac:dyDescent="0.2">
      <c r="A762" t="s">
        <v>10</v>
      </c>
      <c r="B762">
        <v>666</v>
      </c>
      <c r="C762">
        <v>105</v>
      </c>
      <c r="D762">
        <v>7</v>
      </c>
      <c r="E762" t="s">
        <v>12</v>
      </c>
      <c r="F762" s="1">
        <v>45189</v>
      </c>
      <c r="G762" t="s">
        <v>14</v>
      </c>
      <c r="H762" s="2">
        <v>13.38</v>
      </c>
      <c r="I762" s="2">
        <v>38.32</v>
      </c>
      <c r="J762" s="2">
        <v>36.5</v>
      </c>
      <c r="K762" s="2">
        <f t="shared" si="257"/>
        <v>311.46999999999997</v>
      </c>
      <c r="L762" s="2">
        <v>5.23</v>
      </c>
      <c r="M762" s="2">
        <v>7.0000000000000007E-2</v>
      </c>
      <c r="N762" s="6">
        <f t="shared" si="260"/>
        <v>6.1083424025962145</v>
      </c>
      <c r="O762" s="6">
        <f t="shared" si="261"/>
        <v>0.90239353125614419</v>
      </c>
      <c r="P762" s="6">
        <f t="shared" si="262"/>
        <v>97.188417867323224</v>
      </c>
      <c r="Q762" s="6">
        <f t="shared" si="258"/>
        <v>0.63262649532652993</v>
      </c>
      <c r="R762" s="10">
        <f t="shared" si="259"/>
        <v>6.3262649532652997E-4</v>
      </c>
      <c r="S762" s="3">
        <f t="shared" si="263"/>
        <v>1.1387276915877539E-2</v>
      </c>
      <c r="T762" s="4">
        <f t="shared" si="264"/>
        <v>1.1387276915877538E-5</v>
      </c>
      <c r="U762" s="3">
        <f t="shared" si="265"/>
        <v>4.0994196897159135E-2</v>
      </c>
      <c r="V762" s="2">
        <v>3.32</v>
      </c>
      <c r="W762" s="2">
        <v>0.56000000000000005</v>
      </c>
      <c r="X762" s="2">
        <f t="shared" si="266"/>
        <v>5600.0000000000009</v>
      </c>
      <c r="Y762" s="5">
        <v>-0.15</v>
      </c>
      <c r="Z762" s="5">
        <v>-1.69</v>
      </c>
      <c r="AA762" s="2">
        <f t="shared" si="267"/>
        <v>1.54</v>
      </c>
      <c r="AB762" s="3">
        <f t="shared" si="268"/>
        <v>2.6619608374778659E-2</v>
      </c>
    </row>
    <row r="763" spans="1:28" x14ac:dyDescent="0.2">
      <c r="A763" t="s">
        <v>10</v>
      </c>
      <c r="B763">
        <v>666</v>
      </c>
      <c r="C763">
        <v>105</v>
      </c>
      <c r="D763">
        <v>8</v>
      </c>
      <c r="E763" t="s">
        <v>12</v>
      </c>
      <c r="F763" s="1">
        <v>45189</v>
      </c>
      <c r="G763" t="s">
        <v>14</v>
      </c>
      <c r="H763" s="2">
        <v>13.58</v>
      </c>
      <c r="I763" s="2">
        <v>38.08</v>
      </c>
      <c r="J763" s="2">
        <v>32.83</v>
      </c>
      <c r="K763" s="2">
        <f t="shared" si="257"/>
        <v>311.22999999999996</v>
      </c>
      <c r="L763" s="2">
        <v>4.08</v>
      </c>
      <c r="M763" s="2">
        <v>0.25</v>
      </c>
      <c r="N763" s="6">
        <f t="shared" si="260"/>
        <v>4.982439812924091</v>
      </c>
      <c r="O763" s="6">
        <f t="shared" si="261"/>
        <v>0.90406414244402766</v>
      </c>
      <c r="P763" s="6">
        <f t="shared" si="262"/>
        <v>97.185294076296529</v>
      </c>
      <c r="Q763" s="6">
        <f t="shared" si="258"/>
        <v>2.321441277462255</v>
      </c>
      <c r="R763" s="10">
        <f t="shared" si="259"/>
        <v>2.321441277462255E-3</v>
      </c>
      <c r="S763" s="3">
        <f t="shared" si="263"/>
        <v>4.1785942994320591E-2</v>
      </c>
      <c r="T763" s="4">
        <f t="shared" si="264"/>
        <v>4.178594299432059E-5</v>
      </c>
      <c r="U763" s="3">
        <f t="shared" si="265"/>
        <v>0.15042939477955414</v>
      </c>
      <c r="V763" s="2">
        <v>1.18</v>
      </c>
      <c r="W763" s="2">
        <v>0.18</v>
      </c>
      <c r="X763" s="2">
        <f t="shared" si="266"/>
        <v>1800</v>
      </c>
      <c r="Y763" s="5">
        <v>-0.52</v>
      </c>
      <c r="Z763" s="5">
        <v>-1.94</v>
      </c>
      <c r="AA763" s="2">
        <f t="shared" si="267"/>
        <v>1.42</v>
      </c>
      <c r="AB763" s="3">
        <f t="shared" si="268"/>
        <v>0.10593619350672827</v>
      </c>
    </row>
    <row r="764" spans="1:28" x14ac:dyDescent="0.2">
      <c r="A764" t="s">
        <v>10</v>
      </c>
      <c r="B764">
        <v>666</v>
      </c>
      <c r="C764">
        <v>105</v>
      </c>
      <c r="D764">
        <v>9</v>
      </c>
      <c r="E764" t="s">
        <v>12</v>
      </c>
      <c r="F764" s="1">
        <v>45190</v>
      </c>
      <c r="G764" t="s">
        <v>14</v>
      </c>
      <c r="H764" s="2">
        <v>12.39</v>
      </c>
      <c r="I764" s="2">
        <v>37.96</v>
      </c>
      <c r="J764" s="2">
        <v>34.1</v>
      </c>
      <c r="K764" s="2">
        <f t="shared" si="257"/>
        <v>311.10999999999996</v>
      </c>
      <c r="L764" s="2">
        <v>4.53</v>
      </c>
      <c r="M764" s="2">
        <v>0.15</v>
      </c>
      <c r="N764" s="6">
        <f t="shared" si="260"/>
        <v>5.3496834664484094</v>
      </c>
      <c r="O764" s="6">
        <f t="shared" si="261"/>
        <v>0.81949620751508867</v>
      </c>
      <c r="P764" s="6">
        <f t="shared" si="262"/>
        <v>97.183730411150151</v>
      </c>
      <c r="Q764" s="6">
        <f t="shared" si="258"/>
        <v>1.2651553860619731</v>
      </c>
      <c r="R764" s="10">
        <f t="shared" si="259"/>
        <v>1.265155386061973E-3</v>
      </c>
      <c r="S764" s="3">
        <f t="shared" si="263"/>
        <v>2.2772796949115513E-2</v>
      </c>
      <c r="T764" s="4">
        <f t="shared" si="264"/>
        <v>2.2772796949115514E-5</v>
      </c>
      <c r="U764" s="3">
        <f t="shared" si="265"/>
        <v>8.1982069016815845E-2</v>
      </c>
      <c r="V764" s="2">
        <v>4.63</v>
      </c>
      <c r="W764" s="2">
        <v>0.75</v>
      </c>
      <c r="X764" s="2">
        <f t="shared" si="266"/>
        <v>7500</v>
      </c>
      <c r="Y764" s="5">
        <v>-0.21</v>
      </c>
      <c r="Z764" s="5">
        <v>-1.89</v>
      </c>
      <c r="AA764" s="2">
        <f t="shared" si="267"/>
        <v>1.68</v>
      </c>
      <c r="AB764" s="3">
        <f t="shared" si="268"/>
        <v>4.879885060524753E-2</v>
      </c>
    </row>
    <row r="765" spans="1:28" x14ac:dyDescent="0.2">
      <c r="A765" t="s">
        <v>10</v>
      </c>
      <c r="B765">
        <v>666</v>
      </c>
      <c r="C765">
        <v>118</v>
      </c>
      <c r="D765">
        <v>10</v>
      </c>
      <c r="E765" t="s">
        <v>12</v>
      </c>
      <c r="F765" s="1">
        <v>45190</v>
      </c>
      <c r="G765" t="s">
        <v>14</v>
      </c>
      <c r="H765" s="2">
        <v>13.75</v>
      </c>
      <c r="I765" s="2">
        <v>37.61</v>
      </c>
      <c r="J765" s="2">
        <v>34.479999999999997</v>
      </c>
      <c r="K765" s="2">
        <f t="shared" si="257"/>
        <v>310.76</v>
      </c>
      <c r="L765" s="2">
        <v>4.58</v>
      </c>
      <c r="M765" s="2">
        <v>0.13</v>
      </c>
      <c r="N765" s="6">
        <f t="shared" ref="N765:N788" si="269">0.611*EXP((17.502*J765)/(240.97+J765))</f>
        <v>5.4640443485258263</v>
      </c>
      <c r="O765" s="6">
        <f t="shared" ref="O765:O788" si="270">(0.611*EXP((17.502*I765)/(240.97+I765)))*(H765/100)</f>
        <v>0.89233569465970419</v>
      </c>
      <c r="P765" s="6">
        <f t="shared" ref="P765:P788" si="271">101.325*EXP(-380/(29.27*K765))</f>
        <v>97.179162967534978</v>
      </c>
      <c r="Q765" s="6">
        <f t="shared" si="258"/>
        <v>1.1826173615711335</v>
      </c>
      <c r="R765" s="10">
        <f t="shared" si="259"/>
        <v>1.1826173615711335E-3</v>
      </c>
      <c r="S765" s="3">
        <f t="shared" ref="S765:S788" si="272">R765*18</f>
        <v>2.1287112508280401E-2</v>
      </c>
      <c r="T765" s="4">
        <f t="shared" ref="T765:T788" si="273">S765/1000</f>
        <v>2.12871125082804E-5</v>
      </c>
      <c r="U765" s="3">
        <f t="shared" ref="U765:U788" si="274">T765*3600</f>
        <v>7.663360502980944E-2</v>
      </c>
      <c r="V765" s="2">
        <v>10.06</v>
      </c>
      <c r="W765" s="2">
        <v>1.55</v>
      </c>
      <c r="X765" s="2">
        <f t="shared" ref="X765:X788" si="275">W765*10000</f>
        <v>15500</v>
      </c>
      <c r="Y765" s="5">
        <v>-0.67</v>
      </c>
      <c r="Z765" s="5">
        <v>-1.98</v>
      </c>
      <c r="AA765" s="2">
        <f t="shared" ref="AA765:AA788" si="276">Y765-Z765</f>
        <v>1.31</v>
      </c>
      <c r="AB765" s="3">
        <f t="shared" ref="AB765:AB788" si="277">U765/AA765</f>
        <v>5.8498935137259109E-2</v>
      </c>
    </row>
    <row r="766" spans="1:28" x14ac:dyDescent="0.2">
      <c r="A766" t="s">
        <v>10</v>
      </c>
      <c r="B766">
        <v>666</v>
      </c>
      <c r="C766">
        <v>118</v>
      </c>
      <c r="D766">
        <v>11</v>
      </c>
      <c r="E766" t="s">
        <v>12</v>
      </c>
      <c r="F766" s="1">
        <v>45190</v>
      </c>
      <c r="G766" t="s">
        <v>14</v>
      </c>
      <c r="H766" s="2">
        <v>11.04</v>
      </c>
      <c r="I766" s="2">
        <v>38.61</v>
      </c>
      <c r="J766" s="2">
        <v>37.21</v>
      </c>
      <c r="K766" s="2">
        <f t="shared" si="257"/>
        <v>311.76</v>
      </c>
      <c r="L766" s="2">
        <v>5.61</v>
      </c>
      <c r="M766" s="2">
        <v>7.0000000000000007E-2</v>
      </c>
      <c r="N766" s="6">
        <f t="shared" si="269"/>
        <v>6.3499673288181979</v>
      </c>
      <c r="O766" s="6">
        <f t="shared" si="270"/>
        <v>0.75633026498810907</v>
      </c>
      <c r="P766" s="6">
        <f t="shared" si="271"/>
        <v>97.19218616487403</v>
      </c>
      <c r="Q766" s="6">
        <f t="shared" si="258"/>
        <v>0.53294112480817835</v>
      </c>
      <c r="R766" s="10">
        <f t="shared" si="259"/>
        <v>5.3294112480817832E-4</v>
      </c>
      <c r="S766" s="3">
        <f t="shared" si="272"/>
        <v>9.5929402465472092E-3</v>
      </c>
      <c r="T766" s="4">
        <f t="shared" si="273"/>
        <v>9.5929402465472085E-6</v>
      </c>
      <c r="U766" s="3">
        <f t="shared" si="274"/>
        <v>3.4534584887569948E-2</v>
      </c>
      <c r="V766" s="2">
        <v>2.44</v>
      </c>
      <c r="W766" s="2">
        <v>0.45</v>
      </c>
      <c r="X766" s="2">
        <f t="shared" si="275"/>
        <v>4500</v>
      </c>
      <c r="Y766" s="5">
        <v>-0.62</v>
      </c>
      <c r="Z766" s="5">
        <v>-2.21</v>
      </c>
      <c r="AA766" s="2">
        <f t="shared" si="276"/>
        <v>1.5899999999999999</v>
      </c>
      <c r="AB766" s="3">
        <f t="shared" si="277"/>
        <v>2.171986470916349E-2</v>
      </c>
    </row>
    <row r="767" spans="1:28" x14ac:dyDescent="0.2">
      <c r="A767" t="s">
        <v>10</v>
      </c>
      <c r="B767">
        <v>666</v>
      </c>
      <c r="C767">
        <v>118</v>
      </c>
      <c r="D767">
        <v>12</v>
      </c>
      <c r="E767" t="s">
        <v>12</v>
      </c>
      <c r="F767" s="1">
        <v>45189</v>
      </c>
      <c r="G767" t="s">
        <v>14</v>
      </c>
      <c r="H767" s="2">
        <v>13.07</v>
      </c>
      <c r="I767" s="2">
        <v>38.75</v>
      </c>
      <c r="J767" s="2">
        <v>36.15</v>
      </c>
      <c r="K767" s="2">
        <f t="shared" si="257"/>
        <v>311.89999999999998</v>
      </c>
      <c r="L767" s="2">
        <v>5.1100000000000003</v>
      </c>
      <c r="M767" s="2">
        <v>0.06</v>
      </c>
      <c r="N767" s="6">
        <f t="shared" si="269"/>
        <v>5.9921985441404875</v>
      </c>
      <c r="O767" s="6">
        <f t="shared" si="270"/>
        <v>0.90218776437592896</v>
      </c>
      <c r="P767" s="6">
        <f t="shared" si="271"/>
        <v>97.194002887194969</v>
      </c>
      <c r="Q767" s="6">
        <f t="shared" si="258"/>
        <v>0.5446006037004455</v>
      </c>
      <c r="R767" s="10">
        <f t="shared" si="259"/>
        <v>5.4460060370044555E-4</v>
      </c>
      <c r="S767" s="3">
        <f t="shared" si="272"/>
        <v>9.8028108666080201E-3</v>
      </c>
      <c r="T767" s="4">
        <f t="shared" si="273"/>
        <v>9.8028108666080204E-6</v>
      </c>
      <c r="U767" s="3">
        <f t="shared" si="274"/>
        <v>3.5290119119788875E-2</v>
      </c>
      <c r="V767" s="2">
        <v>1.93</v>
      </c>
      <c r="W767" s="2">
        <v>0.33</v>
      </c>
      <c r="X767" s="2">
        <f t="shared" si="275"/>
        <v>3300</v>
      </c>
      <c r="Y767" s="5">
        <v>-0.21</v>
      </c>
      <c r="Z767" s="5">
        <v>-2.1800000000000002</v>
      </c>
      <c r="AA767" s="2">
        <f t="shared" si="276"/>
        <v>1.9700000000000002</v>
      </c>
      <c r="AB767" s="3">
        <f t="shared" si="277"/>
        <v>1.7913766050654249E-2</v>
      </c>
    </row>
    <row r="768" spans="1:28" x14ac:dyDescent="0.2">
      <c r="A768" t="s">
        <v>10</v>
      </c>
      <c r="B768">
        <v>666</v>
      </c>
      <c r="C768">
        <v>122</v>
      </c>
      <c r="D768">
        <v>16</v>
      </c>
      <c r="E768" t="s">
        <v>12</v>
      </c>
      <c r="F768" s="1">
        <v>45190</v>
      </c>
      <c r="G768" t="s">
        <v>14</v>
      </c>
      <c r="H768" s="2">
        <v>11.22</v>
      </c>
      <c r="I768" s="2">
        <v>38.21</v>
      </c>
      <c r="J768" s="2">
        <v>34.270000000000003</v>
      </c>
      <c r="K768" s="2">
        <f t="shared" si="257"/>
        <v>311.35999999999996</v>
      </c>
      <c r="L768" s="2">
        <v>4.6500000000000004</v>
      </c>
      <c r="M768" s="2">
        <v>7.0000000000000007E-2</v>
      </c>
      <c r="N768" s="6">
        <f t="shared" si="269"/>
        <v>5.4005850004516267</v>
      </c>
      <c r="O768" s="6">
        <f t="shared" si="270"/>
        <v>0.75222669912111717</v>
      </c>
      <c r="P768" s="6">
        <f t="shared" si="271"/>
        <v>97.186986715090157</v>
      </c>
      <c r="Q768" s="6">
        <f t="shared" si="258"/>
        <v>0.54061713206152784</v>
      </c>
      <c r="R768" s="10">
        <f t="shared" si="259"/>
        <v>5.406171320615278E-4</v>
      </c>
      <c r="S768" s="3">
        <f t="shared" si="272"/>
        <v>9.7311083771075002E-3</v>
      </c>
      <c r="T768" s="4">
        <f t="shared" si="273"/>
        <v>9.7311083771075004E-6</v>
      </c>
      <c r="U768" s="3">
        <f t="shared" si="274"/>
        <v>3.5031990157587005E-2</v>
      </c>
      <c r="V768" s="2">
        <v>8.4700000000000006</v>
      </c>
      <c r="W768" s="2">
        <v>1.37</v>
      </c>
      <c r="X768" s="2">
        <f t="shared" si="275"/>
        <v>13700.000000000002</v>
      </c>
      <c r="Y768" s="5">
        <v>-0.39</v>
      </c>
      <c r="Z768" s="5">
        <v>-1.67</v>
      </c>
      <c r="AA768" s="2">
        <f t="shared" si="276"/>
        <v>1.2799999999999998</v>
      </c>
      <c r="AB768" s="3">
        <f t="shared" si="277"/>
        <v>2.7368742310614851E-2</v>
      </c>
    </row>
    <row r="769" spans="1:28" x14ac:dyDescent="0.2">
      <c r="A769" t="s">
        <v>10</v>
      </c>
      <c r="B769">
        <v>666</v>
      </c>
      <c r="C769">
        <v>122</v>
      </c>
      <c r="D769">
        <v>17</v>
      </c>
      <c r="E769" t="s">
        <v>12</v>
      </c>
      <c r="F769" s="1">
        <v>45190</v>
      </c>
      <c r="G769" t="s">
        <v>14</v>
      </c>
      <c r="H769" s="2">
        <v>12.97</v>
      </c>
      <c r="I769" s="2">
        <v>38.409999999999997</v>
      </c>
      <c r="J769" s="2">
        <v>34.11</v>
      </c>
      <c r="K769" s="2">
        <f t="shared" si="257"/>
        <v>311.55999999999995</v>
      </c>
      <c r="L769" s="2">
        <v>4.47</v>
      </c>
      <c r="M769" s="2">
        <v>0.08</v>
      </c>
      <c r="N769" s="6">
        <f t="shared" si="269"/>
        <v>5.3526660837894235</v>
      </c>
      <c r="O769" s="6">
        <f t="shared" si="270"/>
        <v>0.87900730100248881</v>
      </c>
      <c r="P769" s="6">
        <f t="shared" si="271"/>
        <v>97.189588074055891</v>
      </c>
      <c r="Q769" s="6">
        <f t="shared" si="258"/>
        <v>0.72655197025167406</v>
      </c>
      <c r="R769" s="10">
        <f t="shared" si="259"/>
        <v>7.2655197025167401E-4</v>
      </c>
      <c r="S769" s="3">
        <f t="shared" si="272"/>
        <v>1.3077935464530132E-2</v>
      </c>
      <c r="T769" s="4">
        <f t="shared" si="273"/>
        <v>1.3077935464530132E-5</v>
      </c>
      <c r="U769" s="3">
        <f t="shared" si="274"/>
        <v>4.7080567672308477E-2</v>
      </c>
      <c r="V769" s="2">
        <v>8.18</v>
      </c>
      <c r="W769" s="2">
        <v>1.23</v>
      </c>
      <c r="X769" s="2">
        <f t="shared" si="275"/>
        <v>12300</v>
      </c>
      <c r="Y769" s="5">
        <v>-0.44</v>
      </c>
      <c r="Z769" s="5">
        <v>-1.84</v>
      </c>
      <c r="AA769" s="2">
        <f t="shared" si="276"/>
        <v>1.4000000000000001</v>
      </c>
      <c r="AB769" s="3">
        <f t="shared" si="277"/>
        <v>3.3628976908791769E-2</v>
      </c>
    </row>
    <row r="770" spans="1:28" x14ac:dyDescent="0.2">
      <c r="A770" t="s">
        <v>10</v>
      </c>
      <c r="B770">
        <v>666</v>
      </c>
      <c r="C770">
        <v>122</v>
      </c>
      <c r="D770">
        <v>18</v>
      </c>
      <c r="E770" t="s">
        <v>12</v>
      </c>
      <c r="F770" s="1">
        <v>45189</v>
      </c>
      <c r="G770" t="s">
        <v>14</v>
      </c>
      <c r="H770" s="2">
        <v>13.88</v>
      </c>
      <c r="I770" s="2">
        <v>38.369999999999997</v>
      </c>
      <c r="J770" s="2">
        <v>34.18</v>
      </c>
      <c r="K770" s="2">
        <f t="shared" si="257"/>
        <v>311.52</v>
      </c>
      <c r="L770" s="2">
        <v>4.4400000000000004</v>
      </c>
      <c r="M770" s="2">
        <v>0.19</v>
      </c>
      <c r="N770" s="6">
        <f t="shared" si="269"/>
        <v>5.3735849226153292</v>
      </c>
      <c r="O770" s="6">
        <f t="shared" si="270"/>
        <v>0.93864892378592824</v>
      </c>
      <c r="P770" s="6">
        <f t="shared" si="271"/>
        <v>97.189068063911748</v>
      </c>
      <c r="Q770" s="6">
        <f t="shared" si="258"/>
        <v>1.8251140671527608</v>
      </c>
      <c r="R770" s="10">
        <f t="shared" si="259"/>
        <v>1.8251140671527609E-3</v>
      </c>
      <c r="S770" s="3">
        <f t="shared" si="272"/>
        <v>3.2852053208749697E-2</v>
      </c>
      <c r="T770" s="4">
        <f t="shared" si="273"/>
        <v>3.2852053208749699E-5</v>
      </c>
      <c r="U770" s="3">
        <f t="shared" si="274"/>
        <v>0.11826739155149892</v>
      </c>
      <c r="V770" s="2">
        <v>7.71</v>
      </c>
      <c r="W770" s="2">
        <v>1.2</v>
      </c>
      <c r="X770" s="2">
        <f t="shared" si="275"/>
        <v>12000</v>
      </c>
      <c r="Y770" s="5">
        <v>-0.52</v>
      </c>
      <c r="Z770" s="5">
        <v>-2.12</v>
      </c>
      <c r="AA770" s="2">
        <f t="shared" si="276"/>
        <v>1.6</v>
      </c>
      <c r="AB770" s="3">
        <f t="shared" si="277"/>
        <v>7.3917119719686813E-2</v>
      </c>
    </row>
    <row r="771" spans="1:28" x14ac:dyDescent="0.2">
      <c r="A771" t="s">
        <v>10</v>
      </c>
      <c r="B771">
        <v>666</v>
      </c>
      <c r="C771">
        <v>123</v>
      </c>
      <c r="D771">
        <v>19</v>
      </c>
      <c r="E771" t="s">
        <v>12</v>
      </c>
      <c r="F771" s="1">
        <v>45189</v>
      </c>
      <c r="G771" t="s">
        <v>14</v>
      </c>
      <c r="H771" s="2">
        <v>17.04</v>
      </c>
      <c r="I771" s="2">
        <v>36.53</v>
      </c>
      <c r="J771" s="2">
        <v>33.67</v>
      </c>
      <c r="K771" s="2">
        <f t="shared" si="257"/>
        <v>309.67999999999995</v>
      </c>
      <c r="L771" s="2">
        <v>4.1900000000000004</v>
      </c>
      <c r="M771" s="2">
        <v>0.17</v>
      </c>
      <c r="N771" s="6">
        <f t="shared" si="269"/>
        <v>5.2227904081126093</v>
      </c>
      <c r="O771" s="6">
        <f t="shared" si="270"/>
        <v>1.0425733048019321</v>
      </c>
      <c r="P771" s="6">
        <f t="shared" si="271"/>
        <v>97.16500542498315</v>
      </c>
      <c r="Q771" s="6">
        <f t="shared" si="258"/>
        <v>1.8069712301379617</v>
      </c>
      <c r="R771" s="10">
        <f t="shared" si="259"/>
        <v>1.8069712301379617E-3</v>
      </c>
      <c r="S771" s="3">
        <f t="shared" si="272"/>
        <v>3.2525482142483311E-2</v>
      </c>
      <c r="T771" s="4">
        <f t="shared" si="273"/>
        <v>3.2525482142483311E-5</v>
      </c>
      <c r="U771" s="3">
        <f t="shared" si="274"/>
        <v>0.11709173571293992</v>
      </c>
      <c r="V771" s="2">
        <v>8.61</v>
      </c>
      <c r="W771" s="2">
        <v>1.52</v>
      </c>
      <c r="X771" s="2">
        <f t="shared" si="275"/>
        <v>15200</v>
      </c>
      <c r="Y771" s="5">
        <v>-0.43</v>
      </c>
      <c r="Z771" s="5">
        <v>-1.79</v>
      </c>
      <c r="AA771" s="2">
        <f t="shared" si="276"/>
        <v>1.36</v>
      </c>
      <c r="AB771" s="3">
        <f t="shared" si="277"/>
        <v>8.6096864494808759E-2</v>
      </c>
    </row>
    <row r="772" spans="1:28" x14ac:dyDescent="0.2">
      <c r="A772" t="s">
        <v>10</v>
      </c>
      <c r="B772">
        <v>666</v>
      </c>
      <c r="C772">
        <v>123</v>
      </c>
      <c r="D772">
        <v>20</v>
      </c>
      <c r="E772" t="s">
        <v>12</v>
      </c>
      <c r="F772" s="1">
        <v>45189</v>
      </c>
      <c r="G772" t="s">
        <v>14</v>
      </c>
      <c r="H772" s="2">
        <v>14.7</v>
      </c>
      <c r="I772" s="2">
        <v>37.380000000000003</v>
      </c>
      <c r="J772" s="2">
        <v>33.909999999999997</v>
      </c>
      <c r="K772" s="2">
        <f t="shared" ref="K772:K788" si="278">273.15+I772</f>
        <v>310.52999999999997</v>
      </c>
      <c r="L772" s="2">
        <v>4.3600000000000003</v>
      </c>
      <c r="M772" s="2">
        <v>0.15</v>
      </c>
      <c r="N772" s="6">
        <f t="shared" si="269"/>
        <v>5.2932876728310827</v>
      </c>
      <c r="O772" s="6">
        <f t="shared" si="270"/>
        <v>0.94212847079810624</v>
      </c>
      <c r="P772" s="6">
        <f t="shared" si="271"/>
        <v>97.176156015718334</v>
      </c>
      <c r="Q772" s="6">
        <f t="shared" ref="Q772:Q788" si="279">(M772*(N772-L772)/P772)*1000</f>
        <v>1.4406121487458132</v>
      </c>
      <c r="R772" s="10">
        <f t="shared" ref="R772:R788" si="280">Q772/1000</f>
        <v>1.4406121487458132E-3</v>
      </c>
      <c r="S772" s="3">
        <f t="shared" si="272"/>
        <v>2.5931018677424637E-2</v>
      </c>
      <c r="T772" s="4">
        <f t="shared" si="273"/>
        <v>2.5931018677424637E-5</v>
      </c>
      <c r="U772" s="3">
        <f t="shared" si="274"/>
        <v>9.3351667238728689E-2</v>
      </c>
      <c r="V772" s="2">
        <v>1.94</v>
      </c>
      <c r="W772" s="2">
        <v>0.35</v>
      </c>
      <c r="X772" s="2">
        <f t="shared" si="275"/>
        <v>3500</v>
      </c>
      <c r="Y772" s="5">
        <v>-0.36</v>
      </c>
      <c r="Z772" s="5">
        <v>-1.67</v>
      </c>
      <c r="AA772" s="2">
        <f t="shared" si="276"/>
        <v>1.31</v>
      </c>
      <c r="AB772" s="3">
        <f t="shared" si="277"/>
        <v>7.1260814686052429E-2</v>
      </c>
    </row>
    <row r="773" spans="1:28" x14ac:dyDescent="0.2">
      <c r="A773" t="s">
        <v>10</v>
      </c>
      <c r="B773">
        <v>666</v>
      </c>
      <c r="C773">
        <v>123</v>
      </c>
      <c r="D773">
        <v>22</v>
      </c>
      <c r="E773" t="s">
        <v>12</v>
      </c>
      <c r="F773" s="1">
        <v>45189</v>
      </c>
      <c r="G773" t="s">
        <v>14</v>
      </c>
      <c r="H773" s="2">
        <v>13.59</v>
      </c>
      <c r="I773" s="2">
        <v>38.520000000000003</v>
      </c>
      <c r="J773" s="2">
        <v>36.21</v>
      </c>
      <c r="K773" s="2">
        <f t="shared" si="278"/>
        <v>311.66999999999996</v>
      </c>
      <c r="L773" s="2">
        <v>5.09</v>
      </c>
      <c r="M773" s="2">
        <v>0.09</v>
      </c>
      <c r="N773" s="6">
        <f t="shared" si="269"/>
        <v>6.0119716049004737</v>
      </c>
      <c r="O773" s="6">
        <f t="shared" si="270"/>
        <v>0.92651453831937081</v>
      </c>
      <c r="P773" s="6">
        <f t="shared" si="271"/>
        <v>97.191017428045299</v>
      </c>
      <c r="Q773" s="6">
        <f t="shared" si="279"/>
        <v>0.85375631037584754</v>
      </c>
      <c r="R773" s="10">
        <f t="shared" si="280"/>
        <v>8.5375631037584753E-4</v>
      </c>
      <c r="S773" s="3">
        <f t="shared" si="272"/>
        <v>1.5367613586765255E-2</v>
      </c>
      <c r="T773" s="4">
        <f t="shared" si="273"/>
        <v>1.5367613586765256E-5</v>
      </c>
      <c r="U773" s="3">
        <f t="shared" si="274"/>
        <v>5.5323408912354925E-2</v>
      </c>
      <c r="V773" s="2">
        <v>7.09</v>
      </c>
      <c r="W773" s="2">
        <v>0.5</v>
      </c>
      <c r="X773" s="2">
        <f t="shared" si="275"/>
        <v>5000</v>
      </c>
      <c r="Y773" s="5">
        <v>-0.52</v>
      </c>
      <c r="Z773" s="5">
        <v>-1.87</v>
      </c>
      <c r="AA773" s="2">
        <f t="shared" si="276"/>
        <v>1.35</v>
      </c>
      <c r="AB773" s="3">
        <f t="shared" si="277"/>
        <v>4.098030289804068E-2</v>
      </c>
    </row>
    <row r="774" spans="1:28" x14ac:dyDescent="0.2">
      <c r="A774" t="s">
        <v>11</v>
      </c>
      <c r="B774">
        <v>1212</v>
      </c>
      <c r="C774">
        <v>3</v>
      </c>
      <c r="D774">
        <v>29</v>
      </c>
      <c r="E774" t="s">
        <v>12</v>
      </c>
      <c r="F774" s="1">
        <v>45189</v>
      </c>
      <c r="G774" t="s">
        <v>14</v>
      </c>
      <c r="H774" s="2">
        <v>13.76</v>
      </c>
      <c r="I774" s="2">
        <v>38.51</v>
      </c>
      <c r="J774" s="2">
        <v>37.130000000000003</v>
      </c>
      <c r="K774" s="2">
        <f t="shared" si="278"/>
        <v>311.65999999999997</v>
      </c>
      <c r="L774" s="2">
        <v>5.39</v>
      </c>
      <c r="M774" s="2">
        <v>0.04</v>
      </c>
      <c r="N774" s="6">
        <f t="shared" si="269"/>
        <v>6.3223336600209183</v>
      </c>
      <c r="O774" s="6">
        <f t="shared" si="270"/>
        <v>0.93759812247128749</v>
      </c>
      <c r="P774" s="6">
        <f t="shared" si="271"/>
        <v>97.19088752759842</v>
      </c>
      <c r="Q774" s="6">
        <f t="shared" si="279"/>
        <v>0.3837123762271118</v>
      </c>
      <c r="R774" s="10">
        <f t="shared" si="280"/>
        <v>3.8371237622711178E-4</v>
      </c>
      <c r="S774" s="3">
        <f t="shared" si="272"/>
        <v>6.9068227720880115E-3</v>
      </c>
      <c r="T774" s="4">
        <f t="shared" si="273"/>
        <v>6.9068227720880115E-6</v>
      </c>
      <c r="U774" s="3">
        <f t="shared" si="274"/>
        <v>2.4864561979516843E-2</v>
      </c>
      <c r="V774" s="2">
        <v>0.9</v>
      </c>
      <c r="W774" s="2">
        <v>0.17</v>
      </c>
      <c r="X774" s="2">
        <f t="shared" si="275"/>
        <v>1700.0000000000002</v>
      </c>
      <c r="Y774" s="5">
        <v>-0.57999999999999996</v>
      </c>
      <c r="Z774" s="5">
        <v>-2.12</v>
      </c>
      <c r="AA774" s="2">
        <f t="shared" si="276"/>
        <v>1.54</v>
      </c>
      <c r="AB774" s="3">
        <f t="shared" si="277"/>
        <v>1.6145819467218728E-2</v>
      </c>
    </row>
    <row r="775" spans="1:28" x14ac:dyDescent="0.2">
      <c r="A775" t="s">
        <v>11</v>
      </c>
      <c r="B775">
        <v>1212</v>
      </c>
      <c r="C775">
        <v>3</v>
      </c>
      <c r="D775">
        <v>30</v>
      </c>
      <c r="E775" t="s">
        <v>12</v>
      </c>
      <c r="F775" s="1">
        <v>45189</v>
      </c>
      <c r="G775" t="s">
        <v>14</v>
      </c>
      <c r="H775" s="2">
        <v>11.34</v>
      </c>
      <c r="I775" s="2">
        <v>38.93</v>
      </c>
      <c r="J775" s="2">
        <v>36.04</v>
      </c>
      <c r="K775" s="2">
        <f t="shared" si="278"/>
        <v>312.08</v>
      </c>
      <c r="L775" s="2">
        <v>5.19</v>
      </c>
      <c r="M775" s="2">
        <v>0.09</v>
      </c>
      <c r="N775" s="6">
        <f t="shared" si="269"/>
        <v>5.9560946059771718</v>
      </c>
      <c r="O775" s="6">
        <f t="shared" si="270"/>
        <v>0.79039713835998016</v>
      </c>
      <c r="P775" s="6">
        <f t="shared" si="271"/>
        <v>97.19633632779059</v>
      </c>
      <c r="Q775" s="6">
        <f t="shared" si="279"/>
        <v>0.70937359516740872</v>
      </c>
      <c r="R775" s="10">
        <f t="shared" si="280"/>
        <v>7.0937359516740875E-4</v>
      </c>
      <c r="S775" s="3">
        <f t="shared" si="272"/>
        <v>1.2768724713013357E-2</v>
      </c>
      <c r="T775" s="4">
        <f t="shared" si="273"/>
        <v>1.2768724713013357E-5</v>
      </c>
      <c r="U775" s="3">
        <f t="shared" si="274"/>
        <v>4.5967408966848089E-2</v>
      </c>
      <c r="V775" s="2">
        <v>7.13</v>
      </c>
      <c r="W775" s="2">
        <v>1.39</v>
      </c>
      <c r="X775" s="2">
        <f t="shared" si="275"/>
        <v>13899.999999999998</v>
      </c>
      <c r="Y775" s="5">
        <v>-0.35</v>
      </c>
      <c r="Z775" s="5">
        <v>-1.78</v>
      </c>
      <c r="AA775" s="2">
        <f t="shared" si="276"/>
        <v>1.4300000000000002</v>
      </c>
      <c r="AB775" s="3">
        <f t="shared" si="277"/>
        <v>3.21450412355581E-2</v>
      </c>
    </row>
    <row r="776" spans="1:28" x14ac:dyDescent="0.2">
      <c r="A776" t="s">
        <v>11</v>
      </c>
      <c r="B776">
        <v>1212</v>
      </c>
      <c r="C776">
        <v>3</v>
      </c>
      <c r="D776">
        <v>31</v>
      </c>
      <c r="E776" t="s">
        <v>12</v>
      </c>
      <c r="F776" s="1">
        <v>45190</v>
      </c>
      <c r="G776" t="s">
        <v>14</v>
      </c>
      <c r="H776" s="2">
        <v>11.71</v>
      </c>
      <c r="I776" s="2">
        <v>38.340000000000003</v>
      </c>
      <c r="J776" s="2">
        <v>35.840000000000003</v>
      </c>
      <c r="K776" s="2">
        <f t="shared" si="278"/>
        <v>311.49</v>
      </c>
      <c r="L776" s="2">
        <v>5.0999999999999996</v>
      </c>
      <c r="M776" s="2">
        <v>0.1</v>
      </c>
      <c r="N776" s="6">
        <f t="shared" si="269"/>
        <v>5.8909349881304065</v>
      </c>
      <c r="O776" s="6">
        <f t="shared" si="270"/>
        <v>0.79061736643996838</v>
      </c>
      <c r="P776" s="6">
        <f t="shared" si="271"/>
        <v>97.188677970485145</v>
      </c>
      <c r="Q776" s="6">
        <f t="shared" si="279"/>
        <v>0.81381391808889803</v>
      </c>
      <c r="R776" s="10">
        <f t="shared" si="280"/>
        <v>8.1381391808889802E-4</v>
      </c>
      <c r="S776" s="3">
        <f t="shared" si="272"/>
        <v>1.4648650525600165E-2</v>
      </c>
      <c r="T776" s="4">
        <f t="shared" si="273"/>
        <v>1.4648650525600165E-5</v>
      </c>
      <c r="U776" s="3">
        <f t="shared" si="274"/>
        <v>5.2735141892160595E-2</v>
      </c>
      <c r="V776" s="2">
        <v>4.1399999999999997</v>
      </c>
      <c r="W776" s="2">
        <v>0.74</v>
      </c>
      <c r="X776" s="2">
        <f t="shared" si="275"/>
        <v>7400</v>
      </c>
      <c r="Y776" s="5">
        <v>-0.32</v>
      </c>
      <c r="Z776" s="5">
        <v>-1.82</v>
      </c>
      <c r="AA776" s="2">
        <f t="shared" si="276"/>
        <v>1.5</v>
      </c>
      <c r="AB776" s="3">
        <f t="shared" si="277"/>
        <v>3.5156761261440399E-2</v>
      </c>
    </row>
    <row r="777" spans="1:28" x14ac:dyDescent="0.2">
      <c r="A777" t="s">
        <v>11</v>
      </c>
      <c r="B777">
        <v>1212</v>
      </c>
      <c r="C777">
        <v>4</v>
      </c>
      <c r="D777">
        <v>32</v>
      </c>
      <c r="E777" t="s">
        <v>12</v>
      </c>
      <c r="F777" s="1">
        <v>45189</v>
      </c>
      <c r="G777" t="s">
        <v>14</v>
      </c>
      <c r="H777" s="2">
        <v>12.67</v>
      </c>
      <c r="I777" s="2">
        <v>38.479999999999997</v>
      </c>
      <c r="J777" s="2">
        <v>37.799999999999997</v>
      </c>
      <c r="K777" s="2">
        <f t="shared" si="278"/>
        <v>311.63</v>
      </c>
      <c r="L777" s="2">
        <v>5.7</v>
      </c>
      <c r="M777" s="2">
        <v>0.02</v>
      </c>
      <c r="N777" s="6">
        <f t="shared" si="269"/>
        <v>6.5570236444895187</v>
      </c>
      <c r="O777" s="6">
        <f t="shared" si="270"/>
        <v>0.86192871542591609</v>
      </c>
      <c r="P777" s="6">
        <f t="shared" si="271"/>
        <v>97.190497777278694</v>
      </c>
      <c r="Q777" s="6">
        <f t="shared" si="279"/>
        <v>0.17635955450160776</v>
      </c>
      <c r="R777" s="10">
        <f t="shared" si="280"/>
        <v>1.7635955450160775E-4</v>
      </c>
      <c r="S777" s="3">
        <f t="shared" si="272"/>
        <v>3.1744719810289394E-3</v>
      </c>
      <c r="T777" s="4">
        <f t="shared" si="273"/>
        <v>3.1744719810289395E-6</v>
      </c>
      <c r="U777" s="3">
        <f t="shared" si="274"/>
        <v>1.1428099131704183E-2</v>
      </c>
      <c r="V777" s="2">
        <v>7.33</v>
      </c>
      <c r="W777" s="2">
        <v>1.02</v>
      </c>
      <c r="X777" s="2">
        <f t="shared" si="275"/>
        <v>10200</v>
      </c>
      <c r="Y777" s="5">
        <v>-0.64</v>
      </c>
      <c r="Z777" s="5">
        <v>-1.56</v>
      </c>
      <c r="AA777" s="2">
        <f t="shared" si="276"/>
        <v>0.92</v>
      </c>
      <c r="AB777" s="3">
        <f t="shared" si="277"/>
        <v>1.2421846882287155E-2</v>
      </c>
    </row>
    <row r="778" spans="1:28" x14ac:dyDescent="0.2">
      <c r="A778" t="s">
        <v>11</v>
      </c>
      <c r="B778">
        <v>1212</v>
      </c>
      <c r="C778">
        <v>4</v>
      </c>
      <c r="D778">
        <v>33</v>
      </c>
      <c r="E778" t="s">
        <v>12</v>
      </c>
      <c r="F778" s="1">
        <v>45190</v>
      </c>
      <c r="G778" t="s">
        <v>14</v>
      </c>
      <c r="H778" s="2">
        <v>12.61</v>
      </c>
      <c r="I778" s="2">
        <v>38.44</v>
      </c>
      <c r="J778" s="2">
        <v>35.79</v>
      </c>
      <c r="K778" s="2">
        <f t="shared" si="278"/>
        <v>311.58999999999997</v>
      </c>
      <c r="L778" s="2">
        <v>5.03</v>
      </c>
      <c r="M778" s="2">
        <v>0.06</v>
      </c>
      <c r="N778" s="6">
        <f t="shared" si="269"/>
        <v>5.8747421780529896</v>
      </c>
      <c r="O778" s="6">
        <f t="shared" si="270"/>
        <v>0.85599554769172403</v>
      </c>
      <c r="P778" s="6">
        <f t="shared" si="271"/>
        <v>97.189977995872454</v>
      </c>
      <c r="Q778" s="6">
        <f t="shared" si="279"/>
        <v>0.52149955919664759</v>
      </c>
      <c r="R778" s="10">
        <f t="shared" si="280"/>
        <v>5.2149955919664757E-4</v>
      </c>
      <c r="S778" s="3">
        <f t="shared" si="272"/>
        <v>9.3869920655396556E-3</v>
      </c>
      <c r="T778" s="4">
        <f t="shared" si="273"/>
        <v>9.3869920655396553E-6</v>
      </c>
      <c r="U778" s="3">
        <f t="shared" si="274"/>
        <v>3.3793171435942758E-2</v>
      </c>
      <c r="V778" s="2">
        <v>19.41</v>
      </c>
      <c r="W778" s="2">
        <v>3.48</v>
      </c>
      <c r="X778" s="2">
        <f t="shared" si="275"/>
        <v>34800</v>
      </c>
      <c r="Y778" s="5">
        <v>-0.28999999999999998</v>
      </c>
      <c r="Z778" s="5">
        <v>-2.23</v>
      </c>
      <c r="AA778" s="2">
        <f t="shared" si="276"/>
        <v>1.94</v>
      </c>
      <c r="AB778" s="3">
        <f t="shared" si="277"/>
        <v>1.7419160533991111E-2</v>
      </c>
    </row>
    <row r="779" spans="1:28" x14ac:dyDescent="0.2">
      <c r="A779" t="s">
        <v>11</v>
      </c>
      <c r="B779">
        <v>1212</v>
      </c>
      <c r="C779">
        <v>4</v>
      </c>
      <c r="D779">
        <v>34</v>
      </c>
      <c r="E779" t="s">
        <v>12</v>
      </c>
      <c r="F779" s="1">
        <v>45189</v>
      </c>
      <c r="G779" t="s">
        <v>14</v>
      </c>
      <c r="H779" s="2">
        <v>12.1</v>
      </c>
      <c r="I779" s="2">
        <v>38.94</v>
      </c>
      <c r="J779" s="2">
        <v>35.549999999999997</v>
      </c>
      <c r="K779" s="2">
        <f t="shared" si="278"/>
        <v>312.08999999999997</v>
      </c>
      <c r="L779" s="2">
        <v>4.96</v>
      </c>
      <c r="M779" s="2">
        <v>7.0000000000000007E-2</v>
      </c>
      <c r="N779" s="6">
        <f t="shared" si="269"/>
        <v>5.797553786138284</v>
      </c>
      <c r="O779" s="6">
        <f t="shared" si="270"/>
        <v>0.84382319359417657</v>
      </c>
      <c r="P779" s="6">
        <f t="shared" si="271"/>
        <v>97.196465886098792</v>
      </c>
      <c r="Q779" s="6">
        <f t="shared" si="279"/>
        <v>0.6031985267693265</v>
      </c>
      <c r="R779" s="10">
        <f t="shared" si="280"/>
        <v>6.031985267693265E-4</v>
      </c>
      <c r="S779" s="3">
        <f t="shared" si="272"/>
        <v>1.0857573481847876E-2</v>
      </c>
      <c r="T779" s="4">
        <f t="shared" si="273"/>
        <v>1.0857573481847876E-5</v>
      </c>
      <c r="U779" s="3">
        <f t="shared" si="274"/>
        <v>3.9087264534652354E-2</v>
      </c>
      <c r="V779" s="2">
        <v>6.58</v>
      </c>
      <c r="W779" s="2">
        <v>1.1499999999999999</v>
      </c>
      <c r="X779" s="2">
        <f t="shared" si="275"/>
        <v>11500</v>
      </c>
      <c r="Y779" s="5">
        <v>-0.45</v>
      </c>
      <c r="Z779" s="5">
        <v>-2.08</v>
      </c>
      <c r="AA779" s="2">
        <f t="shared" si="276"/>
        <v>1.6300000000000001</v>
      </c>
      <c r="AB779" s="3">
        <f t="shared" si="277"/>
        <v>2.3979916892424756E-2</v>
      </c>
    </row>
    <row r="780" spans="1:28" x14ac:dyDescent="0.2">
      <c r="A780" t="s">
        <v>11</v>
      </c>
      <c r="B780">
        <v>1212</v>
      </c>
      <c r="C780">
        <v>7</v>
      </c>
      <c r="D780">
        <v>36</v>
      </c>
      <c r="E780" t="s">
        <v>12</v>
      </c>
      <c r="F780" s="1">
        <v>45189</v>
      </c>
      <c r="G780" t="s">
        <v>14</v>
      </c>
      <c r="H780" s="2">
        <v>11.62</v>
      </c>
      <c r="I780" s="2">
        <v>38.92</v>
      </c>
      <c r="J780" s="2">
        <v>37.29</v>
      </c>
      <c r="K780" s="2">
        <f t="shared" si="278"/>
        <v>312.07</v>
      </c>
      <c r="L780" s="2">
        <v>5.57</v>
      </c>
      <c r="M780" s="2">
        <v>0.06</v>
      </c>
      <c r="N780" s="6">
        <f t="shared" si="269"/>
        <v>6.3777057852467367</v>
      </c>
      <c r="O780" s="6">
        <f t="shared" si="270"/>
        <v>0.80947722205774986</v>
      </c>
      <c r="P780" s="6">
        <f t="shared" si="271"/>
        <v>97.196206761351959</v>
      </c>
      <c r="Q780" s="6">
        <f t="shared" si="279"/>
        <v>0.49860327609075195</v>
      </c>
      <c r="R780" s="10">
        <f t="shared" si="280"/>
        <v>4.9860327609075196E-4</v>
      </c>
      <c r="S780" s="3">
        <f t="shared" si="272"/>
        <v>8.9748589696335354E-3</v>
      </c>
      <c r="T780" s="4">
        <f t="shared" si="273"/>
        <v>8.9748589696335357E-6</v>
      </c>
      <c r="U780" s="3">
        <f t="shared" si="274"/>
        <v>3.2309492290680732E-2</v>
      </c>
      <c r="V780" s="2">
        <v>8.77</v>
      </c>
      <c r="W780" s="2">
        <v>0.91</v>
      </c>
      <c r="X780" s="2">
        <f t="shared" si="275"/>
        <v>9100</v>
      </c>
      <c r="Y780" s="5">
        <v>-0.24</v>
      </c>
      <c r="Z780" s="5">
        <v>-1.9</v>
      </c>
      <c r="AA780" s="2">
        <f t="shared" si="276"/>
        <v>1.66</v>
      </c>
      <c r="AB780" s="3">
        <f t="shared" si="277"/>
        <v>1.9463549572699235E-2</v>
      </c>
    </row>
    <row r="781" spans="1:28" x14ac:dyDescent="0.2">
      <c r="A781" t="s">
        <v>11</v>
      </c>
      <c r="B781">
        <v>1212</v>
      </c>
      <c r="C781">
        <v>7</v>
      </c>
      <c r="D781">
        <v>37</v>
      </c>
      <c r="E781" t="s">
        <v>12</v>
      </c>
      <c r="F781" s="1">
        <v>45189</v>
      </c>
      <c r="G781" t="s">
        <v>14</v>
      </c>
      <c r="H781" s="2">
        <v>12.59</v>
      </c>
      <c r="I781" s="2">
        <v>38.840000000000003</v>
      </c>
      <c r="J781" s="2">
        <v>34.06</v>
      </c>
      <c r="K781" s="2">
        <f t="shared" si="278"/>
        <v>311.99</v>
      </c>
      <c r="L781" s="2">
        <v>4.47</v>
      </c>
      <c r="M781" s="2">
        <v>0.15</v>
      </c>
      <c r="N781" s="6">
        <f t="shared" si="269"/>
        <v>5.3377674440869836</v>
      </c>
      <c r="O781" s="6">
        <f t="shared" si="270"/>
        <v>0.87327943353896575</v>
      </c>
      <c r="P781" s="6">
        <f t="shared" si="271"/>
        <v>97.195169937054914</v>
      </c>
      <c r="Q781" s="6">
        <f t="shared" si="279"/>
        <v>1.3392138384792627</v>
      </c>
      <c r="R781" s="10">
        <f t="shared" si="280"/>
        <v>1.3392138384792627E-3</v>
      </c>
      <c r="S781" s="3">
        <f t="shared" si="272"/>
        <v>2.4105849092626728E-2</v>
      </c>
      <c r="T781" s="4">
        <f t="shared" si="273"/>
        <v>2.4105849092626728E-5</v>
      </c>
      <c r="U781" s="3">
        <f t="shared" si="274"/>
        <v>8.6781056733456222E-2</v>
      </c>
      <c r="V781" s="2">
        <v>4.8499999999999996</v>
      </c>
      <c r="W781" s="2">
        <v>0.94</v>
      </c>
      <c r="X781" s="2">
        <f t="shared" si="275"/>
        <v>9400</v>
      </c>
      <c r="Y781" s="5">
        <v>-0.41</v>
      </c>
      <c r="Z781" s="5">
        <v>-2.15</v>
      </c>
      <c r="AA781" s="2">
        <f t="shared" si="276"/>
        <v>1.74</v>
      </c>
      <c r="AB781" s="3">
        <f t="shared" si="277"/>
        <v>4.9874170536469094E-2</v>
      </c>
    </row>
    <row r="782" spans="1:28" x14ac:dyDescent="0.2">
      <c r="A782" t="s">
        <v>11</v>
      </c>
      <c r="B782">
        <v>1212</v>
      </c>
      <c r="C782">
        <v>7</v>
      </c>
      <c r="D782">
        <v>83</v>
      </c>
      <c r="E782" t="s">
        <v>12</v>
      </c>
      <c r="F782" s="1">
        <v>45189</v>
      </c>
      <c r="G782" t="s">
        <v>14</v>
      </c>
      <c r="H782" s="2">
        <v>13.41</v>
      </c>
      <c r="I782" s="2">
        <v>38.520000000000003</v>
      </c>
      <c r="J782" s="2">
        <v>35.520000000000003</v>
      </c>
      <c r="K782" s="2">
        <f t="shared" si="278"/>
        <v>311.66999999999996</v>
      </c>
      <c r="L782" s="2">
        <v>4.8899999999999997</v>
      </c>
      <c r="M782" s="2">
        <v>0.08</v>
      </c>
      <c r="N782" s="6">
        <f t="shared" si="269"/>
        <v>5.7879674772416436</v>
      </c>
      <c r="O782" s="6">
        <f t="shared" si="270"/>
        <v>0.91424282258004141</v>
      </c>
      <c r="P782" s="6">
        <f t="shared" si="271"/>
        <v>97.191017428045299</v>
      </c>
      <c r="Q782" s="6">
        <f t="shared" si="279"/>
        <v>0.73913618851161678</v>
      </c>
      <c r="R782" s="10">
        <f t="shared" si="280"/>
        <v>7.3913618851161674E-4</v>
      </c>
      <c r="S782" s="3">
        <f t="shared" si="272"/>
        <v>1.3304451393209101E-2</v>
      </c>
      <c r="T782" s="4">
        <f t="shared" si="273"/>
        <v>1.3304451393209102E-5</v>
      </c>
      <c r="U782" s="3">
        <f t="shared" si="274"/>
        <v>4.7896025015552762E-2</v>
      </c>
      <c r="V782" s="2">
        <v>11.85</v>
      </c>
      <c r="W782" s="2">
        <v>1.4</v>
      </c>
      <c r="X782" s="2">
        <f t="shared" si="275"/>
        <v>14000</v>
      </c>
      <c r="Y782" s="5">
        <v>-0.43</v>
      </c>
      <c r="Z782" s="5">
        <v>-2.17</v>
      </c>
      <c r="AA782" s="2">
        <f t="shared" si="276"/>
        <v>1.74</v>
      </c>
      <c r="AB782" s="3">
        <f t="shared" si="277"/>
        <v>2.7526451158363656E-2</v>
      </c>
    </row>
    <row r="783" spans="1:28" x14ac:dyDescent="0.2">
      <c r="A783" t="s">
        <v>11</v>
      </c>
      <c r="B783">
        <v>1212</v>
      </c>
      <c r="C783">
        <v>8</v>
      </c>
      <c r="D783">
        <v>38</v>
      </c>
      <c r="E783" t="s">
        <v>12</v>
      </c>
      <c r="F783" s="1">
        <v>45189</v>
      </c>
      <c r="G783" t="s">
        <v>14</v>
      </c>
      <c r="H783" s="2">
        <v>14.03</v>
      </c>
      <c r="I783" s="2">
        <v>38.200000000000003</v>
      </c>
      <c r="J783" s="2">
        <v>33.39</v>
      </c>
      <c r="K783" s="2">
        <f t="shared" si="278"/>
        <v>311.34999999999997</v>
      </c>
      <c r="L783" s="2">
        <v>4.21</v>
      </c>
      <c r="M783" s="2">
        <v>0.21</v>
      </c>
      <c r="N783" s="6">
        <f t="shared" si="269"/>
        <v>5.1415769474234532</v>
      </c>
      <c r="O783" s="6">
        <f t="shared" si="270"/>
        <v>0.94010973623454352</v>
      </c>
      <c r="P783" s="6">
        <f t="shared" si="271"/>
        <v>97.186856561242394</v>
      </c>
      <c r="Q783" s="6">
        <f t="shared" si="279"/>
        <v>2.0129384351025696</v>
      </c>
      <c r="R783" s="10">
        <f t="shared" si="280"/>
        <v>2.0129384351025696E-3</v>
      </c>
      <c r="S783" s="3">
        <f t="shared" si="272"/>
        <v>3.6232891831846255E-2</v>
      </c>
      <c r="T783" s="4">
        <f t="shared" si="273"/>
        <v>3.6232891831846255E-5</v>
      </c>
      <c r="U783" s="3">
        <f t="shared" si="274"/>
        <v>0.13043841059464653</v>
      </c>
      <c r="V783" s="2">
        <v>26.5</v>
      </c>
      <c r="W783" s="2">
        <v>3.13</v>
      </c>
      <c r="X783" s="2">
        <f t="shared" si="275"/>
        <v>31300</v>
      </c>
      <c r="Y783" s="5">
        <v>-0.38</v>
      </c>
      <c r="Z783" s="5">
        <v>-1.73</v>
      </c>
      <c r="AA783" s="2">
        <f t="shared" si="276"/>
        <v>1.35</v>
      </c>
      <c r="AB783" s="3">
        <f t="shared" si="277"/>
        <v>9.6621044884923346E-2</v>
      </c>
    </row>
    <row r="784" spans="1:28" x14ac:dyDescent="0.2">
      <c r="A784" t="s">
        <v>11</v>
      </c>
      <c r="B784">
        <v>1212</v>
      </c>
      <c r="C784">
        <v>8</v>
      </c>
      <c r="D784">
        <v>39</v>
      </c>
      <c r="E784" t="s">
        <v>12</v>
      </c>
      <c r="F784" s="1">
        <v>45190</v>
      </c>
      <c r="G784" t="s">
        <v>14</v>
      </c>
      <c r="H784" s="2">
        <v>13.28</v>
      </c>
      <c r="I784" s="2">
        <v>38.03</v>
      </c>
      <c r="J784" s="2">
        <v>35.700000000000003</v>
      </c>
      <c r="K784" s="2">
        <f t="shared" si="278"/>
        <v>311.17999999999995</v>
      </c>
      <c r="L784" s="2">
        <v>4.96</v>
      </c>
      <c r="M784" s="2">
        <v>7.0000000000000007E-2</v>
      </c>
      <c r="N784" s="6">
        <f t="shared" si="269"/>
        <v>5.8456925477265083</v>
      </c>
      <c r="O784" s="6">
        <f t="shared" si="270"/>
        <v>0.88170082602917921</v>
      </c>
      <c r="P784" s="6">
        <f t="shared" si="271"/>
        <v>97.184642692656055</v>
      </c>
      <c r="Q784" s="6">
        <f t="shared" si="279"/>
        <v>0.63794522079917704</v>
      </c>
      <c r="R784" s="10">
        <f t="shared" si="280"/>
        <v>6.3794522079917702E-4</v>
      </c>
      <c r="S784" s="3">
        <f t="shared" si="272"/>
        <v>1.1483013974385186E-2</v>
      </c>
      <c r="T784" s="4">
        <f t="shared" si="273"/>
        <v>1.1483013974385185E-5</v>
      </c>
      <c r="U784" s="3">
        <f t="shared" si="274"/>
        <v>4.1338850307786668E-2</v>
      </c>
      <c r="V784" s="2">
        <v>11.76</v>
      </c>
      <c r="W784" s="2">
        <v>2.09</v>
      </c>
      <c r="X784" s="2">
        <f t="shared" si="275"/>
        <v>20900</v>
      </c>
      <c r="Y784" s="5">
        <v>-0.87</v>
      </c>
      <c r="Z784" s="5">
        <v>-1.87</v>
      </c>
      <c r="AA784" s="7">
        <f t="shared" si="276"/>
        <v>1</v>
      </c>
      <c r="AB784" s="3">
        <f t="shared" si="277"/>
        <v>4.1338850307786668E-2</v>
      </c>
    </row>
    <row r="785" spans="1:28" x14ac:dyDescent="0.2">
      <c r="A785" t="s">
        <v>11</v>
      </c>
      <c r="B785">
        <v>1212</v>
      </c>
      <c r="C785">
        <v>8</v>
      </c>
      <c r="D785">
        <v>40</v>
      </c>
      <c r="E785" t="s">
        <v>12</v>
      </c>
      <c r="F785" s="1">
        <v>45190</v>
      </c>
      <c r="G785" t="s">
        <v>14</v>
      </c>
      <c r="H785" s="2">
        <v>11.66</v>
      </c>
      <c r="I785" s="2">
        <v>38.159999999999997</v>
      </c>
      <c r="J785" s="2">
        <v>36.33</v>
      </c>
      <c r="K785" s="2">
        <f t="shared" si="278"/>
        <v>311.30999999999995</v>
      </c>
      <c r="L785" s="2">
        <v>5.28</v>
      </c>
      <c r="M785" s="2">
        <v>7.0000000000000007E-2</v>
      </c>
      <c r="N785" s="6">
        <f t="shared" si="269"/>
        <v>6.051687800938824</v>
      </c>
      <c r="O785" s="6">
        <f t="shared" si="270"/>
        <v>0.77961328491293258</v>
      </c>
      <c r="P785" s="6">
        <f t="shared" si="271"/>
        <v>97.186335863978016</v>
      </c>
      <c r="Q785" s="6">
        <f t="shared" si="279"/>
        <v>0.55582037933111772</v>
      </c>
      <c r="R785" s="10">
        <f t="shared" si="280"/>
        <v>5.5582037933111768E-4</v>
      </c>
      <c r="S785" s="3">
        <f t="shared" si="272"/>
        <v>1.0004766827960119E-2</v>
      </c>
      <c r="T785" s="4">
        <f t="shared" si="273"/>
        <v>1.0004766827960118E-5</v>
      </c>
      <c r="U785" s="3">
        <f t="shared" si="274"/>
        <v>3.6017160580656425E-2</v>
      </c>
      <c r="V785" s="2">
        <v>3.51</v>
      </c>
      <c r="W785" s="2">
        <v>0.74</v>
      </c>
      <c r="X785" s="2">
        <f t="shared" si="275"/>
        <v>7400</v>
      </c>
      <c r="Y785" s="5">
        <v>-0.25</v>
      </c>
      <c r="Z785" s="5">
        <v>-1.78</v>
      </c>
      <c r="AA785" s="2">
        <f t="shared" si="276"/>
        <v>1.53</v>
      </c>
      <c r="AB785" s="3">
        <f t="shared" si="277"/>
        <v>2.3540627830494393E-2</v>
      </c>
    </row>
    <row r="786" spans="1:28" x14ac:dyDescent="0.2">
      <c r="A786" t="s">
        <v>11</v>
      </c>
      <c r="B786">
        <v>1212</v>
      </c>
      <c r="C786">
        <v>10</v>
      </c>
      <c r="D786">
        <v>21</v>
      </c>
      <c r="E786" t="s">
        <v>12</v>
      </c>
      <c r="F786" s="1">
        <v>45189</v>
      </c>
      <c r="G786" t="s">
        <v>14</v>
      </c>
      <c r="H786" s="2">
        <v>13.05</v>
      </c>
      <c r="I786" s="2">
        <v>38.729999999999997</v>
      </c>
      <c r="J786" s="2">
        <v>34.89</v>
      </c>
      <c r="K786" s="2">
        <f t="shared" si="278"/>
        <v>311.88</v>
      </c>
      <c r="L786" s="2">
        <v>4.7</v>
      </c>
      <c r="M786" s="2">
        <v>0.14000000000000001</v>
      </c>
      <c r="N786" s="6">
        <f t="shared" si="269"/>
        <v>5.5898117462352133</v>
      </c>
      <c r="O786" s="6">
        <f t="shared" si="270"/>
        <v>0.89983656741659779</v>
      </c>
      <c r="P786" s="6">
        <f t="shared" si="271"/>
        <v>97.193743453214751</v>
      </c>
      <c r="Q786" s="6">
        <f t="shared" si="279"/>
        <v>1.2817043571626059</v>
      </c>
      <c r="R786" s="10">
        <f t="shared" si="280"/>
        <v>1.281704357162606E-3</v>
      </c>
      <c r="S786" s="3">
        <f t="shared" si="272"/>
        <v>2.3070678428926909E-2</v>
      </c>
      <c r="T786" s="4">
        <f t="shared" si="273"/>
        <v>2.3070678428926909E-5</v>
      </c>
      <c r="U786" s="3">
        <f t="shared" si="274"/>
        <v>8.3054442344136878E-2</v>
      </c>
      <c r="V786" s="2">
        <v>7.09</v>
      </c>
      <c r="W786" s="2">
        <v>1.0900000000000001</v>
      </c>
      <c r="X786" s="2">
        <f t="shared" si="275"/>
        <v>10900</v>
      </c>
      <c r="Y786" s="5">
        <v>-0.33</v>
      </c>
      <c r="Z786" s="5">
        <v>-2.2200000000000002</v>
      </c>
      <c r="AA786" s="2">
        <f t="shared" si="276"/>
        <v>1.8900000000000001</v>
      </c>
      <c r="AB786" s="3">
        <f t="shared" si="277"/>
        <v>4.3944149388432205E-2</v>
      </c>
    </row>
    <row r="787" spans="1:28" x14ac:dyDescent="0.2">
      <c r="A787" t="s">
        <v>11</v>
      </c>
      <c r="B787">
        <v>1212</v>
      </c>
      <c r="C787">
        <v>10</v>
      </c>
      <c r="D787">
        <v>41</v>
      </c>
      <c r="E787" t="s">
        <v>12</v>
      </c>
      <c r="F787" s="1">
        <v>45190</v>
      </c>
      <c r="G787" t="s">
        <v>14</v>
      </c>
      <c r="H787" s="2">
        <v>11.96</v>
      </c>
      <c r="I787" s="2">
        <v>37.979999999999997</v>
      </c>
      <c r="J787" s="2">
        <v>35.020000000000003</v>
      </c>
      <c r="K787" s="2">
        <f t="shared" si="278"/>
        <v>311.13</v>
      </c>
      <c r="L787" s="2">
        <v>4.8499999999999996</v>
      </c>
      <c r="M787" s="2">
        <v>0.06</v>
      </c>
      <c r="N787" s="6">
        <f t="shared" si="269"/>
        <v>5.6302110422802132</v>
      </c>
      <c r="O787" s="6">
        <f t="shared" si="270"/>
        <v>0.79191328531364369</v>
      </c>
      <c r="P787" s="6">
        <f t="shared" si="271"/>
        <v>97.183991104022994</v>
      </c>
      <c r="Q787" s="6">
        <f t="shared" si="279"/>
        <v>0.48169108929376919</v>
      </c>
      <c r="R787" s="10">
        <f t="shared" si="280"/>
        <v>4.8169108929376918E-4</v>
      </c>
      <c r="S787" s="3">
        <f t="shared" si="272"/>
        <v>8.6704396072878453E-3</v>
      </c>
      <c r="T787" s="4">
        <f t="shared" si="273"/>
        <v>8.6704396072878449E-6</v>
      </c>
      <c r="U787" s="3">
        <f t="shared" si="274"/>
        <v>3.121358258623624E-2</v>
      </c>
      <c r="V787" s="2">
        <v>19.809999999999999</v>
      </c>
      <c r="W787" s="2">
        <v>2.92</v>
      </c>
      <c r="X787" s="2">
        <f t="shared" si="275"/>
        <v>29200</v>
      </c>
      <c r="Y787" s="5">
        <v>-0.19</v>
      </c>
      <c r="Z787" s="5">
        <v>-2.68</v>
      </c>
      <c r="AA787" s="2">
        <f t="shared" si="276"/>
        <v>2.4900000000000002</v>
      </c>
      <c r="AB787" s="3">
        <f t="shared" si="277"/>
        <v>1.2535575335837846E-2</v>
      </c>
    </row>
    <row r="788" spans="1:28" x14ac:dyDescent="0.2">
      <c r="A788" t="s">
        <v>11</v>
      </c>
      <c r="B788">
        <v>1212</v>
      </c>
      <c r="C788">
        <v>10</v>
      </c>
      <c r="D788">
        <v>42</v>
      </c>
      <c r="E788" t="s">
        <v>12</v>
      </c>
      <c r="F788" s="1">
        <v>45190</v>
      </c>
      <c r="G788" t="s">
        <v>14</v>
      </c>
      <c r="H788" s="2">
        <v>11.95</v>
      </c>
      <c r="I788" s="2">
        <v>38.44</v>
      </c>
      <c r="J788" s="2">
        <v>33.46</v>
      </c>
      <c r="K788" s="2">
        <f t="shared" si="278"/>
        <v>311.58999999999997</v>
      </c>
      <c r="L788" s="2">
        <v>4.3600000000000003</v>
      </c>
      <c r="M788" s="2">
        <v>0.16</v>
      </c>
      <c r="N788" s="6">
        <f t="shared" si="269"/>
        <v>5.1617766218013283</v>
      </c>
      <c r="O788" s="6">
        <f t="shared" si="270"/>
        <v>0.81119324305440943</v>
      </c>
      <c r="P788" s="6">
        <f t="shared" si="271"/>
        <v>97.189977995872454</v>
      </c>
      <c r="Q788" s="6">
        <f t="shared" si="279"/>
        <v>1.3199330026976708</v>
      </c>
      <c r="R788" s="10">
        <f t="shared" si="280"/>
        <v>1.3199330026976708E-3</v>
      </c>
      <c r="S788" s="3">
        <f t="shared" si="272"/>
        <v>2.3758794048558074E-2</v>
      </c>
      <c r="T788" s="4">
        <f t="shared" si="273"/>
        <v>2.3758794048558075E-5</v>
      </c>
      <c r="U788" s="3">
        <f t="shared" si="274"/>
        <v>8.5531658574809072E-2</v>
      </c>
      <c r="V788" s="2">
        <v>2.74</v>
      </c>
      <c r="W788" s="2">
        <v>0.32</v>
      </c>
      <c r="X788" s="2">
        <f t="shared" si="275"/>
        <v>3200</v>
      </c>
      <c r="Y788" s="5">
        <v>-0.46</v>
      </c>
      <c r="Z788" s="5">
        <v>-1.47</v>
      </c>
      <c r="AA788" s="2">
        <f t="shared" si="276"/>
        <v>1.01</v>
      </c>
      <c r="AB788" s="3">
        <f t="shared" si="277"/>
        <v>8.4684810470107993E-2</v>
      </c>
    </row>
  </sheetData>
  <sortState xmlns:xlrd2="http://schemas.microsoft.com/office/spreadsheetml/2017/richdata2" ref="A774:AC788">
    <sortCondition ref="C774:C788"/>
  </sortState>
  <mergeCells count="1">
    <mergeCell ref="R1:U1"/>
  </mergeCells>
  <pageMargins left="0.75" right="0.75" top="1" bottom="1" header="0.5" footer="0.5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CF02-E209-934B-937C-6A9BDF770D7A}">
  <dimension ref="A1:U728"/>
  <sheetViews>
    <sheetView workbookViewId="0">
      <selection activeCell="G57" sqref="G57"/>
    </sheetView>
  </sheetViews>
  <sheetFormatPr baseColWidth="10" defaultRowHeight="16" x14ac:dyDescent="0.2"/>
  <cols>
    <col min="2" max="2" width="10.83203125" style="2"/>
    <col min="3" max="3" width="12.83203125" style="2" customWidth="1"/>
    <col min="4" max="4" width="12.5" style="2" customWidth="1"/>
    <col min="5" max="5" width="15" style="2" customWidth="1"/>
    <col min="6" max="7" width="16.33203125" style="2" customWidth="1"/>
    <col min="8" max="9" width="20.5" style="2" customWidth="1"/>
    <col min="10" max="10" width="17.83203125" customWidth="1"/>
    <col min="11" max="12" width="26.5" customWidth="1"/>
    <col min="13" max="13" width="20.33203125" style="2" customWidth="1"/>
    <col min="14" max="14" width="29.83203125" customWidth="1"/>
    <col min="15" max="15" width="29" customWidth="1"/>
    <col min="16" max="16" width="21.33203125" customWidth="1"/>
    <col min="17" max="17" width="24.33203125" customWidth="1"/>
    <col min="18" max="18" width="19" customWidth="1"/>
    <col min="19" max="19" width="21.33203125" customWidth="1"/>
    <col min="20" max="20" width="10.6640625" style="2" customWidth="1"/>
    <col min="21" max="21" width="15" customWidth="1"/>
  </cols>
  <sheetData>
    <row r="1" spans="1:21" ht="20" x14ac:dyDescent="0.25">
      <c r="A1" t="s">
        <v>0</v>
      </c>
      <c r="B1" s="2" t="s">
        <v>1</v>
      </c>
      <c r="C1" s="2" t="s">
        <v>2</v>
      </c>
      <c r="D1" s="2" t="s">
        <v>22</v>
      </c>
      <c r="E1" s="2" t="s">
        <v>30</v>
      </c>
      <c r="F1" s="2" t="s">
        <v>31</v>
      </c>
      <c r="G1" s="2" t="s">
        <v>15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48</v>
      </c>
      <c r="U1" s="2" t="s">
        <v>49</v>
      </c>
    </row>
    <row r="2" spans="1:21" x14ac:dyDescent="0.2">
      <c r="A2" t="s">
        <v>6</v>
      </c>
      <c r="B2" s="2">
        <v>72</v>
      </c>
      <c r="C2" s="2">
        <v>156</v>
      </c>
      <c r="D2" s="2">
        <v>43</v>
      </c>
      <c r="E2" s="2">
        <v>8.66</v>
      </c>
      <c r="F2" s="2">
        <v>27.73</v>
      </c>
      <c r="G2" s="2">
        <v>1.58</v>
      </c>
      <c r="H2" s="2">
        <v>479</v>
      </c>
      <c r="I2" s="2">
        <v>827</v>
      </c>
      <c r="J2" s="2">
        <v>114010</v>
      </c>
      <c r="K2" s="8">
        <f>H2/J2</f>
        <v>4.2013858433470747E-3</v>
      </c>
      <c r="L2" s="8">
        <f>I2/J2</f>
        <v>7.2537496710814841E-3</v>
      </c>
      <c r="M2" s="5">
        <v>3.8849999999999998</v>
      </c>
      <c r="N2" s="6">
        <v>16.178568559999999</v>
      </c>
      <c r="O2" s="6">
        <v>30.524652719999999</v>
      </c>
      <c r="P2" s="6">
        <v>67.450591029999998</v>
      </c>
      <c r="Q2" s="6">
        <v>116.6195352</v>
      </c>
      <c r="R2" s="6">
        <v>137.2372723</v>
      </c>
      <c r="S2" s="6">
        <v>240.84449459999999</v>
      </c>
    </row>
    <row r="3" spans="1:21" x14ac:dyDescent="0.2">
      <c r="A3" t="s">
        <v>6</v>
      </c>
      <c r="B3" s="2">
        <v>72</v>
      </c>
      <c r="C3" s="2">
        <v>156</v>
      </c>
      <c r="D3" s="2">
        <v>44</v>
      </c>
      <c r="E3" s="2">
        <v>7.83</v>
      </c>
      <c r="F3" s="2">
        <v>27.73</v>
      </c>
      <c r="G3" s="2">
        <v>1.64</v>
      </c>
      <c r="H3" s="2">
        <v>320</v>
      </c>
      <c r="I3" s="2">
        <v>462</v>
      </c>
      <c r="J3" s="2">
        <v>114010</v>
      </c>
      <c r="K3" s="8">
        <f t="shared" ref="K3:K61" si="0">H3/J3</f>
        <v>2.8067713358477324E-3</v>
      </c>
      <c r="L3" s="8">
        <f t="shared" ref="L3:L61" si="1">I3/J3</f>
        <v>4.0522761161301641E-3</v>
      </c>
      <c r="M3" s="5">
        <v>3.4159999999999999</v>
      </c>
      <c r="N3" s="6">
        <v>28.60063676</v>
      </c>
      <c r="O3" s="6">
        <v>25.885301269999999</v>
      </c>
      <c r="P3" s="6">
        <v>108.9880007</v>
      </c>
      <c r="Q3" s="6">
        <v>104.8989069</v>
      </c>
      <c r="R3" s="6">
        <v>258.59365880000001</v>
      </c>
      <c r="S3" s="6">
        <v>229.2409275</v>
      </c>
      <c r="T3" s="2">
        <v>2.89</v>
      </c>
      <c r="U3" s="6">
        <v>4.22</v>
      </c>
    </row>
    <row r="4" spans="1:21" x14ac:dyDescent="0.2">
      <c r="A4" t="s">
        <v>6</v>
      </c>
      <c r="B4" s="2">
        <v>72</v>
      </c>
      <c r="C4" s="2">
        <v>156</v>
      </c>
      <c r="D4" s="2">
        <v>45</v>
      </c>
      <c r="E4" s="2">
        <v>6.06</v>
      </c>
      <c r="F4" s="2">
        <v>27.73</v>
      </c>
      <c r="G4" s="2">
        <v>1.56</v>
      </c>
      <c r="H4" s="2">
        <v>368</v>
      </c>
      <c r="I4" s="2">
        <v>633</v>
      </c>
      <c r="J4" s="2">
        <v>114010</v>
      </c>
      <c r="K4" s="8">
        <f t="shared" si="0"/>
        <v>3.2277870362248926E-3</v>
      </c>
      <c r="L4" s="8">
        <f t="shared" si="1"/>
        <v>5.5521445487237957E-3</v>
      </c>
      <c r="M4" s="5">
        <v>3.645</v>
      </c>
      <c r="N4" s="6">
        <v>28.7197566</v>
      </c>
      <c r="O4" s="6">
        <v>28.022466779999998</v>
      </c>
      <c r="P4" s="6">
        <v>112.7383758</v>
      </c>
      <c r="Q4" s="6">
        <v>110.38650130000001</v>
      </c>
      <c r="R4" s="6">
        <v>288.63488960000001</v>
      </c>
      <c r="S4" s="6">
        <v>234.18904280000001</v>
      </c>
    </row>
    <row r="5" spans="1:21" x14ac:dyDescent="0.2">
      <c r="A5" t="s">
        <v>6</v>
      </c>
      <c r="B5" s="2">
        <v>72</v>
      </c>
      <c r="C5" s="2">
        <v>149</v>
      </c>
      <c r="D5" s="2">
        <v>46</v>
      </c>
      <c r="E5" s="2">
        <v>7.48</v>
      </c>
      <c r="F5" s="2">
        <v>27.73</v>
      </c>
      <c r="G5" s="2">
        <v>2.0499999999999998</v>
      </c>
      <c r="H5" s="2">
        <v>537</v>
      </c>
      <c r="I5" s="2">
        <v>897</v>
      </c>
      <c r="J5" s="2">
        <v>114010</v>
      </c>
      <c r="K5" s="8">
        <f t="shared" si="0"/>
        <v>4.7101131479694762E-3</v>
      </c>
      <c r="L5" s="8">
        <f t="shared" si="1"/>
        <v>7.8677309007981755E-3</v>
      </c>
      <c r="M5" s="5">
        <v>3.0150000000000001</v>
      </c>
      <c r="N5" s="6">
        <v>23.87605963</v>
      </c>
      <c r="O5" s="6">
        <v>18.78298431</v>
      </c>
      <c r="P5" s="6">
        <v>91.624720510000003</v>
      </c>
      <c r="Q5" s="6">
        <v>106.80594360000001</v>
      </c>
      <c r="R5" s="6">
        <v>202.21486139999999</v>
      </c>
      <c r="S5" s="6">
        <v>214.1341606</v>
      </c>
      <c r="T5" s="2">
        <v>7.38</v>
      </c>
      <c r="U5" s="6">
        <v>1.52</v>
      </c>
    </row>
    <row r="6" spans="1:21" x14ac:dyDescent="0.2">
      <c r="A6" t="s">
        <v>6</v>
      </c>
      <c r="B6" s="2">
        <v>72</v>
      </c>
      <c r="C6" s="2">
        <v>149</v>
      </c>
      <c r="D6" s="2">
        <v>47</v>
      </c>
      <c r="E6" s="2">
        <v>7.28</v>
      </c>
      <c r="F6" s="2">
        <v>27.73</v>
      </c>
      <c r="G6" s="2">
        <v>2.1800000000000002</v>
      </c>
      <c r="H6" s="2">
        <v>437</v>
      </c>
      <c r="I6" s="2">
        <v>806</v>
      </c>
      <c r="J6" s="2">
        <v>114010</v>
      </c>
      <c r="K6" s="8">
        <f t="shared" si="0"/>
        <v>3.8329971055170598E-3</v>
      </c>
      <c r="L6" s="8">
        <f t="shared" si="1"/>
        <v>7.0695553021664767E-3</v>
      </c>
      <c r="M6" s="5">
        <v>3.5019999999999998</v>
      </c>
      <c r="N6" s="6">
        <v>26.01128989</v>
      </c>
      <c r="O6" s="6">
        <v>27.137131320000002</v>
      </c>
      <c r="P6" s="6">
        <v>95.498355430000004</v>
      </c>
      <c r="Q6" s="6">
        <v>125.28902890000001</v>
      </c>
      <c r="R6" s="6">
        <v>224.31991389999999</v>
      </c>
      <c r="S6" s="6">
        <v>278.66997980000002</v>
      </c>
    </row>
    <row r="7" spans="1:21" x14ac:dyDescent="0.2">
      <c r="A7" t="s">
        <v>6</v>
      </c>
      <c r="B7" s="2">
        <v>72</v>
      </c>
      <c r="C7" s="2">
        <v>149</v>
      </c>
      <c r="D7" s="2">
        <v>48</v>
      </c>
      <c r="E7" s="2">
        <v>7.96</v>
      </c>
      <c r="F7" s="2">
        <v>27.73</v>
      </c>
      <c r="G7" s="2">
        <v>2.2599999999999998</v>
      </c>
      <c r="H7" s="2">
        <v>604</v>
      </c>
      <c r="I7" s="2">
        <v>942</v>
      </c>
      <c r="J7" s="2">
        <v>114010</v>
      </c>
      <c r="K7" s="8">
        <f t="shared" si="0"/>
        <v>5.2977808964125954E-3</v>
      </c>
      <c r="L7" s="8">
        <f t="shared" si="1"/>
        <v>8.2624331199017634E-3</v>
      </c>
      <c r="M7" s="5">
        <v>4.0759999999999996</v>
      </c>
      <c r="N7" s="6">
        <v>18.184513679999998</v>
      </c>
      <c r="O7" s="6">
        <v>20.08791467</v>
      </c>
      <c r="P7" s="6">
        <v>75.316961210000002</v>
      </c>
      <c r="Q7" s="6">
        <v>103.6185243</v>
      </c>
      <c r="R7" s="6">
        <v>227.62870419999999</v>
      </c>
      <c r="S7" s="6">
        <v>211.0961259</v>
      </c>
    </row>
    <row r="8" spans="1:21" x14ac:dyDescent="0.2">
      <c r="A8" t="s">
        <v>6</v>
      </c>
      <c r="B8" s="2">
        <v>72</v>
      </c>
      <c r="C8" s="2">
        <v>152</v>
      </c>
      <c r="D8" s="2">
        <v>49</v>
      </c>
      <c r="E8" s="2">
        <v>6.49</v>
      </c>
      <c r="F8" s="2">
        <v>27.73</v>
      </c>
      <c r="G8" s="2">
        <v>1.64</v>
      </c>
      <c r="H8" s="2">
        <v>600</v>
      </c>
      <c r="I8" s="2">
        <v>1185</v>
      </c>
      <c r="J8" s="2">
        <v>114010</v>
      </c>
      <c r="K8" s="8">
        <f t="shared" si="0"/>
        <v>5.2626962547144985E-3</v>
      </c>
      <c r="L8" s="8">
        <f t="shared" si="1"/>
        <v>1.0393825103061135E-2</v>
      </c>
      <c r="M8" s="5">
        <v>3.327</v>
      </c>
      <c r="N8" s="6">
        <v>24.038220240000001</v>
      </c>
      <c r="O8" s="6">
        <v>33.434471809999998</v>
      </c>
      <c r="P8" s="6">
        <v>96.969493679999999</v>
      </c>
      <c r="Q8" s="6">
        <v>124.4599178</v>
      </c>
      <c r="R8" s="6">
        <v>230.7102424</v>
      </c>
      <c r="S8" s="6">
        <v>253.93187119999999</v>
      </c>
    </row>
    <row r="9" spans="1:21" x14ac:dyDescent="0.2">
      <c r="A9" t="s">
        <v>6</v>
      </c>
      <c r="B9" s="2">
        <v>72</v>
      </c>
      <c r="C9" s="2">
        <v>152</v>
      </c>
      <c r="D9" s="2">
        <v>50</v>
      </c>
      <c r="E9" s="2">
        <v>7.36</v>
      </c>
      <c r="F9" s="2">
        <v>27.73</v>
      </c>
      <c r="G9" s="2">
        <v>1.6</v>
      </c>
      <c r="H9" s="2">
        <v>745</v>
      </c>
      <c r="I9" s="2">
        <v>1119</v>
      </c>
      <c r="J9" s="2">
        <v>114010</v>
      </c>
      <c r="K9" s="8">
        <f t="shared" si="0"/>
        <v>6.5345145162705029E-3</v>
      </c>
      <c r="L9" s="8">
        <f t="shared" si="1"/>
        <v>9.8149285150425404E-3</v>
      </c>
      <c r="M9" s="5">
        <v>3.7879999999999998</v>
      </c>
      <c r="N9" s="6">
        <v>30.199044570000002</v>
      </c>
      <c r="O9" s="6">
        <v>15.62899925</v>
      </c>
      <c r="P9" s="6">
        <v>104.7404281</v>
      </c>
      <c r="Q9" s="6">
        <v>58.314139189999999</v>
      </c>
      <c r="R9" s="6">
        <v>248.0886778</v>
      </c>
      <c r="S9" s="6">
        <v>121.63338450000001</v>
      </c>
    </row>
    <row r="10" spans="1:21" x14ac:dyDescent="0.2">
      <c r="A10" t="s">
        <v>6</v>
      </c>
      <c r="B10" s="2">
        <v>72</v>
      </c>
      <c r="C10" s="2">
        <v>152</v>
      </c>
      <c r="D10" s="2">
        <v>51</v>
      </c>
      <c r="E10" s="2">
        <v>6.5</v>
      </c>
      <c r="F10" s="2">
        <v>27.73</v>
      </c>
      <c r="G10" s="2">
        <v>1.36</v>
      </c>
      <c r="H10" s="2">
        <v>604</v>
      </c>
      <c r="I10" s="2">
        <v>1012</v>
      </c>
      <c r="J10" s="2">
        <v>114010</v>
      </c>
      <c r="K10" s="8">
        <f t="shared" si="0"/>
        <v>5.2977808964125954E-3</v>
      </c>
      <c r="L10" s="8">
        <f t="shared" si="1"/>
        <v>8.8764143496184549E-3</v>
      </c>
      <c r="M10" s="5">
        <v>3.2280000000000002</v>
      </c>
      <c r="N10" s="6">
        <v>25.84615144</v>
      </c>
      <c r="O10" s="6">
        <v>34.628875489999999</v>
      </c>
      <c r="P10" s="6">
        <v>97.555049479999994</v>
      </c>
      <c r="Q10" s="6">
        <v>129.3298886</v>
      </c>
      <c r="R10" s="6">
        <v>230.05252200000001</v>
      </c>
      <c r="S10" s="6">
        <v>255.64724949999999</v>
      </c>
      <c r="T10" s="2">
        <v>3.51</v>
      </c>
      <c r="U10" s="6">
        <v>5.29</v>
      </c>
    </row>
    <row r="11" spans="1:21" x14ac:dyDescent="0.2">
      <c r="A11" t="s">
        <v>6</v>
      </c>
      <c r="B11" s="2">
        <v>72</v>
      </c>
      <c r="C11" s="2">
        <v>155</v>
      </c>
      <c r="D11" s="2">
        <v>58</v>
      </c>
      <c r="E11" s="2">
        <v>8.1</v>
      </c>
      <c r="F11" s="2">
        <v>27.73</v>
      </c>
      <c r="G11" s="2">
        <v>1.28</v>
      </c>
      <c r="H11" s="2">
        <v>555</v>
      </c>
      <c r="I11" s="2">
        <v>827</v>
      </c>
      <c r="J11" s="2">
        <v>114010</v>
      </c>
      <c r="K11" s="8">
        <f t="shared" si="0"/>
        <v>4.8679940356109114E-3</v>
      </c>
      <c r="L11" s="8">
        <f t="shared" si="1"/>
        <v>7.2537496710814841E-3</v>
      </c>
      <c r="M11" s="5">
        <v>3.4009999999999998</v>
      </c>
      <c r="N11" s="6">
        <v>31.17742114</v>
      </c>
      <c r="O11" s="6">
        <v>30.633820889999999</v>
      </c>
      <c r="P11" s="6">
        <v>118.9913541</v>
      </c>
      <c r="Q11" s="6">
        <v>136.39440200000001</v>
      </c>
      <c r="R11" s="6">
        <v>272.74271210000001</v>
      </c>
      <c r="S11" s="6">
        <v>284.95015899999999</v>
      </c>
    </row>
    <row r="12" spans="1:21" x14ac:dyDescent="0.2">
      <c r="A12" t="s">
        <v>6</v>
      </c>
      <c r="B12" s="2">
        <v>72</v>
      </c>
      <c r="C12" s="2">
        <v>155</v>
      </c>
      <c r="D12" s="2">
        <v>59</v>
      </c>
      <c r="E12" s="2">
        <v>10.14</v>
      </c>
      <c r="F12" s="2">
        <v>27.73</v>
      </c>
      <c r="G12" s="2">
        <v>1.36</v>
      </c>
      <c r="H12" s="2">
        <v>535</v>
      </c>
      <c r="I12" s="2">
        <v>948</v>
      </c>
      <c r="J12" s="2">
        <v>114010</v>
      </c>
      <c r="K12" s="8">
        <f t="shared" si="0"/>
        <v>4.6925708271204278E-3</v>
      </c>
      <c r="L12" s="8">
        <f t="shared" si="1"/>
        <v>8.3150600824489079E-3</v>
      </c>
      <c r="M12" s="5">
        <v>2.8879999999999999</v>
      </c>
      <c r="N12" s="6">
        <v>25.16090204</v>
      </c>
      <c r="O12" s="6">
        <v>34.334627500000003</v>
      </c>
      <c r="P12" s="6">
        <v>97.133775470000003</v>
      </c>
      <c r="Q12" s="6">
        <v>151.12378029999999</v>
      </c>
      <c r="R12" s="6">
        <v>229.3524094</v>
      </c>
      <c r="S12" s="6">
        <v>349.87138650000003</v>
      </c>
    </row>
    <row r="13" spans="1:21" x14ac:dyDescent="0.2">
      <c r="A13" t="s">
        <v>6</v>
      </c>
      <c r="B13" s="2">
        <v>72</v>
      </c>
      <c r="C13" s="2">
        <v>155</v>
      </c>
      <c r="D13" s="2">
        <v>60</v>
      </c>
      <c r="E13" s="2">
        <v>9</v>
      </c>
      <c r="F13" s="2">
        <v>27.73</v>
      </c>
      <c r="G13" s="2">
        <v>1.33</v>
      </c>
      <c r="H13" s="2">
        <v>527</v>
      </c>
      <c r="I13" s="2">
        <v>910</v>
      </c>
      <c r="J13" s="2">
        <v>114010</v>
      </c>
      <c r="K13" s="8">
        <f t="shared" si="0"/>
        <v>4.6224015437242348E-3</v>
      </c>
      <c r="L13" s="8">
        <f t="shared" si="1"/>
        <v>7.98175598631699E-3</v>
      </c>
      <c r="M13" s="5">
        <v>3.7879999999999998</v>
      </c>
      <c r="N13" s="6">
        <v>25.826177940000001</v>
      </c>
      <c r="O13" s="6">
        <v>35.876411519999998</v>
      </c>
      <c r="P13" s="6">
        <v>90.45974167</v>
      </c>
      <c r="Q13" s="6">
        <v>176.62033020000001</v>
      </c>
      <c r="R13" s="6">
        <v>221.70857670000001</v>
      </c>
      <c r="S13" s="6">
        <v>267.82223099999999</v>
      </c>
      <c r="T13" s="2">
        <v>0.44</v>
      </c>
      <c r="U13" s="6">
        <v>23.12</v>
      </c>
    </row>
    <row r="14" spans="1:21" x14ac:dyDescent="0.2">
      <c r="A14" t="s">
        <v>6</v>
      </c>
      <c r="B14" s="2">
        <v>72</v>
      </c>
      <c r="C14" s="2">
        <v>5</v>
      </c>
      <c r="D14" s="2">
        <v>61</v>
      </c>
      <c r="E14" s="2">
        <v>6.64</v>
      </c>
      <c r="F14" s="2">
        <v>27.73</v>
      </c>
      <c r="G14" s="2">
        <v>1.1399999999999999</v>
      </c>
      <c r="H14" s="2">
        <v>306</v>
      </c>
      <c r="I14" s="2">
        <v>437</v>
      </c>
      <c r="J14" s="2">
        <v>114010</v>
      </c>
      <c r="K14" s="8">
        <f t="shared" si="0"/>
        <v>2.6839750899043942E-3</v>
      </c>
      <c r="L14" s="8">
        <f t="shared" si="1"/>
        <v>3.8329971055170598E-3</v>
      </c>
      <c r="M14" s="5">
        <v>3.323</v>
      </c>
      <c r="N14" s="6">
        <v>25.282649079999999</v>
      </c>
      <c r="O14" s="6">
        <v>30.668105879999999</v>
      </c>
      <c r="P14" s="6">
        <v>91.907939229999997</v>
      </c>
      <c r="Q14" s="6">
        <v>139.9751857</v>
      </c>
      <c r="R14" s="6">
        <v>249.6141289</v>
      </c>
      <c r="S14" s="6">
        <v>308.14071999999999</v>
      </c>
    </row>
    <row r="15" spans="1:21" x14ac:dyDescent="0.2">
      <c r="A15" t="s">
        <v>6</v>
      </c>
      <c r="B15" s="2">
        <v>72</v>
      </c>
      <c r="C15" s="2">
        <v>5</v>
      </c>
      <c r="D15" s="2">
        <v>63</v>
      </c>
      <c r="E15" s="2">
        <v>7.06</v>
      </c>
      <c r="F15" s="2">
        <v>27.73</v>
      </c>
      <c r="G15" s="2">
        <v>1.44</v>
      </c>
      <c r="H15" s="2">
        <v>487</v>
      </c>
      <c r="I15" s="2">
        <v>651</v>
      </c>
      <c r="J15" s="2">
        <v>114010</v>
      </c>
      <c r="K15" s="8">
        <f t="shared" si="0"/>
        <v>4.2715551267432685E-3</v>
      </c>
      <c r="L15" s="8">
        <f t="shared" si="1"/>
        <v>5.7100254363652309E-3</v>
      </c>
      <c r="M15" s="5">
        <v>3.0049999999999999</v>
      </c>
      <c r="N15" s="6">
        <v>22.463388009999999</v>
      </c>
      <c r="O15" s="6">
        <v>25.471402090000002</v>
      </c>
      <c r="P15" s="6">
        <v>90.759460599999997</v>
      </c>
      <c r="Q15" s="6">
        <v>113.0398201</v>
      </c>
      <c r="R15" s="6">
        <v>207.27797720000001</v>
      </c>
      <c r="S15" s="6">
        <v>237.66134869999999</v>
      </c>
    </row>
    <row r="16" spans="1:21" x14ac:dyDescent="0.2">
      <c r="A16" t="s">
        <v>6</v>
      </c>
      <c r="B16" s="2">
        <v>72</v>
      </c>
      <c r="C16" s="2">
        <v>5</v>
      </c>
      <c r="D16" s="2">
        <v>85</v>
      </c>
      <c r="E16" s="2">
        <v>6.97</v>
      </c>
      <c r="F16" s="2">
        <v>27.73</v>
      </c>
      <c r="G16" s="2">
        <v>1.37</v>
      </c>
      <c r="H16" s="2">
        <v>354</v>
      </c>
      <c r="I16" s="2">
        <v>577</v>
      </c>
      <c r="J16" s="2">
        <v>114010</v>
      </c>
      <c r="K16" s="8">
        <f t="shared" si="0"/>
        <v>3.1049907902815544E-3</v>
      </c>
      <c r="L16" s="8">
        <f t="shared" si="1"/>
        <v>5.0609595649504426E-3</v>
      </c>
      <c r="M16" s="5">
        <v>3.3</v>
      </c>
      <c r="N16" s="6">
        <v>18.707496939999999</v>
      </c>
      <c r="O16" s="6">
        <v>23.516593409999999</v>
      </c>
      <c r="P16" s="6">
        <v>68.033266909999995</v>
      </c>
      <c r="Q16" s="6">
        <v>111.4160949</v>
      </c>
      <c r="R16" s="6">
        <v>196.07112129999999</v>
      </c>
      <c r="S16" s="6">
        <v>229.19717700000001</v>
      </c>
      <c r="T16" s="2">
        <v>4.0199999999999996</v>
      </c>
      <c r="U16" s="6">
        <v>1.95</v>
      </c>
    </row>
    <row r="17" spans="1:21" x14ac:dyDescent="0.2">
      <c r="A17" t="s">
        <v>9</v>
      </c>
      <c r="B17" s="2">
        <v>1521</v>
      </c>
      <c r="C17" s="2">
        <v>153</v>
      </c>
      <c r="D17" s="2">
        <v>69</v>
      </c>
      <c r="E17" s="2">
        <v>8.01</v>
      </c>
      <c r="F17" s="2">
        <v>27.73</v>
      </c>
      <c r="G17" s="2">
        <v>1.43</v>
      </c>
      <c r="H17" s="2">
        <v>448</v>
      </c>
      <c r="I17" s="2">
        <v>827</v>
      </c>
      <c r="J17" s="2">
        <v>114010</v>
      </c>
      <c r="K17" s="8">
        <f t="shared" si="0"/>
        <v>3.9294798701868259E-3</v>
      </c>
      <c r="L17" s="8">
        <f t="shared" si="1"/>
        <v>7.2537496710814841E-3</v>
      </c>
      <c r="M17" s="5">
        <v>4.2</v>
      </c>
      <c r="N17" s="6">
        <v>21.978966939999999</v>
      </c>
      <c r="O17" s="6">
        <v>26.008328890000001</v>
      </c>
      <c r="P17" s="6">
        <v>73.008945479999994</v>
      </c>
      <c r="Q17" s="6">
        <v>121.751322</v>
      </c>
      <c r="R17" s="6">
        <v>195.530216</v>
      </c>
      <c r="S17" s="6">
        <v>258.52217480000002</v>
      </c>
    </row>
    <row r="18" spans="1:21" x14ac:dyDescent="0.2">
      <c r="A18" t="s">
        <v>9</v>
      </c>
      <c r="B18" s="2">
        <v>1521</v>
      </c>
      <c r="C18" s="2">
        <v>153</v>
      </c>
      <c r="D18" s="2">
        <v>76</v>
      </c>
      <c r="E18" s="2">
        <v>7.44</v>
      </c>
      <c r="F18" s="2">
        <v>27.73</v>
      </c>
      <c r="G18" s="2">
        <v>1.42</v>
      </c>
      <c r="H18" s="2">
        <v>406</v>
      </c>
      <c r="I18" s="2">
        <v>462</v>
      </c>
      <c r="J18" s="2">
        <v>114010</v>
      </c>
      <c r="K18" s="8">
        <f t="shared" si="0"/>
        <v>3.561091132356811E-3</v>
      </c>
      <c r="L18" s="8">
        <f t="shared" si="1"/>
        <v>4.0522761161301641E-3</v>
      </c>
      <c r="M18" s="5">
        <v>4.2320000000000002</v>
      </c>
      <c r="N18" s="6">
        <v>16.03356956</v>
      </c>
      <c r="O18" s="6">
        <v>21.87495041</v>
      </c>
      <c r="P18" s="6">
        <v>56.721846360000001</v>
      </c>
      <c r="Q18" s="6">
        <v>107.51054139999999</v>
      </c>
      <c r="R18" s="6">
        <v>195.4835473</v>
      </c>
      <c r="S18" s="6">
        <v>211.41478559999999</v>
      </c>
    </row>
    <row r="19" spans="1:21" x14ac:dyDescent="0.2">
      <c r="A19" t="s">
        <v>9</v>
      </c>
      <c r="B19" s="2">
        <v>1521</v>
      </c>
      <c r="C19" s="2">
        <v>153</v>
      </c>
      <c r="D19" s="2">
        <v>90</v>
      </c>
      <c r="E19" s="2">
        <v>7.98</v>
      </c>
      <c r="F19" s="2">
        <v>27.73</v>
      </c>
      <c r="G19" s="2">
        <v>2.16</v>
      </c>
      <c r="H19" s="2">
        <v>716</v>
      </c>
      <c r="I19" s="2">
        <v>633</v>
      </c>
      <c r="J19" s="2">
        <v>114010</v>
      </c>
      <c r="K19" s="8">
        <f t="shared" si="0"/>
        <v>6.2801508639593016E-3</v>
      </c>
      <c r="L19" s="8">
        <f t="shared" si="1"/>
        <v>5.5521445487237957E-3</v>
      </c>
      <c r="M19" s="5">
        <v>4.8860000000000001</v>
      </c>
      <c r="N19" s="6">
        <v>13.21412772</v>
      </c>
      <c r="O19" s="6">
        <v>21.26659261</v>
      </c>
      <c r="P19" s="6">
        <v>49.657833359999998</v>
      </c>
      <c r="Q19" s="6">
        <v>82.779526450000006</v>
      </c>
      <c r="R19" s="6">
        <v>112.2144447</v>
      </c>
      <c r="S19" s="6">
        <v>167.74214939999999</v>
      </c>
      <c r="T19" s="2">
        <v>8.68</v>
      </c>
      <c r="U19" s="6">
        <v>0.14599999999999999</v>
      </c>
    </row>
    <row r="20" spans="1:21" x14ac:dyDescent="0.2">
      <c r="A20" t="s">
        <v>9</v>
      </c>
      <c r="B20" s="2">
        <v>1521</v>
      </c>
      <c r="C20" s="2">
        <v>155</v>
      </c>
      <c r="D20" s="2">
        <v>62</v>
      </c>
      <c r="E20" s="2">
        <v>7</v>
      </c>
      <c r="F20" s="2">
        <v>27.73</v>
      </c>
      <c r="G20" s="2">
        <v>1.42</v>
      </c>
      <c r="H20" s="2">
        <v>267</v>
      </c>
      <c r="I20" s="2">
        <v>897</v>
      </c>
      <c r="J20" s="2">
        <v>114010</v>
      </c>
      <c r="K20" s="8">
        <f t="shared" si="0"/>
        <v>2.341899833347952E-3</v>
      </c>
      <c r="L20" s="8">
        <f t="shared" si="1"/>
        <v>7.8677309007981755E-3</v>
      </c>
      <c r="M20" s="5">
        <v>3.6349999999999998</v>
      </c>
      <c r="N20" s="6">
        <v>17.259631540000001</v>
      </c>
      <c r="O20" s="6">
        <v>26.16352582</v>
      </c>
      <c r="P20" s="6">
        <v>98.703483570000003</v>
      </c>
      <c r="Q20" s="6">
        <v>88.525081560000004</v>
      </c>
      <c r="R20" s="6">
        <v>229.31395839999999</v>
      </c>
      <c r="S20" s="6">
        <v>177.76821219999999</v>
      </c>
    </row>
    <row r="21" spans="1:21" x14ac:dyDescent="0.2">
      <c r="A21" t="s">
        <v>9</v>
      </c>
      <c r="B21" s="2">
        <v>1521</v>
      </c>
      <c r="C21" s="2">
        <v>155</v>
      </c>
      <c r="D21" s="2">
        <v>64</v>
      </c>
      <c r="E21" s="2">
        <v>7.62</v>
      </c>
      <c r="F21" s="2">
        <v>27.73</v>
      </c>
      <c r="G21" s="2">
        <v>1.85</v>
      </c>
      <c r="H21" s="2">
        <v>306</v>
      </c>
      <c r="I21" s="2">
        <v>806</v>
      </c>
      <c r="J21" s="2">
        <v>114010</v>
      </c>
      <c r="K21" s="8">
        <f t="shared" si="0"/>
        <v>2.6839750899043942E-3</v>
      </c>
      <c r="L21" s="8">
        <f t="shared" si="1"/>
        <v>7.0695553021664767E-3</v>
      </c>
      <c r="M21" s="5">
        <v>3.7</v>
      </c>
      <c r="N21" s="6">
        <v>22.78908259</v>
      </c>
      <c r="O21" s="6">
        <v>20.860712979999999</v>
      </c>
      <c r="P21" s="6">
        <v>104.66246219999999</v>
      </c>
      <c r="Q21" s="6">
        <v>83.918466530000003</v>
      </c>
      <c r="R21" s="6">
        <v>238.21353189999999</v>
      </c>
      <c r="S21" s="6">
        <v>172.85719309999999</v>
      </c>
    </row>
    <row r="22" spans="1:21" x14ac:dyDescent="0.2">
      <c r="A22" t="s">
        <v>9</v>
      </c>
      <c r="B22" s="2">
        <v>1521</v>
      </c>
      <c r="C22" s="2">
        <v>155</v>
      </c>
      <c r="D22" s="2">
        <v>66</v>
      </c>
      <c r="E22" s="2">
        <v>8.3800000000000008</v>
      </c>
      <c r="F22" s="2">
        <v>27.73</v>
      </c>
      <c r="G22" s="2">
        <v>1.94</v>
      </c>
      <c r="H22" s="2">
        <v>469</v>
      </c>
      <c r="I22" s="2">
        <v>942</v>
      </c>
      <c r="J22" s="2">
        <v>114010</v>
      </c>
      <c r="K22" s="8">
        <f t="shared" si="0"/>
        <v>4.1136742391018333E-3</v>
      </c>
      <c r="L22" s="8">
        <f t="shared" si="1"/>
        <v>8.2624331199017634E-3</v>
      </c>
      <c r="M22" s="5">
        <v>4.45</v>
      </c>
      <c r="N22" s="6">
        <v>27.04496031</v>
      </c>
      <c r="O22" s="6">
        <v>23.181528700000001</v>
      </c>
      <c r="P22" s="6">
        <v>118.2256003</v>
      </c>
      <c r="Q22" s="6">
        <v>121.88949839999999</v>
      </c>
      <c r="R22" s="6">
        <v>278.1266493</v>
      </c>
      <c r="S22" s="6">
        <v>268.11935560000001</v>
      </c>
      <c r="T22" s="2">
        <v>1.33</v>
      </c>
      <c r="U22" s="6">
        <v>2.33</v>
      </c>
    </row>
    <row r="23" spans="1:21" x14ac:dyDescent="0.2">
      <c r="A23" t="s">
        <v>9</v>
      </c>
      <c r="B23" s="2">
        <v>1521</v>
      </c>
      <c r="C23" s="2">
        <v>156</v>
      </c>
      <c r="D23" s="2">
        <v>71</v>
      </c>
      <c r="E23" s="2">
        <v>5.24</v>
      </c>
      <c r="F23" s="2">
        <v>27.73</v>
      </c>
      <c r="G23" s="2">
        <v>1.95</v>
      </c>
      <c r="H23" s="2">
        <v>514</v>
      </c>
      <c r="I23" s="2">
        <v>1185</v>
      </c>
      <c r="J23" s="2">
        <v>114010</v>
      </c>
      <c r="K23" s="8">
        <f t="shared" si="0"/>
        <v>4.5083764582054204E-3</v>
      </c>
      <c r="L23" s="8">
        <f t="shared" si="1"/>
        <v>1.0393825103061135E-2</v>
      </c>
      <c r="M23" s="5">
        <v>4.9829999999999997</v>
      </c>
      <c r="N23" s="6">
        <v>20.09467038</v>
      </c>
      <c r="O23" s="6">
        <v>22.527470709999999</v>
      </c>
      <c r="P23" s="6">
        <v>72.774765119999998</v>
      </c>
      <c r="Q23" s="6">
        <v>110.2580851</v>
      </c>
      <c r="R23" s="6">
        <v>171.31161399999999</v>
      </c>
      <c r="S23" s="6">
        <v>247.4344351</v>
      </c>
      <c r="T23" s="2">
        <v>0.28999999999999998</v>
      </c>
      <c r="U23" s="6">
        <v>5.28</v>
      </c>
    </row>
    <row r="24" spans="1:21" x14ac:dyDescent="0.2">
      <c r="A24" t="s">
        <v>9</v>
      </c>
      <c r="B24" s="2">
        <v>1521</v>
      </c>
      <c r="C24" s="2">
        <v>156</v>
      </c>
      <c r="D24" s="2">
        <v>74</v>
      </c>
      <c r="E24" s="2">
        <v>6.2</v>
      </c>
      <c r="F24" s="2">
        <v>27.73</v>
      </c>
      <c r="G24" s="2">
        <v>1.92</v>
      </c>
      <c r="H24" s="2">
        <v>454</v>
      </c>
      <c r="I24" s="2">
        <v>1119</v>
      </c>
      <c r="J24" s="2">
        <v>114010</v>
      </c>
      <c r="K24" s="8">
        <f t="shared" si="0"/>
        <v>3.9821068327339703E-3</v>
      </c>
      <c r="L24" s="8">
        <f t="shared" si="1"/>
        <v>9.8149285150425404E-3</v>
      </c>
      <c r="M24" s="5">
        <v>4.0490000000000004</v>
      </c>
      <c r="N24" s="6">
        <v>9.9183868700000009</v>
      </c>
      <c r="O24" s="6">
        <v>21.207179780000001</v>
      </c>
      <c r="P24" s="6">
        <v>52.078912989999999</v>
      </c>
      <c r="Q24" s="6">
        <v>107.78331559999999</v>
      </c>
      <c r="R24" s="6">
        <v>130.4750453</v>
      </c>
      <c r="S24" s="6">
        <v>215.10947010000001</v>
      </c>
    </row>
    <row r="25" spans="1:21" x14ac:dyDescent="0.2">
      <c r="A25" t="s">
        <v>9</v>
      </c>
      <c r="B25" s="2">
        <v>1521</v>
      </c>
      <c r="C25" s="2">
        <v>156</v>
      </c>
      <c r="D25" s="2">
        <v>75</v>
      </c>
      <c r="E25" s="2">
        <v>8.6300000000000008</v>
      </c>
      <c r="F25" s="2">
        <v>27.73</v>
      </c>
      <c r="G25" s="2">
        <v>2.11</v>
      </c>
      <c r="H25" s="2">
        <v>481</v>
      </c>
      <c r="I25" s="2">
        <v>1012</v>
      </c>
      <c r="J25" s="2">
        <v>114010</v>
      </c>
      <c r="K25" s="8">
        <f t="shared" si="0"/>
        <v>4.2189281641961231E-3</v>
      </c>
      <c r="L25" s="8">
        <f t="shared" si="1"/>
        <v>8.8764143496184549E-3</v>
      </c>
      <c r="M25" s="5">
        <v>4.45</v>
      </c>
      <c r="N25" s="6">
        <v>18.22877652</v>
      </c>
      <c r="O25" s="6">
        <v>20.914830349999999</v>
      </c>
      <c r="P25" s="6">
        <v>64.770507140000007</v>
      </c>
      <c r="Q25" s="6">
        <v>99.248058220000004</v>
      </c>
      <c r="R25" s="6">
        <v>149.55825479999999</v>
      </c>
      <c r="S25" s="6">
        <v>237.94259679999999</v>
      </c>
    </row>
    <row r="26" spans="1:21" x14ac:dyDescent="0.2">
      <c r="A26" t="s">
        <v>9</v>
      </c>
      <c r="B26" s="2">
        <v>1521</v>
      </c>
      <c r="C26" s="2">
        <v>157</v>
      </c>
      <c r="D26" s="2">
        <v>67</v>
      </c>
      <c r="E26" s="2">
        <v>7.72</v>
      </c>
      <c r="F26" s="2">
        <v>27.73</v>
      </c>
      <c r="G26" s="2">
        <v>2.34</v>
      </c>
      <c r="H26" s="2">
        <v>376</v>
      </c>
      <c r="I26" s="2">
        <v>827</v>
      </c>
      <c r="J26" s="2">
        <v>114010</v>
      </c>
      <c r="K26" s="8">
        <f t="shared" si="0"/>
        <v>3.297956319621086E-3</v>
      </c>
      <c r="L26" s="8">
        <f t="shared" si="1"/>
        <v>7.2537496710814841E-3</v>
      </c>
      <c r="M26" s="5">
        <v>4.3689999999999998</v>
      </c>
      <c r="N26" s="6">
        <v>12.119463250000001</v>
      </c>
      <c r="O26" s="6">
        <v>19.412790390000001</v>
      </c>
      <c r="P26" s="6">
        <v>36.856379830000002</v>
      </c>
      <c r="Q26" s="6">
        <v>110.33185640000001</v>
      </c>
      <c r="R26" s="6">
        <v>115.4993767</v>
      </c>
      <c r="S26" s="6">
        <v>218.97264699999999</v>
      </c>
    </row>
    <row r="27" spans="1:21" x14ac:dyDescent="0.2">
      <c r="A27" t="s">
        <v>9</v>
      </c>
      <c r="B27" s="2">
        <v>1521</v>
      </c>
      <c r="C27" s="2">
        <v>157</v>
      </c>
      <c r="D27" s="2">
        <v>68</v>
      </c>
      <c r="E27" s="2">
        <v>7.08</v>
      </c>
      <c r="F27" s="2">
        <v>27.73</v>
      </c>
      <c r="G27" s="2">
        <v>2.36</v>
      </c>
      <c r="H27" s="2">
        <v>340</v>
      </c>
      <c r="I27" s="2">
        <v>948</v>
      </c>
      <c r="J27" s="2">
        <v>114010</v>
      </c>
      <c r="K27" s="8">
        <f t="shared" si="0"/>
        <v>2.9821945443382161E-3</v>
      </c>
      <c r="L27" s="8">
        <f t="shared" si="1"/>
        <v>8.3150600824489079E-3</v>
      </c>
      <c r="M27" s="5">
        <v>4.2240000000000002</v>
      </c>
      <c r="N27" s="6">
        <v>14.48663709</v>
      </c>
      <c r="O27" s="6">
        <v>19.92049836</v>
      </c>
      <c r="P27" s="6">
        <v>43.656190969999997</v>
      </c>
      <c r="Q27" s="6">
        <v>114.53534809999999</v>
      </c>
      <c r="R27" s="6">
        <v>129.6109189</v>
      </c>
      <c r="S27" s="6">
        <v>237.5827146</v>
      </c>
      <c r="T27" s="2">
        <v>0.48</v>
      </c>
      <c r="U27" s="6">
        <v>4.71</v>
      </c>
    </row>
    <row r="28" spans="1:21" x14ac:dyDescent="0.2">
      <c r="A28" t="s">
        <v>9</v>
      </c>
      <c r="B28" s="2">
        <v>1521</v>
      </c>
      <c r="C28" s="2">
        <v>157</v>
      </c>
      <c r="D28" s="2">
        <v>72</v>
      </c>
      <c r="E28" s="2">
        <v>6.95</v>
      </c>
      <c r="F28" s="2">
        <v>27.73</v>
      </c>
      <c r="G28" s="2">
        <v>2.6</v>
      </c>
      <c r="H28" s="2">
        <v>345</v>
      </c>
      <c r="I28" s="2">
        <v>910</v>
      </c>
      <c r="J28" s="2">
        <v>114010</v>
      </c>
      <c r="K28" s="8">
        <f t="shared" si="0"/>
        <v>3.0260503464608368E-3</v>
      </c>
      <c r="L28" s="8">
        <f t="shared" si="1"/>
        <v>7.98175598631699E-3</v>
      </c>
      <c r="M28" s="5">
        <v>6.1</v>
      </c>
      <c r="N28" s="6">
        <v>14.925410400000001</v>
      </c>
      <c r="O28" s="6">
        <v>24.30677356</v>
      </c>
      <c r="P28" s="6">
        <v>58.512313349999999</v>
      </c>
      <c r="Q28" s="6">
        <v>153.0018134</v>
      </c>
      <c r="R28" s="6">
        <v>152.8473386</v>
      </c>
      <c r="S28" s="6">
        <v>363.33520170000003</v>
      </c>
    </row>
    <row r="29" spans="1:21" x14ac:dyDescent="0.2">
      <c r="A29" t="s">
        <v>9</v>
      </c>
      <c r="B29" s="2">
        <v>1521</v>
      </c>
      <c r="C29" s="2">
        <v>158</v>
      </c>
      <c r="D29" s="2">
        <v>70</v>
      </c>
      <c r="E29" s="2">
        <v>7.79</v>
      </c>
      <c r="F29" s="2">
        <v>27.73</v>
      </c>
      <c r="G29" s="2">
        <v>1.44</v>
      </c>
      <c r="H29" s="2">
        <v>523</v>
      </c>
      <c r="I29" s="2">
        <v>437</v>
      </c>
      <c r="J29" s="2">
        <v>114010</v>
      </c>
      <c r="K29" s="8">
        <f t="shared" si="0"/>
        <v>4.5873169020261379E-3</v>
      </c>
      <c r="L29" s="8">
        <f t="shared" si="1"/>
        <v>3.8329971055170598E-3</v>
      </c>
      <c r="M29" s="5">
        <v>3.4169999999999998</v>
      </c>
      <c r="N29" s="6">
        <v>19.411764309999999</v>
      </c>
      <c r="O29" s="6">
        <v>22.631666249999999</v>
      </c>
      <c r="P29" s="6">
        <v>64.644144429999997</v>
      </c>
      <c r="Q29" s="6">
        <v>109.2598236</v>
      </c>
      <c r="R29" s="6">
        <v>153.29039069999999</v>
      </c>
      <c r="S29" s="6">
        <v>224.7669688</v>
      </c>
    </row>
    <row r="30" spans="1:21" x14ac:dyDescent="0.2">
      <c r="A30" t="s">
        <v>9</v>
      </c>
      <c r="B30" s="2">
        <v>1521</v>
      </c>
      <c r="C30" s="2">
        <v>158</v>
      </c>
      <c r="D30" s="2">
        <v>73</v>
      </c>
      <c r="E30" s="2">
        <v>6.96</v>
      </c>
      <c r="F30" s="2">
        <v>27.73</v>
      </c>
      <c r="G30" s="2">
        <v>1.76</v>
      </c>
      <c r="H30" s="2">
        <v>454</v>
      </c>
      <c r="I30" s="2">
        <v>651</v>
      </c>
      <c r="J30" s="2">
        <v>114010</v>
      </c>
      <c r="K30" s="8">
        <f t="shared" si="0"/>
        <v>3.9821068327339703E-3</v>
      </c>
      <c r="L30" s="8">
        <f t="shared" si="1"/>
        <v>5.7100254363652309E-3</v>
      </c>
      <c r="M30" s="5">
        <v>4.6130000000000004</v>
      </c>
      <c r="N30" s="6">
        <v>11.47423186</v>
      </c>
      <c r="O30" s="6">
        <v>22.864112630000001</v>
      </c>
      <c r="P30" s="6">
        <v>39.282754079999997</v>
      </c>
      <c r="Q30" s="6">
        <v>113.8068956</v>
      </c>
      <c r="R30" s="6">
        <v>96.144170180000003</v>
      </c>
      <c r="S30" s="6">
        <v>241.34714940000001</v>
      </c>
      <c r="T30" s="2">
        <v>4.92</v>
      </c>
      <c r="U30" s="6">
        <v>0.15</v>
      </c>
    </row>
    <row r="31" spans="1:21" x14ac:dyDescent="0.2">
      <c r="A31" t="s">
        <v>9</v>
      </c>
      <c r="B31" s="2">
        <v>1521</v>
      </c>
      <c r="C31" s="2">
        <v>158</v>
      </c>
      <c r="D31" s="2">
        <v>81</v>
      </c>
      <c r="E31" s="2">
        <v>9.81</v>
      </c>
      <c r="F31" s="2">
        <v>27.73</v>
      </c>
      <c r="G31" s="2">
        <v>1.48</v>
      </c>
      <c r="H31" s="2">
        <v>266</v>
      </c>
      <c r="I31" s="2">
        <v>577</v>
      </c>
      <c r="J31" s="2">
        <v>114010</v>
      </c>
      <c r="K31" s="8">
        <f t="shared" si="0"/>
        <v>2.3331286729234278E-3</v>
      </c>
      <c r="L31" s="8">
        <f t="shared" si="1"/>
        <v>5.0609595649504426E-3</v>
      </c>
      <c r="M31" s="5">
        <v>3.8690000000000002</v>
      </c>
      <c r="N31" s="6">
        <v>13.97725133</v>
      </c>
      <c r="O31" s="6">
        <v>23.341230360000001</v>
      </c>
      <c r="P31" s="6">
        <v>56.133606690000001</v>
      </c>
      <c r="Q31" s="6">
        <v>116.368898</v>
      </c>
      <c r="R31" s="6">
        <v>131.95716060000001</v>
      </c>
      <c r="S31" s="6">
        <v>247.76854729999999</v>
      </c>
    </row>
    <row r="32" spans="1:21" x14ac:dyDescent="0.2">
      <c r="A32" t="s">
        <v>10</v>
      </c>
      <c r="B32" s="2">
        <v>666</v>
      </c>
      <c r="C32" s="2">
        <v>101</v>
      </c>
      <c r="D32" s="2">
        <v>1</v>
      </c>
      <c r="E32" s="2">
        <v>8.59</v>
      </c>
      <c r="F32" s="2">
        <v>27.73</v>
      </c>
      <c r="G32" s="2">
        <v>1.18</v>
      </c>
      <c r="H32" s="2">
        <v>452</v>
      </c>
      <c r="I32" s="2">
        <v>754</v>
      </c>
      <c r="J32" s="2">
        <v>114010</v>
      </c>
      <c r="K32" s="8">
        <f t="shared" si="0"/>
        <v>3.9645645118849228E-3</v>
      </c>
      <c r="L32" s="8">
        <f t="shared" si="1"/>
        <v>6.6134549600912204E-3</v>
      </c>
      <c r="M32" s="5">
        <v>3.2509999999999999</v>
      </c>
      <c r="N32" s="6">
        <v>24.755789350000001</v>
      </c>
      <c r="O32" s="6">
        <v>24.30565971</v>
      </c>
      <c r="P32" s="6">
        <v>83.842244269999995</v>
      </c>
      <c r="Q32" s="6">
        <v>101.9414257</v>
      </c>
      <c r="R32" s="6">
        <v>205.61117379999999</v>
      </c>
      <c r="S32" s="6">
        <v>217.07177970000001</v>
      </c>
    </row>
    <row r="33" spans="1:21" x14ac:dyDescent="0.2">
      <c r="A33" t="s">
        <v>10</v>
      </c>
      <c r="B33" s="2">
        <v>666</v>
      </c>
      <c r="C33" s="2">
        <v>101</v>
      </c>
      <c r="D33" s="2">
        <v>2</v>
      </c>
      <c r="E33" s="2">
        <v>8.5399999999999991</v>
      </c>
      <c r="F33" s="2">
        <v>27.73</v>
      </c>
      <c r="G33" s="2">
        <v>1.59</v>
      </c>
      <c r="H33" s="2">
        <v>456</v>
      </c>
      <c r="I33" s="2">
        <v>827</v>
      </c>
      <c r="J33" s="2">
        <v>114010</v>
      </c>
      <c r="K33" s="8">
        <f t="shared" si="0"/>
        <v>3.9996491535830188E-3</v>
      </c>
      <c r="L33" s="8">
        <f t="shared" si="1"/>
        <v>7.2537496710814841E-3</v>
      </c>
      <c r="M33" s="5">
        <v>3.4449999999999998</v>
      </c>
      <c r="N33" s="6">
        <v>26.173963610000001</v>
      </c>
      <c r="O33" s="6">
        <v>29.016015110000001</v>
      </c>
      <c r="P33" s="6">
        <v>85.48734383</v>
      </c>
      <c r="Q33" s="6">
        <v>113.5504541</v>
      </c>
      <c r="R33" s="6">
        <v>205.6995306</v>
      </c>
      <c r="S33" s="6">
        <v>242.18004680000001</v>
      </c>
    </row>
    <row r="34" spans="1:21" x14ac:dyDescent="0.2">
      <c r="A34" t="s">
        <v>10</v>
      </c>
      <c r="B34" s="2">
        <v>666</v>
      </c>
      <c r="C34" s="2">
        <v>101</v>
      </c>
      <c r="D34" s="2">
        <v>3</v>
      </c>
      <c r="E34" s="2">
        <v>8.66</v>
      </c>
      <c r="F34" s="2">
        <v>27.73</v>
      </c>
      <c r="G34" s="2">
        <v>1.67</v>
      </c>
      <c r="H34" s="2">
        <v>493</v>
      </c>
      <c r="I34" s="2">
        <v>850</v>
      </c>
      <c r="J34" s="2">
        <v>114010</v>
      </c>
      <c r="K34" s="8">
        <f t="shared" si="0"/>
        <v>4.3241820892904129E-3</v>
      </c>
      <c r="L34" s="8">
        <f t="shared" si="1"/>
        <v>7.45548636084554E-3</v>
      </c>
      <c r="M34" s="5">
        <v>3.0329999999999999</v>
      </c>
      <c r="N34" s="6">
        <v>24.34654244</v>
      </c>
      <c r="O34" s="6">
        <v>28.062841259999999</v>
      </c>
      <c r="P34" s="6">
        <v>77.854409759999996</v>
      </c>
      <c r="Q34" s="6">
        <v>118.929434</v>
      </c>
      <c r="R34" s="6">
        <v>198.22717729999999</v>
      </c>
      <c r="S34" s="6">
        <v>254.11305390000001</v>
      </c>
      <c r="T34" s="2">
        <v>6.31</v>
      </c>
      <c r="U34" s="6">
        <v>1.01</v>
      </c>
    </row>
    <row r="35" spans="1:21" x14ac:dyDescent="0.2">
      <c r="A35" t="s">
        <v>10</v>
      </c>
      <c r="B35" s="2">
        <v>666</v>
      </c>
      <c r="C35" s="2">
        <v>105</v>
      </c>
      <c r="D35" s="2">
        <v>7</v>
      </c>
      <c r="E35" s="2">
        <v>6.93</v>
      </c>
      <c r="F35" s="2">
        <v>27.73</v>
      </c>
      <c r="G35" s="2">
        <v>1.4</v>
      </c>
      <c r="H35" s="2">
        <v>368</v>
      </c>
      <c r="I35" s="2">
        <v>591</v>
      </c>
      <c r="J35" s="2">
        <v>114010</v>
      </c>
      <c r="K35" s="8">
        <f t="shared" si="0"/>
        <v>3.2277870362248926E-3</v>
      </c>
      <c r="L35" s="8">
        <f t="shared" si="1"/>
        <v>5.1837558108937809E-3</v>
      </c>
      <c r="M35" s="5">
        <v>3.903</v>
      </c>
      <c r="N35" s="6">
        <v>25.547175670000001</v>
      </c>
      <c r="O35" s="6">
        <v>24.5603707</v>
      </c>
      <c r="P35" s="6">
        <v>92.324842149999995</v>
      </c>
      <c r="Q35" s="6">
        <v>89.700536049999997</v>
      </c>
      <c r="R35" s="6">
        <v>216.4790806</v>
      </c>
      <c r="S35" s="6">
        <v>189.47631989999999</v>
      </c>
    </row>
    <row r="36" spans="1:21" x14ac:dyDescent="0.2">
      <c r="A36" t="s">
        <v>10</v>
      </c>
      <c r="B36" s="2">
        <v>666</v>
      </c>
      <c r="C36" s="2">
        <v>105</v>
      </c>
      <c r="D36" s="2">
        <v>8</v>
      </c>
      <c r="E36" s="2">
        <v>8.0299999999999994</v>
      </c>
      <c r="F36" s="2">
        <v>27.73</v>
      </c>
      <c r="G36" s="2">
        <v>1.46</v>
      </c>
      <c r="H36" s="2">
        <v>380</v>
      </c>
      <c r="I36" s="2">
        <v>667</v>
      </c>
      <c r="J36" s="2">
        <v>114010</v>
      </c>
      <c r="K36" s="8">
        <f t="shared" si="0"/>
        <v>3.3330409613191825E-3</v>
      </c>
      <c r="L36" s="8">
        <f t="shared" si="1"/>
        <v>5.8503640031576177E-3</v>
      </c>
      <c r="M36" s="5">
        <v>2.7530000000000001</v>
      </c>
      <c r="N36" s="6">
        <v>27.525582150000002</v>
      </c>
      <c r="O36" s="6">
        <v>19.312214340000001</v>
      </c>
      <c r="P36" s="6">
        <v>97.628039999999999</v>
      </c>
      <c r="Q36" s="6">
        <v>66.818054700000005</v>
      </c>
      <c r="R36" s="6">
        <v>230.6455991</v>
      </c>
      <c r="S36" s="6">
        <v>139.0071824</v>
      </c>
    </row>
    <row r="37" spans="1:21" x14ac:dyDescent="0.2">
      <c r="A37" t="s">
        <v>10</v>
      </c>
      <c r="B37" s="2">
        <v>666</v>
      </c>
      <c r="C37" s="2">
        <v>105</v>
      </c>
      <c r="D37" s="2">
        <v>9</v>
      </c>
      <c r="E37" s="2">
        <v>8.3800000000000008</v>
      </c>
      <c r="F37" s="2">
        <v>27.73</v>
      </c>
      <c r="G37" s="2">
        <v>1.48</v>
      </c>
      <c r="H37" s="2">
        <v>462</v>
      </c>
      <c r="I37" s="2">
        <v>615</v>
      </c>
      <c r="J37" s="2">
        <v>114010</v>
      </c>
      <c r="K37" s="8">
        <f t="shared" si="0"/>
        <v>4.0522761161301641E-3</v>
      </c>
      <c r="L37" s="8">
        <f t="shared" si="1"/>
        <v>5.3942636610823614E-3</v>
      </c>
      <c r="M37" s="5">
        <v>3.375</v>
      </c>
      <c r="N37" s="6">
        <v>21.607960739999999</v>
      </c>
      <c r="O37" s="6">
        <v>21.753697330000001</v>
      </c>
      <c r="P37" s="6">
        <v>94.443495580000004</v>
      </c>
      <c r="Q37" s="6">
        <v>117.8485816</v>
      </c>
      <c r="R37" s="6">
        <v>225.62511319999999</v>
      </c>
      <c r="S37" s="6">
        <v>237.16013409999999</v>
      </c>
      <c r="T37" s="2">
        <v>6.68</v>
      </c>
      <c r="U37" s="6">
        <v>0.69</v>
      </c>
    </row>
    <row r="38" spans="1:21" x14ac:dyDescent="0.2">
      <c r="A38" t="s">
        <v>10</v>
      </c>
      <c r="B38" s="2">
        <v>666</v>
      </c>
      <c r="C38" s="2">
        <v>118</v>
      </c>
      <c r="D38" s="2">
        <v>10</v>
      </c>
      <c r="E38" s="2">
        <v>9.02</v>
      </c>
      <c r="F38" s="2">
        <v>27.73</v>
      </c>
      <c r="G38" s="2">
        <v>1.97</v>
      </c>
      <c r="H38" s="2">
        <v>354</v>
      </c>
      <c r="I38" s="2">
        <v>651</v>
      </c>
      <c r="J38" s="2">
        <v>114010</v>
      </c>
      <c r="K38" s="8">
        <f t="shared" si="0"/>
        <v>3.1049907902815544E-3</v>
      </c>
      <c r="L38" s="8">
        <f t="shared" si="1"/>
        <v>5.7100254363652309E-3</v>
      </c>
      <c r="M38" s="5">
        <v>3.1659999999999999</v>
      </c>
      <c r="N38" s="6">
        <v>16.32544403</v>
      </c>
      <c r="O38" s="6">
        <v>24.90474729</v>
      </c>
      <c r="P38" s="6">
        <v>70.598697639999997</v>
      </c>
      <c r="Q38" s="6">
        <v>103.2301162</v>
      </c>
      <c r="R38" s="6">
        <v>169.35316449999999</v>
      </c>
      <c r="S38" s="6">
        <v>209.66073460000001</v>
      </c>
      <c r="T38" s="2">
        <v>7.72</v>
      </c>
      <c r="U38" s="6">
        <v>1.3</v>
      </c>
    </row>
    <row r="39" spans="1:21" x14ac:dyDescent="0.2">
      <c r="A39" t="s">
        <v>10</v>
      </c>
      <c r="B39" s="2">
        <v>666</v>
      </c>
      <c r="C39" s="2">
        <v>118</v>
      </c>
      <c r="D39" s="2">
        <v>11</v>
      </c>
      <c r="E39" s="2">
        <v>9.2100000000000009</v>
      </c>
      <c r="F39" s="2">
        <v>27.73</v>
      </c>
      <c r="G39" s="2">
        <v>1.36</v>
      </c>
      <c r="H39" s="2">
        <v>365</v>
      </c>
      <c r="I39" s="2">
        <v>547</v>
      </c>
      <c r="J39" s="2">
        <v>114010</v>
      </c>
      <c r="K39" s="8">
        <f t="shared" si="0"/>
        <v>3.20147355495132E-3</v>
      </c>
      <c r="L39" s="8">
        <f t="shared" si="1"/>
        <v>4.7978247522147176E-3</v>
      </c>
      <c r="M39" s="5">
        <v>3.6349999999999998</v>
      </c>
      <c r="N39" s="6">
        <v>7.0894142220000003</v>
      </c>
      <c r="O39" s="6">
        <v>27.10979523</v>
      </c>
      <c r="P39" s="6">
        <v>48.940411439999998</v>
      </c>
      <c r="Q39" s="6">
        <v>119.2528631</v>
      </c>
      <c r="R39" s="6">
        <v>110.80849910000001</v>
      </c>
      <c r="S39" s="6">
        <v>244.0396264</v>
      </c>
    </row>
    <row r="40" spans="1:21" x14ac:dyDescent="0.2">
      <c r="A40" t="s">
        <v>10</v>
      </c>
      <c r="B40" s="2">
        <v>666</v>
      </c>
      <c r="C40" s="2">
        <v>118</v>
      </c>
      <c r="D40" s="2">
        <v>12</v>
      </c>
      <c r="E40" s="2">
        <v>8</v>
      </c>
      <c r="F40" s="2">
        <v>27.73</v>
      </c>
      <c r="G40" s="2">
        <v>1.65</v>
      </c>
      <c r="H40" s="2">
        <v>323</v>
      </c>
      <c r="I40" s="2">
        <v>587</v>
      </c>
      <c r="J40" s="2">
        <v>114010</v>
      </c>
      <c r="K40" s="8">
        <f t="shared" si="0"/>
        <v>2.8330848171213051E-3</v>
      </c>
      <c r="L40" s="8">
        <f t="shared" si="1"/>
        <v>5.1486711691956849E-3</v>
      </c>
      <c r="M40" s="5">
        <v>2.9180000000000001</v>
      </c>
      <c r="N40" s="6">
        <v>15.74783225</v>
      </c>
      <c r="O40" s="6">
        <v>25.25442945</v>
      </c>
      <c r="P40" s="6">
        <v>69.389779739999994</v>
      </c>
      <c r="Q40" s="6">
        <v>143.56272609999999</v>
      </c>
      <c r="R40" s="6">
        <v>164.83477389999999</v>
      </c>
      <c r="S40" s="6">
        <v>311.4351479</v>
      </c>
    </row>
    <row r="41" spans="1:21" x14ac:dyDescent="0.2">
      <c r="A41" t="s">
        <v>10</v>
      </c>
      <c r="B41" s="2">
        <v>666</v>
      </c>
      <c r="C41" s="2">
        <v>122</v>
      </c>
      <c r="D41" s="2">
        <v>16</v>
      </c>
      <c r="E41" s="2">
        <v>8.23</v>
      </c>
      <c r="F41" s="2">
        <v>27.73</v>
      </c>
      <c r="G41" s="2">
        <v>1.83</v>
      </c>
      <c r="H41" s="2">
        <v>319</v>
      </c>
      <c r="I41" s="2">
        <v>618</v>
      </c>
      <c r="J41" s="2">
        <v>114010</v>
      </c>
      <c r="K41" s="8">
        <f t="shared" si="0"/>
        <v>2.7980001754232087E-3</v>
      </c>
      <c r="L41" s="8">
        <f t="shared" si="1"/>
        <v>5.4205771423559337E-3</v>
      </c>
      <c r="M41" s="5">
        <v>3.81</v>
      </c>
      <c r="N41" s="6">
        <v>19.01063989</v>
      </c>
      <c r="O41" s="6">
        <v>21.320335790000001</v>
      </c>
      <c r="P41" s="6">
        <v>70.630464340000003</v>
      </c>
      <c r="Q41" s="6">
        <v>137.81067039999999</v>
      </c>
      <c r="R41" s="6">
        <v>221.13824940000001</v>
      </c>
      <c r="S41" s="6">
        <v>281.87236899999999</v>
      </c>
    </row>
    <row r="42" spans="1:21" x14ac:dyDescent="0.2">
      <c r="A42" t="s">
        <v>10</v>
      </c>
      <c r="B42" s="2">
        <v>666</v>
      </c>
      <c r="C42" s="2">
        <v>122</v>
      </c>
      <c r="D42" s="2">
        <v>17</v>
      </c>
      <c r="E42" s="2">
        <v>8.32</v>
      </c>
      <c r="F42" s="2">
        <v>27.73</v>
      </c>
      <c r="G42" s="2">
        <v>1.36</v>
      </c>
      <c r="H42" s="2">
        <v>405</v>
      </c>
      <c r="I42" s="2">
        <v>662</v>
      </c>
      <c r="J42" s="2">
        <v>114010</v>
      </c>
      <c r="K42" s="8">
        <f t="shared" si="0"/>
        <v>3.5523199719322868E-3</v>
      </c>
      <c r="L42" s="8">
        <f t="shared" si="1"/>
        <v>5.806508201034997E-3</v>
      </c>
      <c r="M42" s="5">
        <v>3.47</v>
      </c>
      <c r="N42" s="6">
        <v>24.560637849999999</v>
      </c>
      <c r="O42" s="6">
        <v>17.728298689999999</v>
      </c>
      <c r="P42" s="6">
        <v>94.15063619</v>
      </c>
      <c r="Q42" s="6">
        <v>121.7448801</v>
      </c>
      <c r="R42" s="6">
        <v>208.89744709999999</v>
      </c>
      <c r="S42" s="6">
        <v>245.6174029</v>
      </c>
      <c r="T42" s="2">
        <v>11.69</v>
      </c>
      <c r="U42" s="6">
        <v>0.7</v>
      </c>
    </row>
    <row r="43" spans="1:21" x14ac:dyDescent="0.2">
      <c r="A43" t="s">
        <v>10</v>
      </c>
      <c r="B43" s="2">
        <v>666</v>
      </c>
      <c r="C43" s="2">
        <v>122</v>
      </c>
      <c r="D43" s="2">
        <v>18</v>
      </c>
      <c r="E43" s="2">
        <v>8.39</v>
      </c>
      <c r="F43" s="2">
        <v>27.73</v>
      </c>
      <c r="G43" s="2">
        <v>1.83</v>
      </c>
      <c r="H43" s="2">
        <v>376</v>
      </c>
      <c r="I43" s="2">
        <v>640</v>
      </c>
      <c r="J43" s="2">
        <v>114010</v>
      </c>
      <c r="K43" s="8">
        <f t="shared" si="0"/>
        <v>3.297956319621086E-3</v>
      </c>
      <c r="L43" s="8">
        <f t="shared" si="1"/>
        <v>5.6135426716954649E-3</v>
      </c>
      <c r="M43" s="5">
        <v>3.093</v>
      </c>
      <c r="N43" s="6">
        <v>11.58842634</v>
      </c>
      <c r="O43" s="6">
        <v>28.63976379</v>
      </c>
      <c r="P43" s="6">
        <v>59.14958464</v>
      </c>
      <c r="Q43" s="6">
        <v>145.81984629999999</v>
      </c>
      <c r="R43" s="6">
        <v>177.00135779999999</v>
      </c>
      <c r="S43" s="6">
        <v>312.24870010000001</v>
      </c>
    </row>
    <row r="44" spans="1:21" x14ac:dyDescent="0.2">
      <c r="A44" t="s">
        <v>10</v>
      </c>
      <c r="B44" s="2">
        <v>666</v>
      </c>
      <c r="C44" s="2">
        <v>123</v>
      </c>
      <c r="D44" s="2">
        <v>19</v>
      </c>
      <c r="E44" s="2">
        <v>7.35</v>
      </c>
      <c r="F44" s="2">
        <v>27.73</v>
      </c>
      <c r="G44" s="2">
        <v>1.63</v>
      </c>
      <c r="H44" s="2">
        <v>392</v>
      </c>
      <c r="I44" s="2">
        <v>566</v>
      </c>
      <c r="J44" s="2">
        <v>114010</v>
      </c>
      <c r="K44" s="8">
        <f t="shared" si="0"/>
        <v>3.4382948864134723E-3</v>
      </c>
      <c r="L44" s="8">
        <f t="shared" si="1"/>
        <v>4.9644768002806774E-3</v>
      </c>
      <c r="M44" s="5">
        <v>3.3</v>
      </c>
      <c r="N44" s="6">
        <v>20.93145625</v>
      </c>
      <c r="O44" s="6">
        <v>22.47176327</v>
      </c>
      <c r="P44" s="6">
        <v>92.203820719999996</v>
      </c>
      <c r="Q44" s="6">
        <v>95.201985390000004</v>
      </c>
      <c r="R44" s="6">
        <v>205.8343318</v>
      </c>
      <c r="S44" s="6">
        <v>199.62912320000001</v>
      </c>
    </row>
    <row r="45" spans="1:21" x14ac:dyDescent="0.2">
      <c r="A45" t="s">
        <v>10</v>
      </c>
      <c r="B45" s="2">
        <v>666</v>
      </c>
      <c r="C45" s="2">
        <v>123</v>
      </c>
      <c r="D45" s="2">
        <v>20</v>
      </c>
      <c r="E45" s="2">
        <v>7.15</v>
      </c>
      <c r="F45" s="2">
        <v>27.73</v>
      </c>
      <c r="G45" s="2">
        <v>1.93</v>
      </c>
      <c r="H45" s="2">
        <v>288</v>
      </c>
      <c r="I45" s="2">
        <v>562</v>
      </c>
      <c r="J45" s="2">
        <v>114010</v>
      </c>
      <c r="K45" s="8">
        <f t="shared" si="0"/>
        <v>2.5260942022629594E-3</v>
      </c>
      <c r="L45" s="8">
        <f t="shared" si="1"/>
        <v>4.9293921585825805E-3</v>
      </c>
      <c r="M45" s="5">
        <v>3.7549999999999999</v>
      </c>
      <c r="N45" s="6">
        <v>24.998878309999998</v>
      </c>
      <c r="O45" s="6">
        <v>27.514731699999999</v>
      </c>
      <c r="P45" s="6">
        <v>97.657725929999998</v>
      </c>
      <c r="Q45" s="6">
        <v>132.8090085</v>
      </c>
      <c r="R45" s="6">
        <v>226.52609419999999</v>
      </c>
      <c r="S45" s="6">
        <v>286.1930193</v>
      </c>
    </row>
    <row r="46" spans="1:21" x14ac:dyDescent="0.2">
      <c r="A46" t="s">
        <v>10</v>
      </c>
      <c r="B46" s="2">
        <v>666</v>
      </c>
      <c r="C46" s="2">
        <v>123</v>
      </c>
      <c r="D46" s="2">
        <v>22</v>
      </c>
      <c r="E46" s="2">
        <v>6.56</v>
      </c>
      <c r="F46" s="2">
        <v>27.73</v>
      </c>
      <c r="G46" s="2">
        <v>1.94</v>
      </c>
      <c r="H46" s="2">
        <v>294</v>
      </c>
      <c r="I46" s="2">
        <v>497</v>
      </c>
      <c r="J46" s="2">
        <v>114010</v>
      </c>
      <c r="K46" s="8">
        <f t="shared" si="0"/>
        <v>2.5787211648101043E-3</v>
      </c>
      <c r="L46" s="8">
        <f t="shared" si="1"/>
        <v>4.3592667309885098E-3</v>
      </c>
      <c r="M46" s="5">
        <v>3.4009999999999998</v>
      </c>
      <c r="N46" s="6">
        <v>20.80421398</v>
      </c>
      <c r="O46" s="6">
        <v>17.867123830000001</v>
      </c>
      <c r="P46" s="6">
        <v>79.601160340000007</v>
      </c>
      <c r="Q46" s="6">
        <v>108.4757882</v>
      </c>
      <c r="R46" s="6">
        <v>204.92005470000001</v>
      </c>
      <c r="S46" s="6">
        <v>228.64888590000001</v>
      </c>
      <c r="T46" s="2">
        <v>0.79</v>
      </c>
      <c r="U46" s="6">
        <v>3.16</v>
      </c>
    </row>
    <row r="47" spans="1:21" x14ac:dyDescent="0.2">
      <c r="A47" t="s">
        <v>11</v>
      </c>
      <c r="B47" s="2">
        <v>1212</v>
      </c>
      <c r="C47" s="2">
        <v>3</v>
      </c>
      <c r="D47" s="2">
        <v>29</v>
      </c>
      <c r="E47" s="2">
        <v>8.41</v>
      </c>
      <c r="F47" s="2">
        <v>27.73</v>
      </c>
      <c r="G47" s="2">
        <v>1.74</v>
      </c>
      <c r="H47" s="2">
        <v>375</v>
      </c>
      <c r="I47" s="2">
        <v>545</v>
      </c>
      <c r="J47" s="2">
        <v>114010</v>
      </c>
      <c r="K47" s="8">
        <f t="shared" si="0"/>
        <v>3.2891851591965618E-3</v>
      </c>
      <c r="L47" s="8">
        <f t="shared" si="1"/>
        <v>4.78028243136567E-3</v>
      </c>
      <c r="M47" s="5">
        <v>2.843</v>
      </c>
      <c r="N47" s="6">
        <v>23.22774373</v>
      </c>
      <c r="O47" s="6">
        <v>20.05519834</v>
      </c>
      <c r="P47" s="6">
        <v>91.521816630000004</v>
      </c>
      <c r="Q47" s="6">
        <v>99.795749029999996</v>
      </c>
      <c r="R47" s="6">
        <v>190.7023571</v>
      </c>
      <c r="S47" s="6">
        <v>211.80241620000001</v>
      </c>
      <c r="T47" s="2">
        <v>3.73</v>
      </c>
      <c r="U47" s="6">
        <v>0.24</v>
      </c>
    </row>
    <row r="48" spans="1:21" x14ac:dyDescent="0.2">
      <c r="A48" t="s">
        <v>11</v>
      </c>
      <c r="B48" s="2">
        <v>1212</v>
      </c>
      <c r="C48" s="2">
        <v>3</v>
      </c>
      <c r="D48" s="2">
        <v>30</v>
      </c>
      <c r="E48" s="2">
        <v>8.51</v>
      </c>
      <c r="F48" s="2">
        <v>27.73</v>
      </c>
      <c r="G48" s="2">
        <v>1.86</v>
      </c>
      <c r="H48" s="2">
        <v>288</v>
      </c>
      <c r="I48" s="2">
        <v>512</v>
      </c>
      <c r="J48" s="2">
        <v>114010</v>
      </c>
      <c r="K48" s="8">
        <f t="shared" si="0"/>
        <v>2.5260942022629594E-3</v>
      </c>
      <c r="L48" s="8">
        <f t="shared" si="1"/>
        <v>4.4908341373563719E-3</v>
      </c>
      <c r="M48" s="5">
        <v>3.2949999999999999</v>
      </c>
      <c r="N48" s="6">
        <v>10.78926843</v>
      </c>
      <c r="O48" s="6">
        <v>22.701031860000001</v>
      </c>
      <c r="P48" s="6">
        <v>40.899946239999998</v>
      </c>
      <c r="Q48" s="6">
        <v>89.181159989999998</v>
      </c>
      <c r="R48" s="6">
        <v>89.22032901</v>
      </c>
      <c r="S48" s="6">
        <v>181.1040477</v>
      </c>
    </row>
    <row r="49" spans="1:21" x14ac:dyDescent="0.2">
      <c r="A49" t="s">
        <v>11</v>
      </c>
      <c r="B49" s="2">
        <v>1212</v>
      </c>
      <c r="C49" s="2">
        <v>3</v>
      </c>
      <c r="D49" s="2">
        <v>31</v>
      </c>
      <c r="E49" s="2">
        <v>8.76</v>
      </c>
      <c r="F49" s="2">
        <v>27.73</v>
      </c>
      <c r="G49" s="2">
        <v>1.43</v>
      </c>
      <c r="H49" s="2">
        <v>341</v>
      </c>
      <c r="I49" s="2">
        <v>562</v>
      </c>
      <c r="J49" s="2">
        <v>114010</v>
      </c>
      <c r="K49" s="8">
        <f t="shared" si="0"/>
        <v>2.9909657047627403E-3</v>
      </c>
      <c r="L49" s="8">
        <f t="shared" si="1"/>
        <v>4.9293921585825805E-3</v>
      </c>
      <c r="M49" s="5">
        <v>3.6560000000000001</v>
      </c>
      <c r="N49" s="6">
        <v>23.580718430000001</v>
      </c>
      <c r="O49" s="6">
        <v>21.18882911</v>
      </c>
      <c r="P49" s="6">
        <v>88.226393560000005</v>
      </c>
      <c r="Q49" s="6">
        <v>113.8480082</v>
      </c>
      <c r="R49" s="6">
        <v>196.12756150000001</v>
      </c>
      <c r="S49" s="6">
        <v>217.68660890000001</v>
      </c>
    </row>
    <row r="50" spans="1:21" x14ac:dyDescent="0.2">
      <c r="A50" t="s">
        <v>11</v>
      </c>
      <c r="B50" s="2">
        <v>1212</v>
      </c>
      <c r="C50" s="2">
        <v>4</v>
      </c>
      <c r="D50" s="2">
        <v>32</v>
      </c>
      <c r="E50" s="2">
        <v>7.95</v>
      </c>
      <c r="F50" s="2">
        <v>27.73</v>
      </c>
      <c r="G50" s="2">
        <v>1.76</v>
      </c>
      <c r="H50" s="2">
        <v>464</v>
      </c>
      <c r="I50" s="2">
        <v>718</v>
      </c>
      <c r="J50" s="2">
        <v>114010</v>
      </c>
      <c r="K50" s="8">
        <f t="shared" si="0"/>
        <v>4.0698184369792126E-3</v>
      </c>
      <c r="L50" s="8">
        <f t="shared" si="1"/>
        <v>6.2976931848083501E-3</v>
      </c>
      <c r="M50" s="5">
        <v>3.161</v>
      </c>
      <c r="N50" s="6">
        <v>11.24119853</v>
      </c>
      <c r="O50" s="6">
        <v>10.9587091</v>
      </c>
      <c r="P50" s="6">
        <v>47.482610610000002</v>
      </c>
      <c r="Q50" s="6">
        <v>77.044621100000001</v>
      </c>
      <c r="R50" s="6">
        <v>129.38971889999999</v>
      </c>
      <c r="S50" s="6">
        <v>157.08165840000001</v>
      </c>
    </row>
    <row r="51" spans="1:21" x14ac:dyDescent="0.2">
      <c r="A51" t="s">
        <v>11</v>
      </c>
      <c r="B51" s="2">
        <v>1212</v>
      </c>
      <c r="C51" s="2">
        <v>4</v>
      </c>
      <c r="D51" s="2">
        <v>33</v>
      </c>
      <c r="E51" s="2">
        <v>7.67</v>
      </c>
      <c r="F51" s="2">
        <v>27.73</v>
      </c>
      <c r="G51" s="2">
        <v>1.8</v>
      </c>
      <c r="H51" s="2">
        <v>341</v>
      </c>
      <c r="I51" s="2">
        <v>558</v>
      </c>
      <c r="J51" s="2">
        <v>114010</v>
      </c>
      <c r="K51" s="8">
        <f t="shared" si="0"/>
        <v>2.9909657047627403E-3</v>
      </c>
      <c r="L51" s="8">
        <f t="shared" si="1"/>
        <v>4.8943075168844836E-3</v>
      </c>
      <c r="M51" s="5">
        <v>3.4</v>
      </c>
      <c r="N51" s="6">
        <v>15.00681346</v>
      </c>
      <c r="O51" s="6">
        <v>12.72446266</v>
      </c>
      <c r="P51" s="6">
        <v>63.88588996</v>
      </c>
      <c r="Q51" s="6">
        <v>89.893406740000003</v>
      </c>
      <c r="R51" s="6">
        <v>145.346869</v>
      </c>
      <c r="S51" s="6">
        <v>183.99949219999999</v>
      </c>
    </row>
    <row r="52" spans="1:21" x14ac:dyDescent="0.2">
      <c r="A52" t="s">
        <v>11</v>
      </c>
      <c r="B52" s="2">
        <v>1212</v>
      </c>
      <c r="C52" s="2">
        <v>4</v>
      </c>
      <c r="D52" s="2">
        <v>34</v>
      </c>
      <c r="E52" s="2">
        <v>7.73</v>
      </c>
      <c r="F52" s="2">
        <v>27.73</v>
      </c>
      <c r="G52" s="2">
        <v>1.53</v>
      </c>
      <c r="H52" s="2">
        <v>341</v>
      </c>
      <c r="I52" s="2">
        <v>570</v>
      </c>
      <c r="J52" s="2">
        <v>114010</v>
      </c>
      <c r="K52" s="8">
        <f t="shared" si="0"/>
        <v>2.9909657047627403E-3</v>
      </c>
      <c r="L52" s="8">
        <f t="shared" si="1"/>
        <v>4.9995614419787735E-3</v>
      </c>
      <c r="M52" s="5">
        <v>3.246</v>
      </c>
      <c r="N52" s="6">
        <v>19.98215304</v>
      </c>
      <c r="O52" s="6">
        <v>14.873629360000001</v>
      </c>
      <c r="P52" s="6">
        <v>72.911949010000001</v>
      </c>
      <c r="Q52" s="6">
        <v>82.949790039999996</v>
      </c>
      <c r="R52" s="6">
        <v>168.77005310000001</v>
      </c>
      <c r="S52" s="6">
        <v>167.90794020000001</v>
      </c>
      <c r="T52" s="2">
        <v>0.82</v>
      </c>
      <c r="U52" s="6">
        <v>8.01</v>
      </c>
    </row>
    <row r="53" spans="1:21" x14ac:dyDescent="0.2">
      <c r="A53" t="s">
        <v>11</v>
      </c>
      <c r="B53" s="2">
        <v>1212</v>
      </c>
      <c r="C53" s="2">
        <v>7</v>
      </c>
      <c r="D53" s="2">
        <v>36</v>
      </c>
      <c r="E53" s="2">
        <v>10.43</v>
      </c>
      <c r="F53" s="2">
        <v>27.73</v>
      </c>
      <c r="G53" s="2">
        <v>1.8</v>
      </c>
      <c r="H53" s="2">
        <v>629</v>
      </c>
      <c r="I53" s="2">
        <v>959</v>
      </c>
      <c r="J53" s="2">
        <v>114010</v>
      </c>
      <c r="K53" s="8">
        <f t="shared" si="0"/>
        <v>5.5170599070256997E-3</v>
      </c>
      <c r="L53" s="8">
        <f t="shared" si="1"/>
        <v>8.4115428471186731E-3</v>
      </c>
      <c r="M53" s="5">
        <v>2.4750000000000001</v>
      </c>
      <c r="N53" s="6">
        <v>10.41131977</v>
      </c>
      <c r="O53" s="6">
        <v>12.924865540000001</v>
      </c>
      <c r="P53" s="6">
        <v>32.804067799999999</v>
      </c>
      <c r="Q53" s="6">
        <v>62.428036069999997</v>
      </c>
      <c r="R53" s="6">
        <v>73.900910699999997</v>
      </c>
      <c r="S53" s="6">
        <v>120.05877649999999</v>
      </c>
      <c r="T53" s="2">
        <v>5.03</v>
      </c>
      <c r="U53" s="6">
        <v>1.74</v>
      </c>
    </row>
    <row r="54" spans="1:21" x14ac:dyDescent="0.2">
      <c r="A54" t="s">
        <v>11</v>
      </c>
      <c r="B54" s="2">
        <v>1212</v>
      </c>
      <c r="C54" s="2">
        <v>7</v>
      </c>
      <c r="D54" s="2">
        <v>37</v>
      </c>
      <c r="E54" s="2">
        <v>7.96</v>
      </c>
      <c r="F54" s="2">
        <v>27.73</v>
      </c>
      <c r="G54" s="2">
        <v>1.65</v>
      </c>
      <c r="H54" s="2">
        <v>410</v>
      </c>
      <c r="I54" s="2">
        <v>516</v>
      </c>
      <c r="J54" s="2">
        <v>114010</v>
      </c>
      <c r="K54" s="8">
        <f t="shared" si="0"/>
        <v>3.5961757740549075E-3</v>
      </c>
      <c r="L54" s="8">
        <f t="shared" si="1"/>
        <v>4.5259187790544688E-3</v>
      </c>
      <c r="M54" s="5">
        <v>3.5379999999999998</v>
      </c>
      <c r="N54" s="6">
        <v>13.38064909</v>
      </c>
      <c r="O54" s="6">
        <v>25.729901250000001</v>
      </c>
      <c r="P54" s="6">
        <v>48.85683487</v>
      </c>
      <c r="Q54" s="6">
        <v>122.7309635</v>
      </c>
      <c r="R54" s="6">
        <v>133.40925290000001</v>
      </c>
      <c r="S54" s="6">
        <v>273.58347700000002</v>
      </c>
    </row>
    <row r="55" spans="1:21" x14ac:dyDescent="0.2">
      <c r="A55" t="s">
        <v>11</v>
      </c>
      <c r="B55" s="2">
        <v>1212</v>
      </c>
      <c r="C55" s="2">
        <v>7</v>
      </c>
      <c r="D55" s="2">
        <v>83</v>
      </c>
      <c r="E55" s="2">
        <v>8.86</v>
      </c>
      <c r="F55" s="2">
        <v>27.73</v>
      </c>
      <c r="G55" s="2">
        <v>1.87</v>
      </c>
      <c r="H55" s="2">
        <v>370</v>
      </c>
      <c r="I55" s="2">
        <v>806</v>
      </c>
      <c r="J55" s="2">
        <v>114010</v>
      </c>
      <c r="K55" s="8">
        <f t="shared" si="0"/>
        <v>3.2453293570739411E-3</v>
      </c>
      <c r="L55" s="8">
        <f t="shared" si="1"/>
        <v>7.0695553021664767E-3</v>
      </c>
      <c r="M55" s="5">
        <v>2.6379999999999999</v>
      </c>
      <c r="N55" s="6">
        <v>6.5130528349999999</v>
      </c>
      <c r="O55" s="6">
        <v>24.195498109999999</v>
      </c>
      <c r="P55" s="6">
        <v>31.317886949999998</v>
      </c>
      <c r="Q55" s="6">
        <v>111.0498077</v>
      </c>
      <c r="R55" s="6">
        <v>71.927964220000007</v>
      </c>
      <c r="S55" s="6">
        <v>235.81729129999999</v>
      </c>
    </row>
    <row r="56" spans="1:21" x14ac:dyDescent="0.2">
      <c r="A56" t="s">
        <v>11</v>
      </c>
      <c r="B56" s="2">
        <v>1212</v>
      </c>
      <c r="C56" s="2">
        <v>8</v>
      </c>
      <c r="D56" s="2">
        <v>38</v>
      </c>
      <c r="E56" s="2">
        <v>6.8</v>
      </c>
      <c r="F56" s="2">
        <v>27.73</v>
      </c>
      <c r="G56" s="2">
        <v>1.6</v>
      </c>
      <c r="H56" s="2">
        <v>408</v>
      </c>
      <c r="I56" s="2">
        <v>847</v>
      </c>
      <c r="J56" s="2">
        <v>114010</v>
      </c>
      <c r="K56" s="8">
        <f t="shared" si="0"/>
        <v>3.578633453205859E-3</v>
      </c>
      <c r="L56" s="8">
        <f t="shared" si="1"/>
        <v>7.4291728795719677E-3</v>
      </c>
      <c r="M56" s="5">
        <v>2.665</v>
      </c>
      <c r="N56" s="6">
        <v>14.33030975</v>
      </c>
      <c r="O56" s="6">
        <v>36.870846720000003</v>
      </c>
      <c r="P56" s="6">
        <v>49.454634030000001</v>
      </c>
      <c r="Q56" s="6">
        <v>147.1331654</v>
      </c>
      <c r="R56" s="6">
        <v>118.79776819999999</v>
      </c>
      <c r="S56" s="6">
        <v>338.83089530000001</v>
      </c>
    </row>
    <row r="57" spans="1:21" x14ac:dyDescent="0.2">
      <c r="A57" t="s">
        <v>11</v>
      </c>
      <c r="B57" s="2">
        <v>1212</v>
      </c>
      <c r="C57" s="2">
        <v>8</v>
      </c>
      <c r="D57" s="2">
        <v>39</v>
      </c>
      <c r="E57" s="2">
        <v>11.35</v>
      </c>
      <c r="F57" s="2">
        <v>27.73</v>
      </c>
      <c r="G57" s="2">
        <v>1.54</v>
      </c>
      <c r="H57" s="2">
        <v>273</v>
      </c>
      <c r="I57" s="2">
        <v>564</v>
      </c>
      <c r="J57" s="2">
        <v>114010</v>
      </c>
      <c r="K57" s="8">
        <f t="shared" si="0"/>
        <v>2.3945267958950969E-3</v>
      </c>
      <c r="L57" s="8">
        <f t="shared" si="1"/>
        <v>4.946934479431629E-3</v>
      </c>
      <c r="M57" s="5">
        <v>3.4630000000000001</v>
      </c>
      <c r="N57" s="6">
        <v>12.803118100000001</v>
      </c>
      <c r="O57" s="6">
        <v>17.946016409999999</v>
      </c>
      <c r="P57" s="6">
        <v>53.236531050000004</v>
      </c>
      <c r="Q57" s="6">
        <v>84.802385580000006</v>
      </c>
      <c r="R57" s="6">
        <v>120.4363871</v>
      </c>
      <c r="S57" s="6">
        <v>171.9133209</v>
      </c>
    </row>
    <row r="58" spans="1:21" x14ac:dyDescent="0.2">
      <c r="A58" t="s">
        <v>11</v>
      </c>
      <c r="B58" s="2">
        <v>1212</v>
      </c>
      <c r="C58" s="2">
        <v>8</v>
      </c>
      <c r="D58" s="2">
        <v>40</v>
      </c>
      <c r="E58" s="2">
        <v>8.52</v>
      </c>
      <c r="F58" s="2">
        <v>27.73</v>
      </c>
      <c r="G58" s="2">
        <v>1.34</v>
      </c>
      <c r="H58" s="2">
        <v>279</v>
      </c>
      <c r="I58" s="2">
        <v>477</v>
      </c>
      <c r="J58" s="2">
        <v>114010</v>
      </c>
      <c r="K58" s="8">
        <f t="shared" si="0"/>
        <v>2.4471537584422418E-3</v>
      </c>
      <c r="L58" s="8">
        <f t="shared" si="1"/>
        <v>4.1838435224980262E-3</v>
      </c>
      <c r="M58" s="5">
        <v>3.2290000000000001</v>
      </c>
      <c r="N58" s="6">
        <v>9.5817597550000002</v>
      </c>
      <c r="O58" s="6">
        <v>27.317039099999999</v>
      </c>
      <c r="P58" s="6">
        <v>44.482968739999997</v>
      </c>
      <c r="Q58" s="6">
        <v>119.0370356</v>
      </c>
      <c r="R58" s="6">
        <v>106.89587</v>
      </c>
      <c r="S58" s="6">
        <v>249.69439080000001</v>
      </c>
      <c r="T58" s="2">
        <v>5.26</v>
      </c>
      <c r="U58" s="6">
        <v>0.69</v>
      </c>
    </row>
    <row r="59" spans="1:21" x14ac:dyDescent="0.2">
      <c r="A59" t="s">
        <v>11</v>
      </c>
      <c r="B59" s="2">
        <v>1212</v>
      </c>
      <c r="C59" s="2">
        <v>10</v>
      </c>
      <c r="D59" s="2">
        <v>21</v>
      </c>
      <c r="E59" s="2">
        <v>7.12</v>
      </c>
      <c r="F59" s="2">
        <v>27.73</v>
      </c>
      <c r="G59" s="2">
        <v>1.69</v>
      </c>
      <c r="H59" s="2">
        <v>346</v>
      </c>
      <c r="I59" s="2">
        <v>649</v>
      </c>
      <c r="J59" s="2">
        <v>114010</v>
      </c>
      <c r="K59" s="8">
        <f t="shared" si="0"/>
        <v>3.034821506885361E-3</v>
      </c>
      <c r="L59" s="8">
        <f t="shared" si="1"/>
        <v>5.6924831155161825E-3</v>
      </c>
      <c r="M59" s="5">
        <v>3.66</v>
      </c>
      <c r="N59" s="6">
        <v>17.912131590000001</v>
      </c>
      <c r="O59" s="6">
        <v>21.98658812</v>
      </c>
      <c r="P59" s="6">
        <v>57.21442124</v>
      </c>
      <c r="Q59" s="6">
        <v>115.1093055</v>
      </c>
      <c r="R59" s="6">
        <v>152.24198630000001</v>
      </c>
      <c r="S59" s="6">
        <v>242.66293350000001</v>
      </c>
    </row>
    <row r="60" spans="1:21" x14ac:dyDescent="0.2">
      <c r="A60" t="s">
        <v>11</v>
      </c>
      <c r="B60" s="2">
        <v>1212</v>
      </c>
      <c r="C60" s="2">
        <v>10</v>
      </c>
      <c r="D60" s="2">
        <v>41</v>
      </c>
      <c r="E60" s="2">
        <v>7.26</v>
      </c>
      <c r="F60" s="2">
        <v>27.73</v>
      </c>
      <c r="G60" s="2">
        <v>1.92</v>
      </c>
      <c r="H60" s="2">
        <v>464</v>
      </c>
      <c r="I60" s="2">
        <v>679</v>
      </c>
      <c r="J60" s="2">
        <v>114010</v>
      </c>
      <c r="K60" s="8">
        <f t="shared" si="0"/>
        <v>4.0698184369792126E-3</v>
      </c>
      <c r="L60" s="8">
        <f t="shared" si="1"/>
        <v>5.9556179282519075E-3</v>
      </c>
      <c r="M60" s="5">
        <v>3.3090000000000002</v>
      </c>
      <c r="N60" s="6">
        <v>28.287141569999999</v>
      </c>
      <c r="O60" s="6">
        <v>21.435052970000001</v>
      </c>
      <c r="P60" s="6">
        <v>109.9647916</v>
      </c>
      <c r="Q60" s="6">
        <v>111.4710252</v>
      </c>
      <c r="R60" s="6">
        <v>251.64007430000001</v>
      </c>
      <c r="S60" s="6">
        <v>238.25161940000001</v>
      </c>
      <c r="T60" s="2">
        <v>3.88</v>
      </c>
      <c r="U60" s="6">
        <v>5.1100000000000003</v>
      </c>
    </row>
    <row r="61" spans="1:21" x14ac:dyDescent="0.2">
      <c r="A61" t="s">
        <v>11</v>
      </c>
      <c r="B61" s="2">
        <v>1212</v>
      </c>
      <c r="C61" s="2">
        <v>10</v>
      </c>
      <c r="D61" s="2">
        <v>42</v>
      </c>
      <c r="E61" s="2">
        <v>7.4</v>
      </c>
      <c r="F61" s="2">
        <v>27.73</v>
      </c>
      <c r="G61" s="2">
        <v>1.99</v>
      </c>
      <c r="H61" s="2">
        <v>475</v>
      </c>
      <c r="I61" s="2">
        <v>847</v>
      </c>
      <c r="J61" s="2">
        <v>114010</v>
      </c>
      <c r="K61" s="8">
        <f t="shared" si="0"/>
        <v>4.1663012016489778E-3</v>
      </c>
      <c r="L61" s="8">
        <f t="shared" si="1"/>
        <v>7.4291728795719677E-3</v>
      </c>
      <c r="M61" s="5">
        <v>3.4630000000000001</v>
      </c>
      <c r="N61" s="6">
        <v>13.77499222</v>
      </c>
      <c r="O61" s="6">
        <v>18.441572149999999</v>
      </c>
      <c r="P61" s="6">
        <v>56.939873390000002</v>
      </c>
      <c r="Q61" s="6">
        <v>81.985488799999999</v>
      </c>
      <c r="R61" s="6">
        <v>160.21201199999999</v>
      </c>
      <c r="S61" s="6">
        <v>168.91348070000001</v>
      </c>
    </row>
    <row r="63" spans="1:21" x14ac:dyDescent="0.2">
      <c r="A63" t="s">
        <v>16</v>
      </c>
    </row>
    <row r="64" spans="1:21" x14ac:dyDescent="0.2">
      <c r="A64" t="s">
        <v>17</v>
      </c>
    </row>
    <row r="724" spans="20:20" x14ac:dyDescent="0.2">
      <c r="T724" s="5"/>
    </row>
    <row r="725" spans="20:20" x14ac:dyDescent="0.2">
      <c r="T725" s="5"/>
    </row>
    <row r="727" spans="20:20" x14ac:dyDescent="0.2">
      <c r="T727" s="5"/>
    </row>
    <row r="728" spans="20:20" x14ac:dyDescent="0.2">
      <c r="T7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660E-F3A1-E54F-AFC9-A8280D6C24E9}">
  <dimension ref="A1:F76"/>
  <sheetViews>
    <sheetView workbookViewId="0">
      <selection activeCell="B21" sqref="B21"/>
    </sheetView>
  </sheetViews>
  <sheetFormatPr baseColWidth="10" defaultRowHeight="16" x14ac:dyDescent="0.2"/>
  <cols>
    <col min="2" max="2" width="10.83203125" style="2"/>
    <col min="3" max="3" width="12.83203125" style="2" customWidth="1"/>
    <col min="4" max="4" width="12.5" style="2" customWidth="1"/>
    <col min="5" max="5" width="11" bestFit="1" customWidth="1"/>
    <col min="6" max="6" width="11.6640625" bestFit="1" customWidth="1"/>
  </cols>
  <sheetData>
    <row r="1" spans="1:6" x14ac:dyDescent="0.2">
      <c r="E1" t="s">
        <v>50</v>
      </c>
      <c r="F1" t="s">
        <v>50</v>
      </c>
    </row>
    <row r="2" spans="1:6" x14ac:dyDescent="0.2">
      <c r="A2" t="s">
        <v>0</v>
      </c>
      <c r="B2" s="2" t="s">
        <v>1</v>
      </c>
      <c r="C2" s="2" t="s">
        <v>2</v>
      </c>
      <c r="D2" s="2" t="s">
        <v>22</v>
      </c>
      <c r="E2" t="s">
        <v>51</v>
      </c>
      <c r="F2" t="s">
        <v>52</v>
      </c>
    </row>
    <row r="3" spans="1:6" x14ac:dyDescent="0.2">
      <c r="A3" t="s">
        <v>6</v>
      </c>
      <c r="B3" s="2">
        <v>72</v>
      </c>
      <c r="C3" s="2">
        <v>156</v>
      </c>
      <c r="D3" s="2">
        <v>43</v>
      </c>
      <c r="E3" s="9"/>
      <c r="F3" s="9"/>
    </row>
    <row r="4" spans="1:6" x14ac:dyDescent="0.2">
      <c r="A4" t="s">
        <v>6</v>
      </c>
      <c r="B4" s="2">
        <v>72</v>
      </c>
      <c r="C4" s="2">
        <v>156</v>
      </c>
      <c r="D4" s="2">
        <v>44</v>
      </c>
      <c r="E4" s="9">
        <v>3.2431342390000002</v>
      </c>
      <c r="F4" s="9">
        <v>148.66184150000001</v>
      </c>
    </row>
    <row r="5" spans="1:6" x14ac:dyDescent="0.2">
      <c r="A5" t="s">
        <v>6</v>
      </c>
      <c r="B5" s="2">
        <v>72</v>
      </c>
      <c r="C5" s="2">
        <v>156</v>
      </c>
      <c r="D5" s="2">
        <v>45</v>
      </c>
      <c r="E5" s="9">
        <v>2.894893621</v>
      </c>
      <c r="F5" s="9">
        <v>1550.9621729999999</v>
      </c>
    </row>
    <row r="6" spans="1:6" x14ac:dyDescent="0.2">
      <c r="A6" t="s">
        <v>6</v>
      </c>
      <c r="B6" s="2">
        <v>72</v>
      </c>
      <c r="C6" s="2">
        <v>156</v>
      </c>
      <c r="D6" s="2">
        <v>45.2</v>
      </c>
      <c r="E6" s="9">
        <v>2.4490004860000001</v>
      </c>
      <c r="F6" s="9">
        <v>505.55011139999999</v>
      </c>
    </row>
    <row r="7" spans="1:6" x14ac:dyDescent="0.2">
      <c r="A7" t="s">
        <v>6</v>
      </c>
      <c r="B7" s="2">
        <v>72</v>
      </c>
      <c r="C7" s="2">
        <v>156</v>
      </c>
      <c r="D7" s="2">
        <v>45.3</v>
      </c>
      <c r="E7" s="9">
        <v>2.4203682039999999</v>
      </c>
      <c r="F7" s="9">
        <v>117.4877468</v>
      </c>
    </row>
    <row r="8" spans="1:6" x14ac:dyDescent="0.2">
      <c r="A8" t="s">
        <v>6</v>
      </c>
      <c r="B8" s="2">
        <v>72</v>
      </c>
      <c r="C8" s="2">
        <v>149</v>
      </c>
      <c r="D8" s="2">
        <v>46</v>
      </c>
      <c r="E8" s="9">
        <v>2.6538177080000001</v>
      </c>
      <c r="F8" s="9">
        <v>219.8916074</v>
      </c>
    </row>
    <row r="9" spans="1:6" x14ac:dyDescent="0.2">
      <c r="A9" t="s">
        <v>6</v>
      </c>
      <c r="B9" s="2">
        <v>72</v>
      </c>
      <c r="C9" s="2">
        <v>149</v>
      </c>
      <c r="D9" s="2">
        <v>47</v>
      </c>
      <c r="E9" s="9">
        <v>2.5839132560000002</v>
      </c>
      <c r="F9" s="9">
        <v>169.4025073</v>
      </c>
    </row>
    <row r="10" spans="1:6" x14ac:dyDescent="0.2">
      <c r="A10" t="s">
        <v>6</v>
      </c>
      <c r="B10" s="2">
        <v>72</v>
      </c>
      <c r="C10" s="2">
        <v>149</v>
      </c>
      <c r="D10" s="2">
        <v>48</v>
      </c>
      <c r="E10" s="9">
        <v>2.4787210669999999</v>
      </c>
      <c r="F10" s="9">
        <v>210.58644520000001</v>
      </c>
    </row>
    <row r="11" spans="1:6" x14ac:dyDescent="0.2">
      <c r="A11" t="s">
        <v>6</v>
      </c>
      <c r="B11" s="2">
        <v>72</v>
      </c>
      <c r="C11" s="2">
        <v>152</v>
      </c>
      <c r="D11" s="2">
        <v>49</v>
      </c>
      <c r="E11" s="9">
        <v>2.0143297219999998</v>
      </c>
      <c r="F11" s="9">
        <v>303.01447999999999</v>
      </c>
    </row>
    <row r="12" spans="1:6" x14ac:dyDescent="0.2">
      <c r="A12" t="s">
        <v>6</v>
      </c>
      <c r="B12" s="2">
        <v>72</v>
      </c>
      <c r="C12" s="2">
        <v>152</v>
      </c>
      <c r="D12" s="2">
        <v>49.2</v>
      </c>
      <c r="E12" s="9">
        <v>2.2050400529999998</v>
      </c>
      <c r="F12" s="9">
        <v>158.2207344</v>
      </c>
    </row>
    <row r="13" spans="1:6" x14ac:dyDescent="0.2">
      <c r="A13" t="s">
        <v>6</v>
      </c>
      <c r="B13" s="2">
        <v>72</v>
      </c>
      <c r="C13" s="2">
        <v>152</v>
      </c>
      <c r="D13" s="2">
        <v>49.3</v>
      </c>
      <c r="E13" s="9">
        <v>2.071962466</v>
      </c>
      <c r="F13" s="9">
        <v>146.13969259999999</v>
      </c>
    </row>
    <row r="14" spans="1:6" x14ac:dyDescent="0.2">
      <c r="A14" t="s">
        <v>6</v>
      </c>
      <c r="B14" s="2">
        <v>72</v>
      </c>
      <c r="C14" s="2">
        <v>152</v>
      </c>
      <c r="D14" s="2">
        <v>50</v>
      </c>
      <c r="E14" s="9"/>
      <c r="F14" s="9"/>
    </row>
    <row r="15" spans="1:6" x14ac:dyDescent="0.2">
      <c r="A15" t="s">
        <v>6</v>
      </c>
      <c r="B15" s="2">
        <v>72</v>
      </c>
      <c r="C15" s="2">
        <v>152</v>
      </c>
      <c r="D15" s="2">
        <v>51</v>
      </c>
      <c r="E15" s="9">
        <v>2.5862870280000001</v>
      </c>
      <c r="F15" s="9">
        <v>438.32928049999998</v>
      </c>
    </row>
    <row r="16" spans="1:6" x14ac:dyDescent="0.2">
      <c r="A16" t="s">
        <v>6</v>
      </c>
      <c r="B16" s="2">
        <v>72</v>
      </c>
      <c r="C16" s="2">
        <v>155</v>
      </c>
      <c r="D16" s="2">
        <v>58</v>
      </c>
      <c r="E16" s="9">
        <v>2.5314448550000002</v>
      </c>
      <c r="F16" s="9">
        <v>324.09049959999999</v>
      </c>
    </row>
    <row r="17" spans="1:6" x14ac:dyDescent="0.2">
      <c r="A17" t="s">
        <v>6</v>
      </c>
      <c r="B17" s="2">
        <v>72</v>
      </c>
      <c r="C17" s="2">
        <v>155</v>
      </c>
      <c r="D17" s="2">
        <v>59</v>
      </c>
      <c r="E17" s="9">
        <v>2.2917589619999998</v>
      </c>
      <c r="F17" s="9">
        <v>157.24153759999999</v>
      </c>
    </row>
    <row r="18" spans="1:6" x14ac:dyDescent="0.2">
      <c r="A18" t="s">
        <v>6</v>
      </c>
      <c r="B18" s="2">
        <v>72</v>
      </c>
      <c r="C18" s="2">
        <v>155</v>
      </c>
      <c r="D18" s="2">
        <v>60</v>
      </c>
      <c r="E18" s="9">
        <v>2.618159983</v>
      </c>
      <c r="F18" s="9">
        <v>141.14385920000001</v>
      </c>
    </row>
    <row r="19" spans="1:6" x14ac:dyDescent="0.2">
      <c r="A19" t="s">
        <v>6</v>
      </c>
      <c r="B19" s="2">
        <v>72</v>
      </c>
      <c r="C19" s="2">
        <v>5</v>
      </c>
      <c r="D19" s="2">
        <v>61</v>
      </c>
      <c r="E19" s="9">
        <v>2.6585826049999999</v>
      </c>
      <c r="F19" s="9">
        <v>159.39441059999999</v>
      </c>
    </row>
    <row r="20" spans="1:6" x14ac:dyDescent="0.2">
      <c r="A20" t="s">
        <v>6</v>
      </c>
      <c r="B20" s="2">
        <v>72</v>
      </c>
      <c r="C20" s="2">
        <v>5</v>
      </c>
      <c r="D20" s="2">
        <v>61.2</v>
      </c>
      <c r="E20" s="9">
        <v>2.436812975</v>
      </c>
      <c r="F20" s="9">
        <v>113.9779137</v>
      </c>
    </row>
    <row r="21" spans="1:6" x14ac:dyDescent="0.2">
      <c r="A21" t="s">
        <v>6</v>
      </c>
      <c r="B21" s="2">
        <v>72</v>
      </c>
      <c r="C21" s="2">
        <v>5</v>
      </c>
      <c r="D21" s="2">
        <v>63</v>
      </c>
      <c r="E21" s="9">
        <v>2.1942131360000001</v>
      </c>
      <c r="F21" s="9">
        <v>154.962322</v>
      </c>
    </row>
    <row r="22" spans="1:6" x14ac:dyDescent="0.2">
      <c r="A22" t="s">
        <v>6</v>
      </c>
      <c r="B22" s="2">
        <v>72</v>
      </c>
      <c r="C22" s="2">
        <v>5</v>
      </c>
      <c r="D22" s="2">
        <v>63.2</v>
      </c>
      <c r="E22" s="9">
        <v>2.8392008729999998</v>
      </c>
      <c r="F22" s="9">
        <v>93.089392329999995</v>
      </c>
    </row>
    <row r="23" spans="1:6" x14ac:dyDescent="0.2">
      <c r="A23" t="s">
        <v>6</v>
      </c>
      <c r="B23" s="2">
        <v>72</v>
      </c>
      <c r="C23" s="2">
        <v>5</v>
      </c>
      <c r="D23" s="2">
        <v>63.3</v>
      </c>
      <c r="E23" s="9">
        <v>2.8530226970000001</v>
      </c>
      <c r="F23" s="9">
        <v>200.74331609999999</v>
      </c>
    </row>
    <row r="24" spans="1:6" x14ac:dyDescent="0.2">
      <c r="A24" t="s">
        <v>6</v>
      </c>
      <c r="B24" s="2">
        <v>72</v>
      </c>
      <c r="C24" s="2">
        <v>5</v>
      </c>
      <c r="D24" s="2">
        <v>85</v>
      </c>
      <c r="E24" s="9"/>
      <c r="F24" s="9"/>
    </row>
    <row r="25" spans="1:6" x14ac:dyDescent="0.2">
      <c r="A25" t="s">
        <v>9</v>
      </c>
      <c r="B25" s="2">
        <v>1521</v>
      </c>
      <c r="C25" s="2">
        <v>155</v>
      </c>
      <c r="D25" s="2">
        <v>62</v>
      </c>
      <c r="E25" s="9">
        <v>2.7299709430000001</v>
      </c>
      <c r="F25" s="9">
        <v>126.9461732</v>
      </c>
    </row>
    <row r="26" spans="1:6" x14ac:dyDescent="0.2">
      <c r="A26" t="s">
        <v>9</v>
      </c>
      <c r="B26" s="2">
        <v>1521</v>
      </c>
      <c r="C26" s="2">
        <v>155</v>
      </c>
      <c r="D26" s="2">
        <v>64</v>
      </c>
      <c r="E26" s="9">
        <v>2.1565863260000002</v>
      </c>
      <c r="F26" s="9">
        <v>290.45872930000002</v>
      </c>
    </row>
    <row r="27" spans="1:6" x14ac:dyDescent="0.2">
      <c r="A27" t="s">
        <v>9</v>
      </c>
      <c r="B27" s="2">
        <v>1521</v>
      </c>
      <c r="C27" s="2">
        <v>155</v>
      </c>
      <c r="D27" s="2">
        <v>66</v>
      </c>
      <c r="E27" s="9">
        <v>2.5483491269999998</v>
      </c>
      <c r="F27" s="9">
        <v>154.25120989999999</v>
      </c>
    </row>
    <row r="28" spans="1:6" x14ac:dyDescent="0.2">
      <c r="A28" t="s">
        <v>9</v>
      </c>
      <c r="B28" s="2">
        <v>1521</v>
      </c>
      <c r="C28" s="2">
        <v>157</v>
      </c>
      <c r="D28" s="2">
        <v>67</v>
      </c>
      <c r="E28" s="9">
        <v>2.5470853920000001</v>
      </c>
      <c r="F28" s="9">
        <v>134.4429815</v>
      </c>
    </row>
    <row r="29" spans="1:6" x14ac:dyDescent="0.2">
      <c r="A29" t="s">
        <v>9</v>
      </c>
      <c r="B29" s="2">
        <v>1521</v>
      </c>
      <c r="C29" s="2">
        <v>157</v>
      </c>
      <c r="D29" s="2">
        <v>68</v>
      </c>
      <c r="E29" s="9">
        <v>2.8784064819999999</v>
      </c>
      <c r="F29" s="9">
        <v>136.5406433</v>
      </c>
    </row>
    <row r="30" spans="1:6" x14ac:dyDescent="0.2">
      <c r="A30" t="s">
        <v>9</v>
      </c>
      <c r="B30" s="2">
        <v>1521</v>
      </c>
      <c r="C30" s="2">
        <v>153</v>
      </c>
      <c r="D30" s="2">
        <v>69</v>
      </c>
      <c r="E30" s="9">
        <v>2.546405553</v>
      </c>
      <c r="F30" s="9">
        <v>192.58826379999999</v>
      </c>
    </row>
    <row r="31" spans="1:6" x14ac:dyDescent="0.2">
      <c r="A31" t="s">
        <v>9</v>
      </c>
      <c r="B31" s="2">
        <v>1521</v>
      </c>
      <c r="C31" s="2">
        <v>158</v>
      </c>
      <c r="D31" s="2">
        <v>70</v>
      </c>
      <c r="E31" s="9">
        <v>2.4851279869999998</v>
      </c>
      <c r="F31" s="9">
        <v>94.669455589999998</v>
      </c>
    </row>
    <row r="32" spans="1:6" x14ac:dyDescent="0.2">
      <c r="A32" t="s">
        <v>9</v>
      </c>
      <c r="B32" s="2">
        <v>1521</v>
      </c>
      <c r="C32" s="2">
        <v>156</v>
      </c>
      <c r="D32" s="2">
        <v>71</v>
      </c>
      <c r="E32" s="9">
        <v>2.6157443680000001</v>
      </c>
      <c r="F32" s="9">
        <v>110.0256552</v>
      </c>
    </row>
    <row r="33" spans="1:6" x14ac:dyDescent="0.2">
      <c r="A33" t="s">
        <v>9</v>
      </c>
      <c r="B33" s="2">
        <v>1521</v>
      </c>
      <c r="C33" s="2">
        <v>157</v>
      </c>
      <c r="D33" s="2">
        <v>72</v>
      </c>
      <c r="E33" s="9">
        <v>2.7551148830000001</v>
      </c>
      <c r="F33" s="9">
        <v>172.30279429999999</v>
      </c>
    </row>
    <row r="34" spans="1:6" x14ac:dyDescent="0.2">
      <c r="A34" t="s">
        <v>9</v>
      </c>
      <c r="B34" s="2">
        <v>1521</v>
      </c>
      <c r="C34" s="2">
        <v>158</v>
      </c>
      <c r="D34" s="2">
        <v>73</v>
      </c>
      <c r="E34" s="9">
        <v>2.7783850120000002</v>
      </c>
      <c r="F34" s="9">
        <v>99.142060549999997</v>
      </c>
    </row>
    <row r="35" spans="1:6" x14ac:dyDescent="0.2">
      <c r="A35" t="s">
        <v>9</v>
      </c>
      <c r="B35" s="2">
        <v>1521</v>
      </c>
      <c r="C35" s="2">
        <v>156</v>
      </c>
      <c r="D35" s="2">
        <v>74</v>
      </c>
      <c r="E35" s="9">
        <v>2.7702920459999998</v>
      </c>
      <c r="F35" s="9">
        <v>157.94117220000001</v>
      </c>
    </row>
    <row r="36" spans="1:6" x14ac:dyDescent="0.2">
      <c r="A36" t="s">
        <v>9</v>
      </c>
      <c r="B36" s="2">
        <v>1521</v>
      </c>
      <c r="C36" s="2">
        <v>156</v>
      </c>
      <c r="D36" s="2">
        <v>75</v>
      </c>
      <c r="E36" s="9">
        <v>2.4846564770000001</v>
      </c>
      <c r="F36" s="9">
        <v>98.847104430000002</v>
      </c>
    </row>
    <row r="37" spans="1:6" x14ac:dyDescent="0.2">
      <c r="A37" t="s">
        <v>9</v>
      </c>
      <c r="B37" s="2">
        <v>1521</v>
      </c>
      <c r="C37" s="2">
        <v>156</v>
      </c>
      <c r="D37" s="2">
        <v>75.2</v>
      </c>
      <c r="E37" s="9">
        <v>2.671835846</v>
      </c>
      <c r="F37" s="9">
        <v>107.64135210000001</v>
      </c>
    </row>
    <row r="38" spans="1:6" x14ac:dyDescent="0.2">
      <c r="A38" t="s">
        <v>9</v>
      </c>
      <c r="B38" s="2">
        <v>1521</v>
      </c>
      <c r="C38" s="2">
        <v>153</v>
      </c>
      <c r="D38" s="2">
        <v>76</v>
      </c>
      <c r="E38" s="9">
        <v>2.7268440460000001</v>
      </c>
      <c r="F38" s="9">
        <v>220.06826820000001</v>
      </c>
    </row>
    <row r="39" spans="1:6" x14ac:dyDescent="0.2">
      <c r="A39" t="s">
        <v>9</v>
      </c>
      <c r="B39" s="2">
        <v>1521</v>
      </c>
      <c r="C39" s="2">
        <v>158</v>
      </c>
      <c r="D39" s="2">
        <v>81</v>
      </c>
      <c r="E39" s="9">
        <v>2.7253665090000001</v>
      </c>
      <c r="F39" s="9">
        <v>107.13577909999999</v>
      </c>
    </row>
    <row r="40" spans="1:6" x14ac:dyDescent="0.2">
      <c r="A40" t="s">
        <v>9</v>
      </c>
      <c r="B40" s="2">
        <v>1521</v>
      </c>
      <c r="C40" s="2">
        <v>153</v>
      </c>
      <c r="D40" s="2">
        <v>90</v>
      </c>
      <c r="E40" s="9">
        <v>2.661821953</v>
      </c>
      <c r="F40" s="9">
        <v>115.1651833</v>
      </c>
    </row>
    <row r="41" spans="1:6" x14ac:dyDescent="0.2">
      <c r="A41" t="s">
        <v>10</v>
      </c>
      <c r="B41" s="2">
        <v>666</v>
      </c>
      <c r="C41" s="2">
        <v>101</v>
      </c>
      <c r="D41" s="2">
        <v>1</v>
      </c>
      <c r="E41" s="9">
        <v>3.039910501</v>
      </c>
      <c r="F41" s="9">
        <v>150.04788020000001</v>
      </c>
    </row>
    <row r="42" spans="1:6" x14ac:dyDescent="0.2">
      <c r="A42" t="s">
        <v>10</v>
      </c>
      <c r="B42" s="2">
        <v>666</v>
      </c>
      <c r="C42" s="2">
        <v>101</v>
      </c>
      <c r="D42" s="2">
        <v>1.2</v>
      </c>
      <c r="E42" s="9">
        <v>3.3557072940000001</v>
      </c>
      <c r="F42" s="9">
        <v>173.8265068</v>
      </c>
    </row>
    <row r="43" spans="1:6" x14ac:dyDescent="0.2">
      <c r="A43" t="s">
        <v>10</v>
      </c>
      <c r="B43" s="2">
        <v>666</v>
      </c>
      <c r="C43" s="2">
        <v>101</v>
      </c>
      <c r="D43" s="2">
        <v>2</v>
      </c>
      <c r="E43" s="9">
        <v>3.3199143719999999</v>
      </c>
      <c r="F43" s="9">
        <v>117.34662470000001</v>
      </c>
    </row>
    <row r="44" spans="1:6" x14ac:dyDescent="0.2">
      <c r="A44" t="s">
        <v>10</v>
      </c>
      <c r="B44" s="2">
        <v>666</v>
      </c>
      <c r="C44" s="2">
        <v>101</v>
      </c>
      <c r="D44" s="2">
        <v>3</v>
      </c>
      <c r="E44" s="9"/>
      <c r="F44" s="9"/>
    </row>
    <row r="45" spans="1:6" x14ac:dyDescent="0.2">
      <c r="A45" t="s">
        <v>10</v>
      </c>
      <c r="B45" s="2">
        <v>666</v>
      </c>
      <c r="C45" s="2">
        <v>105</v>
      </c>
      <c r="D45" s="2">
        <v>7</v>
      </c>
      <c r="E45" s="9">
        <v>2.17874225</v>
      </c>
      <c r="F45" s="9">
        <v>297.19865700000003</v>
      </c>
    </row>
    <row r="46" spans="1:6" x14ac:dyDescent="0.2">
      <c r="A46" t="s">
        <v>10</v>
      </c>
      <c r="B46" s="2">
        <v>666</v>
      </c>
      <c r="C46" s="2">
        <v>105</v>
      </c>
      <c r="D46" s="2">
        <v>7.2</v>
      </c>
      <c r="E46" s="9">
        <v>2.226133323</v>
      </c>
      <c r="F46" s="9">
        <v>97.506585610000002</v>
      </c>
    </row>
    <row r="47" spans="1:6" x14ac:dyDescent="0.2">
      <c r="A47" t="s">
        <v>10</v>
      </c>
      <c r="B47" s="2">
        <v>666</v>
      </c>
      <c r="C47" s="2">
        <v>105</v>
      </c>
      <c r="D47" s="2">
        <v>7.3</v>
      </c>
      <c r="E47" s="9">
        <v>2.2758605360000002</v>
      </c>
      <c r="F47" s="9">
        <v>103.29832690000001</v>
      </c>
    </row>
    <row r="48" spans="1:6" x14ac:dyDescent="0.2">
      <c r="A48" t="s">
        <v>10</v>
      </c>
      <c r="B48" s="2">
        <v>666</v>
      </c>
      <c r="C48" s="2">
        <v>105</v>
      </c>
      <c r="D48" s="2">
        <v>7.4</v>
      </c>
      <c r="E48" s="9">
        <v>2.2763481470000002</v>
      </c>
      <c r="F48" s="9">
        <v>146.9920779</v>
      </c>
    </row>
    <row r="49" spans="1:6" x14ac:dyDescent="0.2">
      <c r="A49" t="s">
        <v>10</v>
      </c>
      <c r="B49" s="2">
        <v>666</v>
      </c>
      <c r="C49" s="2">
        <v>105</v>
      </c>
      <c r="D49" s="2">
        <v>8</v>
      </c>
      <c r="E49" s="9">
        <v>2.3695513159999999</v>
      </c>
      <c r="F49" s="9">
        <v>111.8026545</v>
      </c>
    </row>
    <row r="50" spans="1:6" x14ac:dyDescent="0.2">
      <c r="A50" t="s">
        <v>10</v>
      </c>
      <c r="B50" s="2">
        <v>666</v>
      </c>
      <c r="C50" s="2">
        <v>105</v>
      </c>
      <c r="D50" s="2">
        <v>9</v>
      </c>
      <c r="E50" s="9">
        <v>2.39594292</v>
      </c>
      <c r="F50" s="9">
        <v>90.51340673</v>
      </c>
    </row>
    <row r="51" spans="1:6" x14ac:dyDescent="0.2">
      <c r="A51" t="s">
        <v>10</v>
      </c>
      <c r="B51" s="2">
        <v>666</v>
      </c>
      <c r="C51" s="2">
        <v>118</v>
      </c>
      <c r="D51" s="2">
        <v>10</v>
      </c>
      <c r="E51" s="9">
        <v>2.6659283010000001</v>
      </c>
      <c r="F51" s="9">
        <v>75.571311649999998</v>
      </c>
    </row>
    <row r="52" spans="1:6" x14ac:dyDescent="0.2">
      <c r="A52" t="s">
        <v>10</v>
      </c>
      <c r="B52" s="2">
        <v>666</v>
      </c>
      <c r="C52" s="2">
        <v>118</v>
      </c>
      <c r="D52" s="2">
        <v>11</v>
      </c>
      <c r="E52" s="9">
        <v>2.4900451220000002</v>
      </c>
      <c r="F52" s="9">
        <v>152.05005779999999</v>
      </c>
    </row>
    <row r="53" spans="1:6" x14ac:dyDescent="0.2">
      <c r="A53" t="s">
        <v>10</v>
      </c>
      <c r="B53" s="2">
        <v>666</v>
      </c>
      <c r="C53" s="2">
        <v>118</v>
      </c>
      <c r="D53" s="2">
        <v>12</v>
      </c>
      <c r="E53" s="9">
        <v>2.385079862</v>
      </c>
      <c r="F53" s="9">
        <v>216.49288720000001</v>
      </c>
    </row>
    <row r="54" spans="1:6" x14ac:dyDescent="0.2">
      <c r="A54" t="s">
        <v>10</v>
      </c>
      <c r="B54" s="2">
        <v>666</v>
      </c>
      <c r="C54" s="2">
        <v>122</v>
      </c>
      <c r="D54" s="2">
        <v>16</v>
      </c>
      <c r="E54" s="9">
        <v>3.1402672279999999</v>
      </c>
      <c r="F54" s="9">
        <v>389.33222869999997</v>
      </c>
    </row>
    <row r="55" spans="1:6" x14ac:dyDescent="0.2">
      <c r="A55" t="s">
        <v>10</v>
      </c>
      <c r="B55" s="2">
        <v>666</v>
      </c>
      <c r="C55" s="2">
        <v>122</v>
      </c>
      <c r="D55" s="2">
        <v>17</v>
      </c>
      <c r="E55" s="9">
        <v>3.0976293880000001</v>
      </c>
      <c r="F55" s="9">
        <v>285.13614869999998</v>
      </c>
    </row>
    <row r="56" spans="1:6" x14ac:dyDescent="0.2">
      <c r="A56" t="s">
        <v>10</v>
      </c>
      <c r="B56" s="2">
        <v>666</v>
      </c>
      <c r="C56" s="2">
        <v>122</v>
      </c>
      <c r="D56" s="2">
        <v>18</v>
      </c>
      <c r="E56" s="9">
        <v>2.8391069</v>
      </c>
      <c r="F56" s="9">
        <v>199.26283169999999</v>
      </c>
    </row>
    <row r="57" spans="1:6" x14ac:dyDescent="0.2">
      <c r="A57" t="s">
        <v>10</v>
      </c>
      <c r="B57" s="2">
        <v>666</v>
      </c>
      <c r="C57" s="2">
        <v>123</v>
      </c>
      <c r="D57" s="2">
        <v>19</v>
      </c>
      <c r="E57" s="9">
        <v>2.7782920350000002</v>
      </c>
      <c r="F57" s="9">
        <v>300.89215869999998</v>
      </c>
    </row>
    <row r="58" spans="1:6" x14ac:dyDescent="0.2">
      <c r="A58" t="s">
        <v>10</v>
      </c>
      <c r="B58" s="2">
        <v>666</v>
      </c>
      <c r="C58" s="2">
        <v>123</v>
      </c>
      <c r="D58" s="2">
        <v>20</v>
      </c>
      <c r="E58" s="9">
        <v>2.7262183809999998</v>
      </c>
      <c r="F58" s="9">
        <v>520.6550694</v>
      </c>
    </row>
    <row r="59" spans="1:6" x14ac:dyDescent="0.2">
      <c r="A59" t="s">
        <v>10</v>
      </c>
      <c r="B59" s="2">
        <v>666</v>
      </c>
      <c r="C59" s="2">
        <v>123</v>
      </c>
      <c r="D59" s="2">
        <v>22</v>
      </c>
      <c r="E59" s="9">
        <v>2.4316452559999999</v>
      </c>
      <c r="F59" s="9">
        <v>208.3478393</v>
      </c>
    </row>
    <row r="60" spans="1:6" x14ac:dyDescent="0.2">
      <c r="A60" t="s">
        <v>11</v>
      </c>
      <c r="B60" s="2">
        <v>1212</v>
      </c>
      <c r="C60" s="2">
        <v>10</v>
      </c>
      <c r="D60" s="2">
        <v>21</v>
      </c>
      <c r="E60" s="9">
        <v>2.86880435</v>
      </c>
      <c r="F60" s="9">
        <v>114.5032089</v>
      </c>
    </row>
    <row r="61" spans="1:6" x14ac:dyDescent="0.2">
      <c r="A61" t="s">
        <v>11</v>
      </c>
      <c r="B61" s="2">
        <v>1212</v>
      </c>
      <c r="C61" s="2">
        <v>3</v>
      </c>
      <c r="D61" s="2">
        <v>29</v>
      </c>
      <c r="E61" s="9"/>
      <c r="F61" s="9"/>
    </row>
    <row r="62" spans="1:6" x14ac:dyDescent="0.2">
      <c r="A62" t="s">
        <v>11</v>
      </c>
      <c r="B62" s="2">
        <v>1212</v>
      </c>
      <c r="C62" s="2">
        <v>3</v>
      </c>
      <c r="D62" s="2">
        <v>30</v>
      </c>
      <c r="E62" s="9">
        <v>2.3023906099999998</v>
      </c>
      <c r="F62" s="9">
        <v>150.32988</v>
      </c>
    </row>
    <row r="63" spans="1:6" x14ac:dyDescent="0.2">
      <c r="A63" t="s">
        <v>11</v>
      </c>
      <c r="B63" s="2">
        <v>1212</v>
      </c>
      <c r="C63" s="2">
        <v>3</v>
      </c>
      <c r="D63" s="2">
        <v>31</v>
      </c>
      <c r="E63" s="9">
        <v>2.5887498249999998</v>
      </c>
      <c r="F63" s="9">
        <v>154.41809069999999</v>
      </c>
    </row>
    <row r="64" spans="1:6" x14ac:dyDescent="0.2">
      <c r="A64" t="s">
        <v>11</v>
      </c>
      <c r="B64" s="2">
        <v>1212</v>
      </c>
      <c r="C64" s="2">
        <v>3</v>
      </c>
      <c r="D64" s="2">
        <v>31.2</v>
      </c>
      <c r="E64" s="9">
        <v>3.0735865709999999</v>
      </c>
      <c r="F64" s="9">
        <v>189.9314225</v>
      </c>
    </row>
    <row r="65" spans="1:6" x14ac:dyDescent="0.2">
      <c r="A65" t="s">
        <v>11</v>
      </c>
      <c r="B65" s="2">
        <v>1212</v>
      </c>
      <c r="C65" s="2">
        <v>4</v>
      </c>
      <c r="D65" s="2">
        <v>32</v>
      </c>
      <c r="E65" s="9">
        <v>2.866674502</v>
      </c>
      <c r="F65" s="9">
        <v>250.67303759999999</v>
      </c>
    </row>
    <row r="66" spans="1:6" x14ac:dyDescent="0.2">
      <c r="A66" t="s">
        <v>11</v>
      </c>
      <c r="B66" s="2">
        <v>1212</v>
      </c>
      <c r="C66" s="2">
        <v>4</v>
      </c>
      <c r="D66" s="2">
        <v>33</v>
      </c>
      <c r="E66" s="9">
        <v>2.855451177</v>
      </c>
      <c r="F66" s="9">
        <v>631.85566410000001</v>
      </c>
    </row>
    <row r="67" spans="1:6" x14ac:dyDescent="0.2">
      <c r="A67" t="s">
        <v>11</v>
      </c>
      <c r="B67" s="2">
        <v>1212</v>
      </c>
      <c r="C67" s="2">
        <v>4</v>
      </c>
      <c r="D67" s="2">
        <v>34</v>
      </c>
      <c r="E67" s="9">
        <v>2.727165904</v>
      </c>
      <c r="F67" s="9">
        <v>149.59637509999999</v>
      </c>
    </row>
    <row r="68" spans="1:6" x14ac:dyDescent="0.2">
      <c r="A68" t="s">
        <v>11</v>
      </c>
      <c r="B68" s="2">
        <v>1212</v>
      </c>
      <c r="C68" s="2">
        <v>7</v>
      </c>
      <c r="D68" s="2">
        <v>36</v>
      </c>
      <c r="E68" s="9">
        <v>2.5368852290000001</v>
      </c>
      <c r="F68" s="9">
        <v>157.2982816</v>
      </c>
    </row>
    <row r="69" spans="1:6" x14ac:dyDescent="0.2">
      <c r="A69" t="s">
        <v>11</v>
      </c>
      <c r="B69" s="2">
        <v>1212</v>
      </c>
      <c r="C69" s="2">
        <v>7</v>
      </c>
      <c r="D69" s="2">
        <v>37</v>
      </c>
      <c r="E69" s="9">
        <v>2.6366598489999999</v>
      </c>
      <c r="F69" s="9">
        <v>134.51248369999999</v>
      </c>
    </row>
    <row r="70" spans="1:6" x14ac:dyDescent="0.2">
      <c r="A70" t="s">
        <v>11</v>
      </c>
      <c r="B70" s="2">
        <v>1212</v>
      </c>
      <c r="C70" s="2">
        <v>8</v>
      </c>
      <c r="D70" s="2">
        <v>38</v>
      </c>
      <c r="E70" s="9">
        <v>2.3401779619999998</v>
      </c>
      <c r="F70" s="9">
        <v>149.7378257</v>
      </c>
    </row>
    <row r="71" spans="1:6" x14ac:dyDescent="0.2">
      <c r="A71" t="s">
        <v>11</v>
      </c>
      <c r="B71" s="2">
        <v>1212</v>
      </c>
      <c r="C71" s="2">
        <v>8</v>
      </c>
      <c r="D71" s="2">
        <v>39</v>
      </c>
      <c r="E71" s="9">
        <v>2.6898282089999999</v>
      </c>
      <c r="F71" s="9">
        <v>677.61775</v>
      </c>
    </row>
    <row r="72" spans="1:6" x14ac:dyDescent="0.2">
      <c r="A72" t="s">
        <v>11</v>
      </c>
      <c r="B72" s="2">
        <v>1212</v>
      </c>
      <c r="C72" s="2">
        <v>8</v>
      </c>
      <c r="D72" s="2">
        <v>40</v>
      </c>
      <c r="E72" s="9">
        <v>2.9523974750000002</v>
      </c>
      <c r="F72" s="9">
        <v>109.8365014</v>
      </c>
    </row>
    <row r="73" spans="1:6" x14ac:dyDescent="0.2">
      <c r="A73" t="s">
        <v>11</v>
      </c>
      <c r="B73" s="2">
        <v>1212</v>
      </c>
      <c r="C73" s="2">
        <v>10</v>
      </c>
      <c r="D73" s="2">
        <v>41</v>
      </c>
      <c r="E73" s="9">
        <v>3.101180576</v>
      </c>
      <c r="F73" s="9">
        <v>113.8830086</v>
      </c>
    </row>
    <row r="74" spans="1:6" x14ac:dyDescent="0.2">
      <c r="A74" t="s">
        <v>11</v>
      </c>
      <c r="B74" s="2">
        <v>1212</v>
      </c>
      <c r="C74" s="2">
        <v>10</v>
      </c>
      <c r="D74" s="2">
        <v>41.2</v>
      </c>
      <c r="E74" s="9">
        <v>3.097404783</v>
      </c>
      <c r="F74" s="9">
        <v>107.440949</v>
      </c>
    </row>
    <row r="75" spans="1:6" x14ac:dyDescent="0.2">
      <c r="A75" t="s">
        <v>11</v>
      </c>
      <c r="B75" s="2">
        <v>1212</v>
      </c>
      <c r="C75" s="2">
        <v>10</v>
      </c>
      <c r="D75" s="2">
        <v>42</v>
      </c>
      <c r="E75" s="9"/>
      <c r="F75" s="9"/>
    </row>
    <row r="76" spans="1:6" x14ac:dyDescent="0.2">
      <c r="A76" t="s">
        <v>11</v>
      </c>
      <c r="B76" s="2">
        <v>1212</v>
      </c>
      <c r="C76" s="2">
        <v>7</v>
      </c>
      <c r="D76" s="2">
        <v>83</v>
      </c>
      <c r="E76" s="9">
        <v>2.8397771949999999</v>
      </c>
      <c r="F76" s="9">
        <v>84.432944399999997</v>
      </c>
    </row>
  </sheetData>
  <sortState xmlns:xlrd2="http://schemas.microsoft.com/office/spreadsheetml/2017/richdata2" ref="A3:F76">
    <sortCondition ref="A3:A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Repeated measurements</vt:lpstr>
      <vt:lpstr>One time measurements</vt:lpstr>
      <vt:lpstr>Stem hydraulics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Pannikkat, Colin</cp:lastModifiedBy>
  <dcterms:created xsi:type="dcterms:W3CDTF">2024-12-09T21:24:55Z</dcterms:created>
  <dcterms:modified xsi:type="dcterms:W3CDTF">2025-07-22T21:40:26Z</dcterms:modified>
</cp:coreProperties>
</file>