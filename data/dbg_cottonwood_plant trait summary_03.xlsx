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/>
  <mc:AlternateContent xmlns:mc="http://schemas.openxmlformats.org/markup-compatibility/2006">
    <mc:Choice Requires="x15">
      <x15ac:absPath xmlns:x15ac="http://schemas.microsoft.com/office/spreadsheetml/2010/11/ac" url="/Users/colinpannikkat/Documents/schoolwork/FEL/garisom/03_test_data/fremont-poplar-data/data/"/>
    </mc:Choice>
  </mc:AlternateContent>
  <xr:revisionPtr revIDLastSave="0" documentId="13_ncr:1_{363562AD-2BC9-3B46-B625-0B20521C72A3}" xr6:coauthVersionLast="47" xr6:coauthVersionMax="47" xr10:uidLastSave="{00000000-0000-0000-0000-000000000000}"/>
  <bookViews>
    <workbookView xWindow="0" yWindow="880" windowWidth="41120" windowHeight="25700" activeTab="1" xr2:uid="{00000000-000D-0000-FFFF-FFFF00000000}"/>
  </bookViews>
  <sheets>
    <sheet name="Repeated measurements" sheetId="1" r:id="rId1"/>
    <sheet name="One time measurements" sheetId="2" r:id="rId2"/>
    <sheet name="weibull" sheetId="5" r:id="rId3"/>
    <sheet name="Stem hydraulic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1" i="2" l="1"/>
  <c r="C81" i="2" s="1"/>
  <c r="C87" i="2" s="1"/>
  <c r="O7" i="1"/>
  <c r="P7" i="1" s="1"/>
  <c r="Q7" i="1" s="1"/>
  <c r="R7" i="1" s="1"/>
  <c r="Y7" i="1" s="1"/>
  <c r="Z7" i="1" s="1"/>
  <c r="P3" i="1"/>
  <c r="Q3" i="1"/>
  <c r="R3" i="1" s="1"/>
  <c r="E94" i="2"/>
  <c r="C82" i="2"/>
  <c r="G84" i="2"/>
  <c r="G90" i="2" s="1"/>
  <c r="G83" i="2"/>
  <c r="G82" i="2"/>
  <c r="G81" i="2"/>
  <c r="H93" i="2"/>
  <c r="I93" i="2"/>
  <c r="H94" i="2"/>
  <c r="I94" i="2"/>
  <c r="J94" i="2"/>
  <c r="K94" i="2"/>
  <c r="G95" i="2"/>
  <c r="H95" i="2"/>
  <c r="I95" i="2"/>
  <c r="J95" i="2"/>
  <c r="K95" i="2"/>
  <c r="H96" i="2"/>
  <c r="I96" i="2"/>
  <c r="J96" i="2"/>
  <c r="K96" i="2"/>
  <c r="H98" i="2"/>
  <c r="I98" i="2"/>
  <c r="H99" i="2"/>
  <c r="I99" i="2"/>
  <c r="J99" i="2"/>
  <c r="K99" i="2"/>
  <c r="G100" i="2"/>
  <c r="H100" i="2"/>
  <c r="I100" i="2"/>
  <c r="J100" i="2"/>
  <c r="K100" i="2"/>
  <c r="H101" i="2"/>
  <c r="I101" i="2"/>
  <c r="J101" i="2"/>
  <c r="K101" i="2"/>
  <c r="D93" i="2"/>
  <c r="D94" i="2"/>
  <c r="C95" i="2"/>
  <c r="D95" i="2"/>
  <c r="C96" i="2"/>
  <c r="D96" i="2"/>
  <c r="D98" i="2"/>
  <c r="D99" i="2"/>
  <c r="C100" i="2"/>
  <c r="D100" i="2"/>
  <c r="C101" i="2"/>
  <c r="D101" i="2"/>
  <c r="E87" i="2"/>
  <c r="E88" i="2"/>
  <c r="E89" i="2"/>
  <c r="E90" i="2"/>
  <c r="E81" i="2"/>
  <c r="J76" i="2"/>
  <c r="E84" i="2"/>
  <c r="E78" i="2"/>
  <c r="E83" i="2"/>
  <c r="E77" i="2"/>
  <c r="E82" i="2"/>
  <c r="E76" i="2"/>
  <c r="E75" i="2"/>
  <c r="H84" i="2"/>
  <c r="H78" i="2"/>
  <c r="H83" i="2"/>
  <c r="H77" i="2"/>
  <c r="H82" i="2"/>
  <c r="H88" i="2" s="1"/>
  <c r="H76" i="2"/>
  <c r="H81" i="2"/>
  <c r="H87" i="2" s="1"/>
  <c r="H75" i="2"/>
  <c r="J84" i="2"/>
  <c r="J78" i="2"/>
  <c r="J83" i="2"/>
  <c r="J89" i="2" s="1"/>
  <c r="J77" i="2"/>
  <c r="J82" i="2"/>
  <c r="K82" i="2" s="1"/>
  <c r="K88" i="2" s="1"/>
  <c r="K84" i="2"/>
  <c r="I82" i="2"/>
  <c r="I88" i="2" s="1"/>
  <c r="I83" i="2"/>
  <c r="I84" i="2"/>
  <c r="I81" i="2"/>
  <c r="I87" i="2" s="1"/>
  <c r="H89" i="2"/>
  <c r="I89" i="2"/>
  <c r="H90" i="2"/>
  <c r="I90" i="2"/>
  <c r="J90" i="2"/>
  <c r="K90" i="2"/>
  <c r="F82" i="2"/>
  <c r="F83" i="2"/>
  <c r="G78" i="2"/>
  <c r="G89" i="2"/>
  <c r="G77" i="2"/>
  <c r="G88" i="2"/>
  <c r="G99" i="2" s="1"/>
  <c r="G76" i="2"/>
  <c r="G87" i="2"/>
  <c r="G93" i="2" s="1"/>
  <c r="G75" i="2"/>
  <c r="D82" i="2"/>
  <c r="D83" i="2"/>
  <c r="D84" i="2"/>
  <c r="W36" i="2"/>
  <c r="V36" i="2"/>
  <c r="U36" i="2"/>
  <c r="T36" i="2"/>
  <c r="S36" i="2"/>
  <c r="R36" i="2"/>
  <c r="Q36" i="2"/>
  <c r="K36" i="2"/>
  <c r="J36" i="2"/>
  <c r="H36" i="2"/>
  <c r="G36" i="2"/>
  <c r="F36" i="2"/>
  <c r="E36" i="2"/>
  <c r="D36" i="2"/>
  <c r="C36" i="2"/>
  <c r="B36" i="2"/>
  <c r="W35" i="2"/>
  <c r="V35" i="2"/>
  <c r="U35" i="2"/>
  <c r="T35" i="2"/>
  <c r="S35" i="2"/>
  <c r="R35" i="2"/>
  <c r="Q35" i="2"/>
  <c r="K35" i="2"/>
  <c r="J35" i="2"/>
  <c r="H35" i="2"/>
  <c r="G35" i="2"/>
  <c r="F35" i="2"/>
  <c r="E35" i="2"/>
  <c r="D35" i="2"/>
  <c r="C35" i="2"/>
  <c r="B35" i="2"/>
  <c r="Q19" i="2"/>
  <c r="R19" i="2"/>
  <c r="S19" i="2"/>
  <c r="T19" i="2"/>
  <c r="U19" i="2"/>
  <c r="V19" i="2"/>
  <c r="W19" i="2"/>
  <c r="C19" i="2"/>
  <c r="D19" i="2"/>
  <c r="E19" i="2"/>
  <c r="F19" i="2"/>
  <c r="G19" i="2"/>
  <c r="H19" i="2"/>
  <c r="J19" i="2"/>
  <c r="K19" i="2"/>
  <c r="B19" i="2"/>
  <c r="Q18" i="2"/>
  <c r="R18" i="2"/>
  <c r="S18" i="2"/>
  <c r="T18" i="2"/>
  <c r="U18" i="2"/>
  <c r="V18" i="2"/>
  <c r="W18" i="2"/>
  <c r="C18" i="2"/>
  <c r="D18" i="2"/>
  <c r="E18" i="2"/>
  <c r="F18" i="2"/>
  <c r="G18" i="2"/>
  <c r="H18" i="2"/>
  <c r="J18" i="2"/>
  <c r="K18" i="2"/>
  <c r="B18" i="2"/>
  <c r="Q17" i="2"/>
  <c r="R17" i="2"/>
  <c r="S17" i="2"/>
  <c r="T17" i="2"/>
  <c r="U17" i="2"/>
  <c r="V17" i="2"/>
  <c r="W17" i="2"/>
  <c r="C17" i="2"/>
  <c r="D17" i="2"/>
  <c r="E17" i="2"/>
  <c r="F17" i="2"/>
  <c r="G17" i="2"/>
  <c r="H17" i="2"/>
  <c r="J17" i="2"/>
  <c r="K17" i="2"/>
  <c r="B17" i="2"/>
  <c r="O78" i="2"/>
  <c r="N78" i="2"/>
  <c r="I78" i="2"/>
  <c r="O77" i="2"/>
  <c r="N77" i="2"/>
  <c r="I77" i="2"/>
  <c r="O76" i="2"/>
  <c r="N76" i="2"/>
  <c r="I76" i="2"/>
  <c r="O75" i="2"/>
  <c r="N75" i="2"/>
  <c r="I75" i="2"/>
  <c r="P68" i="2"/>
  <c r="N68" i="2"/>
  <c r="M68" i="2"/>
  <c r="L68" i="2"/>
  <c r="I68" i="2"/>
  <c r="Z67" i="2"/>
  <c r="P67" i="2"/>
  <c r="N67" i="2"/>
  <c r="M67" i="2"/>
  <c r="L67" i="2"/>
  <c r="I67" i="2"/>
  <c r="P66" i="2"/>
  <c r="N66" i="2"/>
  <c r="M66" i="2"/>
  <c r="L66" i="2"/>
  <c r="I66" i="2"/>
  <c r="Z65" i="2"/>
  <c r="P65" i="2"/>
  <c r="N65" i="2"/>
  <c r="M65" i="2"/>
  <c r="L65" i="2"/>
  <c r="I65" i="2"/>
  <c r="P64" i="2"/>
  <c r="N64" i="2"/>
  <c r="M64" i="2"/>
  <c r="L64" i="2"/>
  <c r="I64" i="2"/>
  <c r="P63" i="2"/>
  <c r="N63" i="2"/>
  <c r="M63" i="2"/>
  <c r="L63" i="2"/>
  <c r="I63" i="2"/>
  <c r="P62" i="2"/>
  <c r="N62" i="2"/>
  <c r="M62" i="2"/>
  <c r="L62" i="2"/>
  <c r="I62" i="2"/>
  <c r="P61" i="2"/>
  <c r="N61" i="2"/>
  <c r="M61" i="2"/>
  <c r="L61" i="2"/>
  <c r="I61" i="2"/>
  <c r="Z60" i="2"/>
  <c r="P60" i="2"/>
  <c r="N60" i="2"/>
  <c r="M60" i="2"/>
  <c r="L60" i="2"/>
  <c r="I60" i="2"/>
  <c r="Z59" i="2"/>
  <c r="P59" i="2"/>
  <c r="N59" i="2"/>
  <c r="M59" i="2"/>
  <c r="L59" i="2"/>
  <c r="I59" i="2"/>
  <c r="P58" i="2"/>
  <c r="N58" i="2"/>
  <c r="M58" i="2"/>
  <c r="L58" i="2"/>
  <c r="I58" i="2"/>
  <c r="P57" i="2"/>
  <c r="N57" i="2"/>
  <c r="M57" i="2"/>
  <c r="L57" i="2"/>
  <c r="I57" i="2"/>
  <c r="P56" i="2"/>
  <c r="N56" i="2"/>
  <c r="M56" i="2"/>
  <c r="L56" i="2"/>
  <c r="I56" i="2"/>
  <c r="P55" i="2"/>
  <c r="N55" i="2"/>
  <c r="M55" i="2"/>
  <c r="L55" i="2"/>
  <c r="I55" i="2"/>
  <c r="Z54" i="2"/>
  <c r="P54" i="2"/>
  <c r="N54" i="2"/>
  <c r="M54" i="2"/>
  <c r="L54" i="2"/>
  <c r="I54" i="2"/>
  <c r="Z51" i="2"/>
  <c r="P51" i="2"/>
  <c r="N51" i="2"/>
  <c r="M51" i="2"/>
  <c r="L51" i="2"/>
  <c r="I51" i="2"/>
  <c r="P50" i="2"/>
  <c r="N50" i="2"/>
  <c r="M50" i="2"/>
  <c r="L50" i="2"/>
  <c r="I50" i="2"/>
  <c r="P49" i="2"/>
  <c r="N49" i="2"/>
  <c r="M49" i="2"/>
  <c r="L49" i="2"/>
  <c r="I49" i="2"/>
  <c r="P48" i="2"/>
  <c r="N48" i="2"/>
  <c r="M48" i="2"/>
  <c r="L48" i="2"/>
  <c r="I48" i="2"/>
  <c r="Z47" i="2"/>
  <c r="P47" i="2"/>
  <c r="N47" i="2"/>
  <c r="M47" i="2"/>
  <c r="L47" i="2"/>
  <c r="I47" i="2"/>
  <c r="P46" i="2"/>
  <c r="N46" i="2"/>
  <c r="M46" i="2"/>
  <c r="L46" i="2"/>
  <c r="I46" i="2"/>
  <c r="P45" i="2"/>
  <c r="N45" i="2"/>
  <c r="M45" i="2"/>
  <c r="L45" i="2"/>
  <c r="I45" i="2"/>
  <c r="P44" i="2"/>
  <c r="N44" i="2"/>
  <c r="M44" i="2"/>
  <c r="L44" i="2"/>
  <c r="I44" i="2"/>
  <c r="Z43" i="2"/>
  <c r="P43" i="2"/>
  <c r="N43" i="2"/>
  <c r="M43" i="2"/>
  <c r="L43" i="2"/>
  <c r="I43" i="2"/>
  <c r="Z42" i="2"/>
  <c r="P42" i="2"/>
  <c r="N42" i="2"/>
  <c r="M42" i="2"/>
  <c r="L42" i="2"/>
  <c r="I42" i="2"/>
  <c r="P41" i="2"/>
  <c r="N41" i="2"/>
  <c r="M41" i="2"/>
  <c r="L41" i="2"/>
  <c r="I41" i="2"/>
  <c r="P40" i="2"/>
  <c r="N40" i="2"/>
  <c r="M40" i="2"/>
  <c r="L40" i="2"/>
  <c r="I40" i="2"/>
  <c r="Z39" i="2"/>
  <c r="P39" i="2"/>
  <c r="N39" i="2"/>
  <c r="M39" i="2"/>
  <c r="L39" i="2"/>
  <c r="I39" i="2"/>
  <c r="P38" i="2"/>
  <c r="N38" i="2"/>
  <c r="M38" i="2"/>
  <c r="L38" i="2"/>
  <c r="I38" i="2"/>
  <c r="P37" i="2"/>
  <c r="N37" i="2"/>
  <c r="M37" i="2"/>
  <c r="L37" i="2"/>
  <c r="I37" i="2"/>
  <c r="P34" i="2"/>
  <c r="N34" i="2"/>
  <c r="M34" i="2"/>
  <c r="L34" i="2"/>
  <c r="I34" i="2"/>
  <c r="Z33" i="2"/>
  <c r="P33" i="2"/>
  <c r="N33" i="2"/>
  <c r="M33" i="2"/>
  <c r="L33" i="2"/>
  <c r="I33" i="2"/>
  <c r="P32" i="2"/>
  <c r="N32" i="2"/>
  <c r="M32" i="2"/>
  <c r="L32" i="2"/>
  <c r="I32" i="2"/>
  <c r="P31" i="2"/>
  <c r="N31" i="2"/>
  <c r="M31" i="2"/>
  <c r="L31" i="2"/>
  <c r="I31" i="2"/>
  <c r="Z30" i="2"/>
  <c r="P30" i="2"/>
  <c r="N30" i="2"/>
  <c r="M30" i="2"/>
  <c r="L30" i="2"/>
  <c r="I30" i="2"/>
  <c r="P29" i="2"/>
  <c r="N29" i="2"/>
  <c r="M29" i="2"/>
  <c r="L29" i="2"/>
  <c r="I29" i="2"/>
  <c r="P28" i="2"/>
  <c r="N28" i="2"/>
  <c r="M28" i="2"/>
  <c r="L28" i="2"/>
  <c r="I28" i="2"/>
  <c r="P27" i="2"/>
  <c r="N27" i="2"/>
  <c r="M27" i="2"/>
  <c r="L27" i="2"/>
  <c r="I27" i="2"/>
  <c r="Z26" i="2"/>
  <c r="P26" i="2"/>
  <c r="N26" i="2"/>
  <c r="M26" i="2"/>
  <c r="L26" i="2"/>
  <c r="I26" i="2"/>
  <c r="Z25" i="2"/>
  <c r="P25" i="2"/>
  <c r="N25" i="2"/>
  <c r="M25" i="2"/>
  <c r="L25" i="2"/>
  <c r="I25" i="2"/>
  <c r="P24" i="2"/>
  <c r="N24" i="2"/>
  <c r="M24" i="2"/>
  <c r="L24" i="2"/>
  <c r="I24" i="2"/>
  <c r="P23" i="2"/>
  <c r="N23" i="2"/>
  <c r="M23" i="2"/>
  <c r="L23" i="2"/>
  <c r="I23" i="2"/>
  <c r="Z22" i="2"/>
  <c r="P22" i="2"/>
  <c r="N22" i="2"/>
  <c r="M22" i="2"/>
  <c r="L22" i="2"/>
  <c r="I22" i="2"/>
  <c r="P21" i="2"/>
  <c r="N21" i="2"/>
  <c r="M21" i="2"/>
  <c r="L21" i="2"/>
  <c r="I21" i="2"/>
  <c r="P20" i="2"/>
  <c r="N20" i="2"/>
  <c r="M20" i="2"/>
  <c r="L20" i="2"/>
  <c r="I20" i="2"/>
  <c r="Z16" i="2"/>
  <c r="P16" i="2"/>
  <c r="N16" i="2"/>
  <c r="M16" i="2"/>
  <c r="L16" i="2"/>
  <c r="I16" i="2"/>
  <c r="P15" i="2"/>
  <c r="N15" i="2"/>
  <c r="M15" i="2"/>
  <c r="L15" i="2"/>
  <c r="I15" i="2"/>
  <c r="P14" i="2"/>
  <c r="N14" i="2"/>
  <c r="M14" i="2"/>
  <c r="L14" i="2"/>
  <c r="I14" i="2"/>
  <c r="Z13" i="2"/>
  <c r="P13" i="2"/>
  <c r="N13" i="2"/>
  <c r="M13" i="2"/>
  <c r="L13" i="2"/>
  <c r="I13" i="2"/>
  <c r="P12" i="2"/>
  <c r="N12" i="2"/>
  <c r="M12" i="2"/>
  <c r="L12" i="2"/>
  <c r="I12" i="2"/>
  <c r="P11" i="2"/>
  <c r="N11" i="2"/>
  <c r="M11" i="2"/>
  <c r="L11" i="2"/>
  <c r="I11" i="2"/>
  <c r="Z10" i="2"/>
  <c r="P10" i="2"/>
  <c r="N10" i="2"/>
  <c r="M10" i="2"/>
  <c r="L10" i="2"/>
  <c r="I10" i="2"/>
  <c r="P9" i="2"/>
  <c r="N9" i="2"/>
  <c r="M9" i="2"/>
  <c r="L9" i="2"/>
  <c r="I9" i="2"/>
  <c r="P8" i="2"/>
  <c r="N8" i="2"/>
  <c r="M8" i="2"/>
  <c r="L8" i="2"/>
  <c r="I8" i="2"/>
  <c r="P7" i="2"/>
  <c r="N7" i="2"/>
  <c r="M7" i="2"/>
  <c r="L7" i="2"/>
  <c r="I7" i="2"/>
  <c r="P6" i="2"/>
  <c r="N6" i="2"/>
  <c r="M6" i="2"/>
  <c r="L6" i="2"/>
  <c r="I6" i="2"/>
  <c r="Z5" i="2"/>
  <c r="P5" i="2"/>
  <c r="N5" i="2"/>
  <c r="M5" i="2"/>
  <c r="L5" i="2"/>
  <c r="C78" i="2" s="1"/>
  <c r="I5" i="2"/>
  <c r="P4" i="2"/>
  <c r="N4" i="2"/>
  <c r="M4" i="2"/>
  <c r="L4" i="2"/>
  <c r="C77" i="2" s="1"/>
  <c r="I4" i="2"/>
  <c r="Z3" i="2"/>
  <c r="P3" i="2"/>
  <c r="N3" i="2"/>
  <c r="M3" i="2"/>
  <c r="L3" i="2"/>
  <c r="C76" i="2" s="1"/>
  <c r="I3" i="2"/>
  <c r="P2" i="2"/>
  <c r="N2" i="2"/>
  <c r="M2" i="2"/>
  <c r="L2" i="2"/>
  <c r="I2" i="2"/>
  <c r="X788" i="1"/>
  <c r="U788" i="1"/>
  <c r="O788" i="1"/>
  <c r="P788" i="1" s="1"/>
  <c r="Q788" i="1" s="1"/>
  <c r="R788" i="1" s="1"/>
  <c r="Y788" i="1" s="1"/>
  <c r="M788" i="1"/>
  <c r="X787" i="1"/>
  <c r="U787" i="1"/>
  <c r="O787" i="1"/>
  <c r="P787" i="1" s="1"/>
  <c r="Q787" i="1" s="1"/>
  <c r="R787" i="1" s="1"/>
  <c r="Y787" i="1" s="1"/>
  <c r="M787" i="1"/>
  <c r="X786" i="1"/>
  <c r="U786" i="1"/>
  <c r="Q786" i="1"/>
  <c r="R786" i="1" s="1"/>
  <c r="Y786" i="1" s="1"/>
  <c r="P786" i="1"/>
  <c r="O786" i="1"/>
  <c r="M786" i="1"/>
  <c r="X785" i="1"/>
  <c r="U785" i="1"/>
  <c r="O785" i="1"/>
  <c r="P785" i="1" s="1"/>
  <c r="Q785" i="1" s="1"/>
  <c r="R785" i="1" s="1"/>
  <c r="Y785" i="1" s="1"/>
  <c r="M785" i="1"/>
  <c r="X784" i="1"/>
  <c r="U784" i="1"/>
  <c r="O784" i="1"/>
  <c r="P784" i="1" s="1"/>
  <c r="Q784" i="1" s="1"/>
  <c r="R784" i="1" s="1"/>
  <c r="Y784" i="1" s="1"/>
  <c r="M784" i="1"/>
  <c r="X783" i="1"/>
  <c r="U783" i="1"/>
  <c r="O783" i="1"/>
  <c r="P783" i="1" s="1"/>
  <c r="Q783" i="1" s="1"/>
  <c r="R783" i="1" s="1"/>
  <c r="Y783" i="1" s="1"/>
  <c r="M783" i="1"/>
  <c r="X782" i="1"/>
  <c r="U782" i="1"/>
  <c r="O782" i="1"/>
  <c r="P782" i="1" s="1"/>
  <c r="Q782" i="1" s="1"/>
  <c r="R782" i="1" s="1"/>
  <c r="Y782" i="1" s="1"/>
  <c r="M782" i="1"/>
  <c r="X781" i="1"/>
  <c r="U781" i="1"/>
  <c r="O781" i="1"/>
  <c r="P781" i="1" s="1"/>
  <c r="Q781" i="1" s="1"/>
  <c r="R781" i="1" s="1"/>
  <c r="Y781" i="1" s="1"/>
  <c r="M781" i="1"/>
  <c r="X780" i="1"/>
  <c r="U780" i="1"/>
  <c r="R780" i="1"/>
  <c r="P780" i="1"/>
  <c r="Q780" i="1" s="1"/>
  <c r="O780" i="1"/>
  <c r="M780" i="1"/>
  <c r="X779" i="1"/>
  <c r="U779" i="1"/>
  <c r="O779" i="1"/>
  <c r="P779" i="1" s="1"/>
  <c r="Q779" i="1" s="1"/>
  <c r="R779" i="1" s="1"/>
  <c r="Y779" i="1" s="1"/>
  <c r="M779" i="1"/>
  <c r="X778" i="1"/>
  <c r="U778" i="1"/>
  <c r="Q778" i="1"/>
  <c r="R778" i="1" s="1"/>
  <c r="Y778" i="1" s="1"/>
  <c r="P778" i="1"/>
  <c r="O778" i="1"/>
  <c r="M778" i="1"/>
  <c r="X777" i="1"/>
  <c r="U777" i="1"/>
  <c r="P777" i="1"/>
  <c r="Q777" i="1" s="1"/>
  <c r="R777" i="1" s="1"/>
  <c r="Y777" i="1" s="1"/>
  <c r="AA777" i="1" s="1"/>
  <c r="AB777" i="1" s="1"/>
  <c r="O777" i="1"/>
  <c r="M777" i="1"/>
  <c r="X776" i="1"/>
  <c r="U776" i="1"/>
  <c r="R776" i="1"/>
  <c r="Y776" i="1" s="1"/>
  <c r="P776" i="1"/>
  <c r="Q776" i="1" s="1"/>
  <c r="O776" i="1"/>
  <c r="M776" i="1"/>
  <c r="X775" i="1"/>
  <c r="U775" i="1"/>
  <c r="Q775" i="1"/>
  <c r="R775" i="1" s="1"/>
  <c r="O775" i="1"/>
  <c r="P775" i="1" s="1"/>
  <c r="M775" i="1"/>
  <c r="X774" i="1"/>
  <c r="U774" i="1"/>
  <c r="P774" i="1"/>
  <c r="Q774" i="1" s="1"/>
  <c r="R774" i="1" s="1"/>
  <c r="Y774" i="1" s="1"/>
  <c r="O774" i="1"/>
  <c r="M774" i="1"/>
  <c r="X773" i="1"/>
  <c r="U773" i="1"/>
  <c r="P773" i="1"/>
  <c r="Q773" i="1" s="1"/>
  <c r="R773" i="1" s="1"/>
  <c r="Y773" i="1" s="1"/>
  <c r="O773" i="1"/>
  <c r="M773" i="1"/>
  <c r="X772" i="1"/>
  <c r="U772" i="1"/>
  <c r="O772" i="1"/>
  <c r="P772" i="1" s="1"/>
  <c r="Q772" i="1" s="1"/>
  <c r="R772" i="1" s="1"/>
  <c r="Y772" i="1" s="1"/>
  <c r="M772" i="1"/>
  <c r="AA771" i="1"/>
  <c r="AB771" i="1" s="1"/>
  <c r="X771" i="1"/>
  <c r="U771" i="1"/>
  <c r="O771" i="1"/>
  <c r="P771" i="1" s="1"/>
  <c r="Q771" i="1" s="1"/>
  <c r="R771" i="1" s="1"/>
  <c r="Y771" i="1" s="1"/>
  <c r="Z771" i="1" s="1"/>
  <c r="M771" i="1"/>
  <c r="Y770" i="1"/>
  <c r="AA770" i="1" s="1"/>
  <c r="AB770" i="1" s="1"/>
  <c r="X770" i="1"/>
  <c r="U770" i="1"/>
  <c r="R770" i="1"/>
  <c r="O770" i="1"/>
  <c r="P770" i="1" s="1"/>
  <c r="Q770" i="1" s="1"/>
  <c r="M770" i="1"/>
  <c r="X769" i="1"/>
  <c r="U769" i="1"/>
  <c r="Q769" i="1"/>
  <c r="R769" i="1" s="1"/>
  <c r="Y769" i="1" s="1"/>
  <c r="O769" i="1"/>
  <c r="P769" i="1" s="1"/>
  <c r="M769" i="1"/>
  <c r="X768" i="1"/>
  <c r="U768" i="1"/>
  <c r="P768" i="1"/>
  <c r="Q768" i="1" s="1"/>
  <c r="R768" i="1" s="1"/>
  <c r="Y768" i="1" s="1"/>
  <c r="O768" i="1"/>
  <c r="M768" i="1"/>
  <c r="X767" i="1"/>
  <c r="U767" i="1"/>
  <c r="Q767" i="1"/>
  <c r="R767" i="1" s="1"/>
  <c r="Y767" i="1" s="1"/>
  <c r="O767" i="1"/>
  <c r="P767" i="1" s="1"/>
  <c r="M767" i="1"/>
  <c r="X766" i="1"/>
  <c r="U766" i="1"/>
  <c r="Q766" i="1"/>
  <c r="R766" i="1" s="1"/>
  <c r="Y766" i="1" s="1"/>
  <c r="AA766" i="1" s="1"/>
  <c r="AB766" i="1" s="1"/>
  <c r="P766" i="1"/>
  <c r="O766" i="1"/>
  <c r="M766" i="1"/>
  <c r="X765" i="1"/>
  <c r="U765" i="1"/>
  <c r="P765" i="1"/>
  <c r="Q765" i="1" s="1"/>
  <c r="R765" i="1" s="1"/>
  <c r="Y765" i="1" s="1"/>
  <c r="O765" i="1"/>
  <c r="M765" i="1"/>
  <c r="X764" i="1"/>
  <c r="U764" i="1"/>
  <c r="O764" i="1"/>
  <c r="P764" i="1" s="1"/>
  <c r="Q764" i="1" s="1"/>
  <c r="R764" i="1" s="1"/>
  <c r="Y764" i="1" s="1"/>
  <c r="M764" i="1"/>
  <c r="X763" i="1"/>
  <c r="U763" i="1"/>
  <c r="O763" i="1"/>
  <c r="P763" i="1" s="1"/>
  <c r="Q763" i="1" s="1"/>
  <c r="R763" i="1" s="1"/>
  <c r="Y763" i="1" s="1"/>
  <c r="M763" i="1"/>
  <c r="X762" i="1"/>
  <c r="U762" i="1"/>
  <c r="R762" i="1"/>
  <c r="Y762" i="1" s="1"/>
  <c r="P762" i="1"/>
  <c r="Q762" i="1" s="1"/>
  <c r="O762" i="1"/>
  <c r="M762" i="1"/>
  <c r="AA761" i="1"/>
  <c r="AB761" i="1" s="1"/>
  <c r="Y761" i="1"/>
  <c r="Z761" i="1" s="1"/>
  <c r="X761" i="1"/>
  <c r="U761" i="1"/>
  <c r="P761" i="1"/>
  <c r="Q761" i="1" s="1"/>
  <c r="R761" i="1" s="1"/>
  <c r="O761" i="1"/>
  <c r="M761" i="1"/>
  <c r="AA760" i="1"/>
  <c r="AB760" i="1" s="1"/>
  <c r="X760" i="1"/>
  <c r="U760" i="1"/>
  <c r="Q760" i="1"/>
  <c r="R760" i="1" s="1"/>
  <c r="Y760" i="1" s="1"/>
  <c r="Z760" i="1" s="1"/>
  <c r="O760" i="1"/>
  <c r="P760" i="1" s="1"/>
  <c r="M760" i="1"/>
  <c r="X759" i="1"/>
  <c r="U759" i="1"/>
  <c r="O759" i="1"/>
  <c r="P759" i="1" s="1"/>
  <c r="Q759" i="1" s="1"/>
  <c r="R759" i="1" s="1"/>
  <c r="Y759" i="1" s="1"/>
  <c r="M759" i="1"/>
  <c r="X758" i="1"/>
  <c r="U758" i="1"/>
  <c r="O758" i="1"/>
  <c r="P758" i="1" s="1"/>
  <c r="Q758" i="1" s="1"/>
  <c r="R758" i="1" s="1"/>
  <c r="Y758" i="1" s="1"/>
  <c r="M758" i="1"/>
  <c r="X757" i="1"/>
  <c r="U757" i="1"/>
  <c r="Q757" i="1"/>
  <c r="R757" i="1" s="1"/>
  <c r="Y757" i="1" s="1"/>
  <c r="Z757" i="1" s="1"/>
  <c r="O757" i="1"/>
  <c r="P757" i="1" s="1"/>
  <c r="M757" i="1"/>
  <c r="X756" i="1"/>
  <c r="U756" i="1"/>
  <c r="P756" i="1"/>
  <c r="Q756" i="1" s="1"/>
  <c r="R756" i="1" s="1"/>
  <c r="Y756" i="1" s="1"/>
  <c r="O756" i="1"/>
  <c r="M756" i="1"/>
  <c r="X755" i="1"/>
  <c r="U755" i="1"/>
  <c r="O755" i="1"/>
  <c r="P755" i="1" s="1"/>
  <c r="Q755" i="1" s="1"/>
  <c r="R755" i="1" s="1"/>
  <c r="Y755" i="1" s="1"/>
  <c r="M755" i="1"/>
  <c r="X754" i="1"/>
  <c r="U754" i="1"/>
  <c r="P754" i="1"/>
  <c r="Q754" i="1" s="1"/>
  <c r="R754" i="1" s="1"/>
  <c r="Y754" i="1" s="1"/>
  <c r="O754" i="1"/>
  <c r="M754" i="1"/>
  <c r="X753" i="1"/>
  <c r="U753" i="1"/>
  <c r="O753" i="1"/>
  <c r="P753" i="1" s="1"/>
  <c r="Q753" i="1" s="1"/>
  <c r="R753" i="1" s="1"/>
  <c r="Y753" i="1" s="1"/>
  <c r="M753" i="1"/>
  <c r="X752" i="1"/>
  <c r="U752" i="1"/>
  <c r="P752" i="1"/>
  <c r="Q752" i="1" s="1"/>
  <c r="R752" i="1" s="1"/>
  <c r="Y752" i="1" s="1"/>
  <c r="O752" i="1"/>
  <c r="M752" i="1"/>
  <c r="X751" i="1"/>
  <c r="U751" i="1"/>
  <c r="O751" i="1"/>
  <c r="P751" i="1" s="1"/>
  <c r="Q751" i="1" s="1"/>
  <c r="R751" i="1" s="1"/>
  <c r="Y751" i="1" s="1"/>
  <c r="M751" i="1"/>
  <c r="X750" i="1"/>
  <c r="U750" i="1"/>
  <c r="P750" i="1"/>
  <c r="Q750" i="1" s="1"/>
  <c r="R750" i="1" s="1"/>
  <c r="Y750" i="1" s="1"/>
  <c r="O750" i="1"/>
  <c r="M750" i="1"/>
  <c r="AA749" i="1"/>
  <c r="AB749" i="1" s="1"/>
  <c r="Y749" i="1"/>
  <c r="Z749" i="1" s="1"/>
  <c r="X749" i="1"/>
  <c r="U749" i="1"/>
  <c r="O749" i="1"/>
  <c r="P749" i="1" s="1"/>
  <c r="Q749" i="1" s="1"/>
  <c r="R749" i="1" s="1"/>
  <c r="M749" i="1"/>
  <c r="Z748" i="1"/>
  <c r="X748" i="1"/>
  <c r="U748" i="1"/>
  <c r="O748" i="1"/>
  <c r="P748" i="1" s="1"/>
  <c r="Q748" i="1" s="1"/>
  <c r="R748" i="1" s="1"/>
  <c r="Y748" i="1" s="1"/>
  <c r="AA748" i="1" s="1"/>
  <c r="AB748" i="1" s="1"/>
  <c r="M748" i="1"/>
  <c r="X747" i="1"/>
  <c r="U747" i="1"/>
  <c r="P747" i="1"/>
  <c r="Q747" i="1" s="1"/>
  <c r="R747" i="1" s="1"/>
  <c r="Y747" i="1" s="1"/>
  <c r="O747" i="1"/>
  <c r="M747" i="1"/>
  <c r="X746" i="1"/>
  <c r="U746" i="1"/>
  <c r="O746" i="1"/>
  <c r="P746" i="1" s="1"/>
  <c r="Q746" i="1" s="1"/>
  <c r="R746" i="1" s="1"/>
  <c r="M746" i="1"/>
  <c r="X745" i="1"/>
  <c r="U745" i="1"/>
  <c r="O745" i="1"/>
  <c r="P745" i="1" s="1"/>
  <c r="Q745" i="1" s="1"/>
  <c r="R745" i="1" s="1"/>
  <c r="Y745" i="1" s="1"/>
  <c r="M745" i="1"/>
  <c r="X744" i="1"/>
  <c r="U744" i="1"/>
  <c r="R744" i="1"/>
  <c r="Y744" i="1" s="1"/>
  <c r="P744" i="1"/>
  <c r="Q744" i="1" s="1"/>
  <c r="O744" i="1"/>
  <c r="M744" i="1"/>
  <c r="X743" i="1"/>
  <c r="U743" i="1"/>
  <c r="O743" i="1"/>
  <c r="P743" i="1" s="1"/>
  <c r="Q743" i="1" s="1"/>
  <c r="R743" i="1" s="1"/>
  <c r="Y743" i="1" s="1"/>
  <c r="M743" i="1"/>
  <c r="X742" i="1"/>
  <c r="U742" i="1"/>
  <c r="P742" i="1"/>
  <c r="Q742" i="1" s="1"/>
  <c r="R742" i="1" s="1"/>
  <c r="Y742" i="1" s="1"/>
  <c r="O742" i="1"/>
  <c r="M742" i="1"/>
  <c r="X741" i="1"/>
  <c r="U741" i="1"/>
  <c r="Q741" i="1"/>
  <c r="R741" i="1" s="1"/>
  <c r="Y741" i="1" s="1"/>
  <c r="O741" i="1"/>
  <c r="P741" i="1" s="1"/>
  <c r="M741" i="1"/>
  <c r="X740" i="1"/>
  <c r="Y740" i="1" s="1"/>
  <c r="U740" i="1"/>
  <c r="O740" i="1"/>
  <c r="P740" i="1" s="1"/>
  <c r="Q740" i="1" s="1"/>
  <c r="R740" i="1" s="1"/>
  <c r="M740" i="1"/>
  <c r="X739" i="1"/>
  <c r="U739" i="1"/>
  <c r="O739" i="1"/>
  <c r="P739" i="1" s="1"/>
  <c r="Q739" i="1" s="1"/>
  <c r="R739" i="1" s="1"/>
  <c r="Y739" i="1" s="1"/>
  <c r="M739" i="1"/>
  <c r="X738" i="1"/>
  <c r="U738" i="1"/>
  <c r="P738" i="1"/>
  <c r="Q738" i="1" s="1"/>
  <c r="R738" i="1" s="1"/>
  <c r="Y738" i="1" s="1"/>
  <c r="O738" i="1"/>
  <c r="M738" i="1"/>
  <c r="X737" i="1"/>
  <c r="U737" i="1"/>
  <c r="Q737" i="1"/>
  <c r="R737" i="1" s="1"/>
  <c r="Y737" i="1" s="1"/>
  <c r="O737" i="1"/>
  <c r="P737" i="1" s="1"/>
  <c r="M737" i="1"/>
  <c r="X736" i="1"/>
  <c r="U736" i="1"/>
  <c r="O736" i="1"/>
  <c r="P736" i="1" s="1"/>
  <c r="Q736" i="1" s="1"/>
  <c r="R736" i="1" s="1"/>
  <c r="M736" i="1"/>
  <c r="X735" i="1"/>
  <c r="U735" i="1"/>
  <c r="Q735" i="1"/>
  <c r="R735" i="1" s="1"/>
  <c r="Y735" i="1" s="1"/>
  <c r="Z735" i="1" s="1"/>
  <c r="O735" i="1"/>
  <c r="P735" i="1" s="1"/>
  <c r="M735" i="1"/>
  <c r="Z734" i="1"/>
  <c r="X734" i="1"/>
  <c r="U734" i="1"/>
  <c r="O734" i="1"/>
  <c r="P734" i="1" s="1"/>
  <c r="Q734" i="1" s="1"/>
  <c r="R734" i="1" s="1"/>
  <c r="Y734" i="1" s="1"/>
  <c r="AA734" i="1" s="1"/>
  <c r="AB734" i="1" s="1"/>
  <c r="M734" i="1"/>
  <c r="X733" i="1"/>
  <c r="U733" i="1"/>
  <c r="Q733" i="1"/>
  <c r="R733" i="1" s="1"/>
  <c r="Y733" i="1" s="1"/>
  <c r="O733" i="1"/>
  <c r="P733" i="1" s="1"/>
  <c r="M733" i="1"/>
  <c r="AA732" i="1"/>
  <c r="AB732" i="1" s="1"/>
  <c r="Z732" i="1"/>
  <c r="X732" i="1"/>
  <c r="U732" i="1"/>
  <c r="P732" i="1"/>
  <c r="Q732" i="1" s="1"/>
  <c r="R732" i="1" s="1"/>
  <c r="Y732" i="1" s="1"/>
  <c r="O732" i="1"/>
  <c r="M732" i="1"/>
  <c r="X731" i="1"/>
  <c r="U731" i="1"/>
  <c r="R731" i="1"/>
  <c r="Y731" i="1" s="1"/>
  <c r="AA731" i="1" s="1"/>
  <c r="AB731" i="1" s="1"/>
  <c r="O731" i="1"/>
  <c r="P731" i="1" s="1"/>
  <c r="Q731" i="1" s="1"/>
  <c r="M731" i="1"/>
  <c r="X730" i="1"/>
  <c r="U730" i="1"/>
  <c r="Q730" i="1"/>
  <c r="R730" i="1" s="1"/>
  <c r="Y730" i="1" s="1"/>
  <c r="P730" i="1"/>
  <c r="O730" i="1"/>
  <c r="M730" i="1"/>
  <c r="X729" i="1"/>
  <c r="U729" i="1"/>
  <c r="P729" i="1"/>
  <c r="Q729" i="1" s="1"/>
  <c r="R729" i="1" s="1"/>
  <c r="Y729" i="1" s="1"/>
  <c r="O729" i="1"/>
  <c r="M729" i="1"/>
  <c r="X728" i="1"/>
  <c r="U728" i="1"/>
  <c r="O728" i="1"/>
  <c r="P728" i="1" s="1"/>
  <c r="Q728" i="1" s="1"/>
  <c r="R728" i="1" s="1"/>
  <c r="Y728" i="1" s="1"/>
  <c r="M728" i="1"/>
  <c r="X727" i="1"/>
  <c r="U727" i="1"/>
  <c r="O727" i="1"/>
  <c r="P727" i="1" s="1"/>
  <c r="Q727" i="1" s="1"/>
  <c r="R727" i="1" s="1"/>
  <c r="Y727" i="1" s="1"/>
  <c r="M727" i="1"/>
  <c r="X726" i="1"/>
  <c r="U726" i="1"/>
  <c r="P726" i="1"/>
  <c r="Q726" i="1" s="1"/>
  <c r="R726" i="1" s="1"/>
  <c r="Y726" i="1" s="1"/>
  <c r="O726" i="1"/>
  <c r="M726" i="1"/>
  <c r="X725" i="1"/>
  <c r="U725" i="1"/>
  <c r="R725" i="1"/>
  <c r="Y725" i="1" s="1"/>
  <c r="Q725" i="1"/>
  <c r="P725" i="1"/>
  <c r="O725" i="1"/>
  <c r="M725" i="1"/>
  <c r="X724" i="1"/>
  <c r="U724" i="1"/>
  <c r="Q724" i="1"/>
  <c r="R724" i="1" s="1"/>
  <c r="Y724" i="1" s="1"/>
  <c r="P724" i="1"/>
  <c r="O724" i="1"/>
  <c r="M724" i="1"/>
  <c r="AA723" i="1"/>
  <c r="AB723" i="1" s="1"/>
  <c r="X723" i="1"/>
  <c r="U723" i="1"/>
  <c r="P723" i="1"/>
  <c r="Q723" i="1" s="1"/>
  <c r="R723" i="1" s="1"/>
  <c r="Y723" i="1" s="1"/>
  <c r="Z723" i="1" s="1"/>
  <c r="O723" i="1"/>
  <c r="M723" i="1"/>
  <c r="Y722" i="1"/>
  <c r="AA722" i="1" s="1"/>
  <c r="AB722" i="1" s="1"/>
  <c r="X722" i="1"/>
  <c r="U722" i="1"/>
  <c r="R722" i="1"/>
  <c r="O722" i="1"/>
  <c r="P722" i="1" s="1"/>
  <c r="Q722" i="1" s="1"/>
  <c r="M722" i="1"/>
  <c r="X721" i="1"/>
  <c r="U721" i="1"/>
  <c r="O721" i="1"/>
  <c r="P721" i="1" s="1"/>
  <c r="Q721" i="1" s="1"/>
  <c r="R721" i="1" s="1"/>
  <c r="Y721" i="1" s="1"/>
  <c r="M721" i="1"/>
  <c r="X720" i="1"/>
  <c r="U720" i="1"/>
  <c r="P720" i="1"/>
  <c r="Q720" i="1" s="1"/>
  <c r="R720" i="1" s="1"/>
  <c r="Y720" i="1" s="1"/>
  <c r="O720" i="1"/>
  <c r="M720" i="1"/>
  <c r="Z719" i="1"/>
  <c r="Y719" i="1"/>
  <c r="AA719" i="1" s="1"/>
  <c r="AB719" i="1" s="1"/>
  <c r="X719" i="1"/>
  <c r="U719" i="1"/>
  <c r="Q719" i="1"/>
  <c r="R719" i="1" s="1"/>
  <c r="O719" i="1"/>
  <c r="P719" i="1" s="1"/>
  <c r="M719" i="1"/>
  <c r="X718" i="1"/>
  <c r="U718" i="1"/>
  <c r="P718" i="1"/>
  <c r="Q718" i="1" s="1"/>
  <c r="R718" i="1" s="1"/>
  <c r="Y718" i="1" s="1"/>
  <c r="Z718" i="1" s="1"/>
  <c r="O718" i="1"/>
  <c r="M718" i="1"/>
  <c r="X717" i="1"/>
  <c r="U717" i="1"/>
  <c r="P717" i="1"/>
  <c r="Q717" i="1" s="1"/>
  <c r="R717" i="1" s="1"/>
  <c r="Y717" i="1" s="1"/>
  <c r="O717" i="1"/>
  <c r="M717" i="1"/>
  <c r="X716" i="1"/>
  <c r="U716" i="1"/>
  <c r="O716" i="1"/>
  <c r="P716" i="1" s="1"/>
  <c r="Q716" i="1" s="1"/>
  <c r="R716" i="1" s="1"/>
  <c r="Y716" i="1" s="1"/>
  <c r="M716" i="1"/>
  <c r="AA715" i="1"/>
  <c r="AB715" i="1" s="1"/>
  <c r="X715" i="1"/>
  <c r="U715" i="1"/>
  <c r="Q715" i="1"/>
  <c r="R715" i="1" s="1"/>
  <c r="Y715" i="1" s="1"/>
  <c r="Z715" i="1" s="1"/>
  <c r="O715" i="1"/>
  <c r="P715" i="1" s="1"/>
  <c r="M715" i="1"/>
  <c r="X714" i="1"/>
  <c r="U714" i="1"/>
  <c r="P714" i="1"/>
  <c r="Q714" i="1" s="1"/>
  <c r="R714" i="1" s="1"/>
  <c r="Y714" i="1" s="1"/>
  <c r="O714" i="1"/>
  <c r="M714" i="1"/>
  <c r="X713" i="1"/>
  <c r="U713" i="1"/>
  <c r="P713" i="1"/>
  <c r="Q713" i="1" s="1"/>
  <c r="R713" i="1" s="1"/>
  <c r="Y713" i="1" s="1"/>
  <c r="O713" i="1"/>
  <c r="M713" i="1"/>
  <c r="X712" i="1"/>
  <c r="U712" i="1"/>
  <c r="R712" i="1"/>
  <c r="Q712" i="1"/>
  <c r="P712" i="1"/>
  <c r="O712" i="1"/>
  <c r="M712" i="1"/>
  <c r="X711" i="1"/>
  <c r="U711" i="1"/>
  <c r="O711" i="1"/>
  <c r="P711" i="1" s="1"/>
  <c r="Q711" i="1" s="1"/>
  <c r="R711" i="1" s="1"/>
  <c r="Y711" i="1" s="1"/>
  <c r="M711" i="1"/>
  <c r="X710" i="1"/>
  <c r="U710" i="1"/>
  <c r="O710" i="1"/>
  <c r="P710" i="1" s="1"/>
  <c r="Q710" i="1" s="1"/>
  <c r="R710" i="1" s="1"/>
  <c r="Y710" i="1" s="1"/>
  <c r="M710" i="1"/>
  <c r="X709" i="1"/>
  <c r="Y709" i="1" s="1"/>
  <c r="U709" i="1"/>
  <c r="Q709" i="1"/>
  <c r="R709" i="1" s="1"/>
  <c r="O709" i="1"/>
  <c r="P709" i="1" s="1"/>
  <c r="M709" i="1"/>
  <c r="X708" i="1"/>
  <c r="U708" i="1"/>
  <c r="R708" i="1"/>
  <c r="Y708" i="1" s="1"/>
  <c r="P708" i="1"/>
  <c r="Q708" i="1" s="1"/>
  <c r="O708" i="1"/>
  <c r="M708" i="1"/>
  <c r="X707" i="1"/>
  <c r="U707" i="1"/>
  <c r="O707" i="1"/>
  <c r="P707" i="1" s="1"/>
  <c r="Q707" i="1" s="1"/>
  <c r="R707" i="1" s="1"/>
  <c r="Y707" i="1" s="1"/>
  <c r="M707" i="1"/>
  <c r="X706" i="1"/>
  <c r="U706" i="1"/>
  <c r="P706" i="1"/>
  <c r="Q706" i="1" s="1"/>
  <c r="R706" i="1" s="1"/>
  <c r="Y706" i="1" s="1"/>
  <c r="O706" i="1"/>
  <c r="M706" i="1"/>
  <c r="X705" i="1"/>
  <c r="U705" i="1"/>
  <c r="O705" i="1"/>
  <c r="P705" i="1" s="1"/>
  <c r="Q705" i="1" s="1"/>
  <c r="R705" i="1" s="1"/>
  <c r="Y705" i="1" s="1"/>
  <c r="M705" i="1"/>
  <c r="X704" i="1"/>
  <c r="U704" i="1"/>
  <c r="O704" i="1"/>
  <c r="P704" i="1" s="1"/>
  <c r="Q704" i="1" s="1"/>
  <c r="R704" i="1" s="1"/>
  <c r="Y704" i="1" s="1"/>
  <c r="M704" i="1"/>
  <c r="X703" i="1"/>
  <c r="U703" i="1"/>
  <c r="R703" i="1"/>
  <c r="Y703" i="1" s="1"/>
  <c r="Q703" i="1"/>
  <c r="O703" i="1"/>
  <c r="P703" i="1" s="1"/>
  <c r="M703" i="1"/>
  <c r="X702" i="1"/>
  <c r="U702" i="1"/>
  <c r="R702" i="1"/>
  <c r="Y702" i="1" s="1"/>
  <c r="Q702" i="1"/>
  <c r="P702" i="1"/>
  <c r="O702" i="1"/>
  <c r="M702" i="1"/>
  <c r="X701" i="1"/>
  <c r="U701" i="1"/>
  <c r="O701" i="1"/>
  <c r="P701" i="1" s="1"/>
  <c r="Q701" i="1" s="1"/>
  <c r="R701" i="1" s="1"/>
  <c r="Y701" i="1" s="1"/>
  <c r="M701" i="1"/>
  <c r="X700" i="1"/>
  <c r="U700" i="1"/>
  <c r="O700" i="1"/>
  <c r="P700" i="1" s="1"/>
  <c r="Q700" i="1" s="1"/>
  <c r="R700" i="1" s="1"/>
  <c r="Y700" i="1" s="1"/>
  <c r="AA700" i="1" s="1"/>
  <c r="AB700" i="1" s="1"/>
  <c r="M700" i="1"/>
  <c r="X699" i="1"/>
  <c r="Y699" i="1" s="1"/>
  <c r="U699" i="1"/>
  <c r="O699" i="1"/>
  <c r="P699" i="1" s="1"/>
  <c r="Q699" i="1" s="1"/>
  <c r="R699" i="1" s="1"/>
  <c r="M699" i="1"/>
  <c r="X698" i="1"/>
  <c r="U698" i="1"/>
  <c r="R698" i="1"/>
  <c r="Y698" i="1" s="1"/>
  <c r="P698" i="1"/>
  <c r="Q698" i="1" s="1"/>
  <c r="O698" i="1"/>
  <c r="M698" i="1"/>
  <c r="X697" i="1"/>
  <c r="Y697" i="1" s="1"/>
  <c r="U697" i="1"/>
  <c r="O697" i="1"/>
  <c r="P697" i="1" s="1"/>
  <c r="Q697" i="1" s="1"/>
  <c r="R697" i="1" s="1"/>
  <c r="M697" i="1"/>
  <c r="X696" i="1"/>
  <c r="U696" i="1"/>
  <c r="P696" i="1"/>
  <c r="Q696" i="1" s="1"/>
  <c r="R696" i="1" s="1"/>
  <c r="Y696" i="1" s="1"/>
  <c r="O696" i="1"/>
  <c r="M696" i="1"/>
  <c r="X695" i="1"/>
  <c r="U695" i="1"/>
  <c r="P695" i="1"/>
  <c r="Q695" i="1" s="1"/>
  <c r="R695" i="1" s="1"/>
  <c r="Y695" i="1" s="1"/>
  <c r="O695" i="1"/>
  <c r="M695" i="1"/>
  <c r="X694" i="1"/>
  <c r="U694" i="1"/>
  <c r="O694" i="1"/>
  <c r="P694" i="1" s="1"/>
  <c r="Q694" i="1" s="1"/>
  <c r="R694" i="1" s="1"/>
  <c r="Y694" i="1" s="1"/>
  <c r="M694" i="1"/>
  <c r="Y693" i="1"/>
  <c r="X693" i="1"/>
  <c r="U693" i="1"/>
  <c r="O693" i="1"/>
  <c r="P693" i="1" s="1"/>
  <c r="Q693" i="1" s="1"/>
  <c r="R693" i="1" s="1"/>
  <c r="M693" i="1"/>
  <c r="Y692" i="1"/>
  <c r="AA692" i="1" s="1"/>
  <c r="AB692" i="1" s="1"/>
  <c r="X692" i="1"/>
  <c r="U692" i="1"/>
  <c r="O692" i="1"/>
  <c r="P692" i="1" s="1"/>
  <c r="Q692" i="1" s="1"/>
  <c r="R692" i="1" s="1"/>
  <c r="M692" i="1"/>
  <c r="X691" i="1"/>
  <c r="U691" i="1"/>
  <c r="O691" i="1"/>
  <c r="P691" i="1" s="1"/>
  <c r="Q691" i="1" s="1"/>
  <c r="R691" i="1" s="1"/>
  <c r="Y691" i="1" s="1"/>
  <c r="M691" i="1"/>
  <c r="X690" i="1"/>
  <c r="U690" i="1"/>
  <c r="P690" i="1"/>
  <c r="Q690" i="1" s="1"/>
  <c r="R690" i="1" s="1"/>
  <c r="Y690" i="1" s="1"/>
  <c r="O690" i="1"/>
  <c r="M690" i="1"/>
  <c r="Y689" i="1"/>
  <c r="AA689" i="1" s="1"/>
  <c r="AB689" i="1" s="1"/>
  <c r="X689" i="1"/>
  <c r="U689" i="1"/>
  <c r="Q689" i="1"/>
  <c r="R689" i="1" s="1"/>
  <c r="O689" i="1"/>
  <c r="P689" i="1" s="1"/>
  <c r="M689" i="1"/>
  <c r="X688" i="1"/>
  <c r="U688" i="1"/>
  <c r="O688" i="1"/>
  <c r="P688" i="1" s="1"/>
  <c r="Q688" i="1" s="1"/>
  <c r="R688" i="1" s="1"/>
  <c r="Y688" i="1" s="1"/>
  <c r="M688" i="1"/>
  <c r="X687" i="1"/>
  <c r="U687" i="1"/>
  <c r="O687" i="1"/>
  <c r="P687" i="1" s="1"/>
  <c r="Q687" i="1" s="1"/>
  <c r="R687" i="1" s="1"/>
  <c r="Y687" i="1" s="1"/>
  <c r="M687" i="1"/>
  <c r="X686" i="1"/>
  <c r="U686" i="1"/>
  <c r="O686" i="1"/>
  <c r="P686" i="1" s="1"/>
  <c r="Q686" i="1" s="1"/>
  <c r="R686" i="1" s="1"/>
  <c r="M686" i="1"/>
  <c r="X685" i="1"/>
  <c r="U685" i="1"/>
  <c r="Q685" i="1"/>
  <c r="R685" i="1" s="1"/>
  <c r="Y685" i="1" s="1"/>
  <c r="O685" i="1"/>
  <c r="P685" i="1" s="1"/>
  <c r="M685" i="1"/>
  <c r="X684" i="1"/>
  <c r="U684" i="1"/>
  <c r="P684" i="1"/>
  <c r="Q684" i="1" s="1"/>
  <c r="R684" i="1" s="1"/>
  <c r="Y684" i="1" s="1"/>
  <c r="O684" i="1"/>
  <c r="M684" i="1"/>
  <c r="Z683" i="1"/>
  <c r="Y683" i="1"/>
  <c r="AA683" i="1" s="1"/>
  <c r="AB683" i="1" s="1"/>
  <c r="X683" i="1"/>
  <c r="U683" i="1"/>
  <c r="O683" i="1"/>
  <c r="P683" i="1" s="1"/>
  <c r="Q683" i="1" s="1"/>
  <c r="R683" i="1" s="1"/>
  <c r="M683" i="1"/>
  <c r="X682" i="1"/>
  <c r="U682" i="1"/>
  <c r="O682" i="1"/>
  <c r="P682" i="1" s="1"/>
  <c r="Q682" i="1" s="1"/>
  <c r="R682" i="1" s="1"/>
  <c r="Y682" i="1" s="1"/>
  <c r="AA682" i="1" s="1"/>
  <c r="AB682" i="1" s="1"/>
  <c r="M682" i="1"/>
  <c r="X681" i="1"/>
  <c r="U681" i="1"/>
  <c r="P681" i="1"/>
  <c r="Q681" i="1" s="1"/>
  <c r="R681" i="1" s="1"/>
  <c r="Y681" i="1" s="1"/>
  <c r="O681" i="1"/>
  <c r="M681" i="1"/>
  <c r="X680" i="1"/>
  <c r="U680" i="1"/>
  <c r="P680" i="1"/>
  <c r="Q680" i="1" s="1"/>
  <c r="R680" i="1" s="1"/>
  <c r="Y680" i="1" s="1"/>
  <c r="O680" i="1"/>
  <c r="M680" i="1"/>
  <c r="X679" i="1"/>
  <c r="U679" i="1"/>
  <c r="Q679" i="1"/>
  <c r="R679" i="1" s="1"/>
  <c r="Y679" i="1" s="1"/>
  <c r="O679" i="1"/>
  <c r="P679" i="1" s="1"/>
  <c r="M679" i="1"/>
  <c r="X678" i="1"/>
  <c r="U678" i="1"/>
  <c r="P678" i="1"/>
  <c r="Q678" i="1" s="1"/>
  <c r="R678" i="1" s="1"/>
  <c r="O678" i="1"/>
  <c r="M678" i="1"/>
  <c r="AA677" i="1"/>
  <c r="AB677" i="1" s="1"/>
  <c r="X677" i="1"/>
  <c r="U677" i="1"/>
  <c r="O677" i="1"/>
  <c r="P677" i="1" s="1"/>
  <c r="Q677" i="1" s="1"/>
  <c r="R677" i="1" s="1"/>
  <c r="Y677" i="1" s="1"/>
  <c r="Z677" i="1" s="1"/>
  <c r="M677" i="1"/>
  <c r="X676" i="1"/>
  <c r="Y676" i="1" s="1"/>
  <c r="U676" i="1"/>
  <c r="R676" i="1"/>
  <c r="O676" i="1"/>
  <c r="P676" i="1" s="1"/>
  <c r="Q676" i="1" s="1"/>
  <c r="M676" i="1"/>
  <c r="Y675" i="1"/>
  <c r="X675" i="1"/>
  <c r="U675" i="1"/>
  <c r="O675" i="1"/>
  <c r="P675" i="1" s="1"/>
  <c r="Q675" i="1" s="1"/>
  <c r="R675" i="1" s="1"/>
  <c r="M675" i="1"/>
  <c r="X674" i="1"/>
  <c r="U674" i="1"/>
  <c r="O674" i="1"/>
  <c r="P674" i="1" s="1"/>
  <c r="Q674" i="1" s="1"/>
  <c r="R674" i="1" s="1"/>
  <c r="Y674" i="1" s="1"/>
  <c r="M674" i="1"/>
  <c r="X673" i="1"/>
  <c r="U673" i="1"/>
  <c r="O673" i="1"/>
  <c r="P673" i="1" s="1"/>
  <c r="Q673" i="1" s="1"/>
  <c r="R673" i="1" s="1"/>
  <c r="Y673" i="1" s="1"/>
  <c r="M673" i="1"/>
  <c r="X672" i="1"/>
  <c r="U672" i="1"/>
  <c r="P672" i="1"/>
  <c r="Q672" i="1" s="1"/>
  <c r="R672" i="1" s="1"/>
  <c r="Y672" i="1" s="1"/>
  <c r="Z672" i="1" s="1"/>
  <c r="O672" i="1"/>
  <c r="M672" i="1"/>
  <c r="X671" i="1"/>
  <c r="U671" i="1"/>
  <c r="R671" i="1"/>
  <c r="Y671" i="1" s="1"/>
  <c r="O671" i="1"/>
  <c r="P671" i="1" s="1"/>
  <c r="Q671" i="1" s="1"/>
  <c r="M671" i="1"/>
  <c r="X670" i="1"/>
  <c r="U670" i="1"/>
  <c r="O670" i="1"/>
  <c r="P670" i="1" s="1"/>
  <c r="Q670" i="1" s="1"/>
  <c r="R670" i="1" s="1"/>
  <c r="Y670" i="1" s="1"/>
  <c r="M670" i="1"/>
  <c r="AA669" i="1"/>
  <c r="AB669" i="1" s="1"/>
  <c r="Z669" i="1"/>
  <c r="Y669" i="1"/>
  <c r="X669" i="1"/>
  <c r="U669" i="1"/>
  <c r="O669" i="1"/>
  <c r="P669" i="1" s="1"/>
  <c r="Q669" i="1" s="1"/>
  <c r="R669" i="1" s="1"/>
  <c r="M669" i="1"/>
  <c r="AB668" i="1"/>
  <c r="AA668" i="1"/>
  <c r="Z668" i="1"/>
  <c r="M668" i="1"/>
  <c r="X667" i="1"/>
  <c r="U667" i="1"/>
  <c r="P667" i="1"/>
  <c r="Q667" i="1" s="1"/>
  <c r="R667" i="1" s="1"/>
  <c r="O667" i="1"/>
  <c r="M667" i="1"/>
  <c r="X666" i="1"/>
  <c r="U666" i="1"/>
  <c r="O666" i="1"/>
  <c r="P666" i="1" s="1"/>
  <c r="Q666" i="1" s="1"/>
  <c r="R666" i="1" s="1"/>
  <c r="Y666" i="1" s="1"/>
  <c r="M666" i="1"/>
  <c r="X665" i="1"/>
  <c r="U665" i="1"/>
  <c r="O665" i="1"/>
  <c r="P665" i="1" s="1"/>
  <c r="Q665" i="1" s="1"/>
  <c r="R665" i="1" s="1"/>
  <c r="Y665" i="1" s="1"/>
  <c r="M665" i="1"/>
  <c r="X664" i="1"/>
  <c r="U664" i="1"/>
  <c r="O664" i="1"/>
  <c r="P664" i="1" s="1"/>
  <c r="Q664" i="1" s="1"/>
  <c r="R664" i="1" s="1"/>
  <c r="Y664" i="1" s="1"/>
  <c r="M664" i="1"/>
  <c r="X663" i="1"/>
  <c r="U663" i="1"/>
  <c r="O663" i="1"/>
  <c r="P663" i="1" s="1"/>
  <c r="Q663" i="1" s="1"/>
  <c r="R663" i="1" s="1"/>
  <c r="Y663" i="1" s="1"/>
  <c r="M663" i="1"/>
  <c r="X662" i="1"/>
  <c r="U662" i="1"/>
  <c r="O662" i="1"/>
  <c r="P662" i="1" s="1"/>
  <c r="Q662" i="1" s="1"/>
  <c r="R662" i="1" s="1"/>
  <c r="Y662" i="1" s="1"/>
  <c r="M662" i="1"/>
  <c r="X661" i="1"/>
  <c r="U661" i="1"/>
  <c r="P661" i="1"/>
  <c r="Q661" i="1" s="1"/>
  <c r="R661" i="1" s="1"/>
  <c r="O661" i="1"/>
  <c r="M661" i="1"/>
  <c r="X660" i="1"/>
  <c r="U660" i="1"/>
  <c r="Q660" i="1"/>
  <c r="R660" i="1" s="1"/>
  <c r="Y660" i="1" s="1"/>
  <c r="P660" i="1"/>
  <c r="O660" i="1"/>
  <c r="M660" i="1"/>
  <c r="X659" i="1"/>
  <c r="U659" i="1"/>
  <c r="O659" i="1"/>
  <c r="P659" i="1" s="1"/>
  <c r="Q659" i="1" s="1"/>
  <c r="R659" i="1" s="1"/>
  <c r="Y659" i="1" s="1"/>
  <c r="M659" i="1"/>
  <c r="Y658" i="1"/>
  <c r="X658" i="1"/>
  <c r="U658" i="1"/>
  <c r="O658" i="1"/>
  <c r="P658" i="1" s="1"/>
  <c r="Q658" i="1" s="1"/>
  <c r="R658" i="1" s="1"/>
  <c r="M658" i="1"/>
  <c r="X657" i="1"/>
  <c r="U657" i="1"/>
  <c r="O657" i="1"/>
  <c r="P657" i="1" s="1"/>
  <c r="Q657" i="1" s="1"/>
  <c r="R657" i="1" s="1"/>
  <c r="Y657" i="1" s="1"/>
  <c r="M657" i="1"/>
  <c r="X656" i="1"/>
  <c r="U656" i="1"/>
  <c r="Q656" i="1"/>
  <c r="R656" i="1" s="1"/>
  <c r="Y656" i="1" s="1"/>
  <c r="P656" i="1"/>
  <c r="O656" i="1"/>
  <c r="M656" i="1"/>
  <c r="X655" i="1"/>
  <c r="U655" i="1"/>
  <c r="Q655" i="1"/>
  <c r="R655" i="1" s="1"/>
  <c r="P655" i="1"/>
  <c r="O655" i="1"/>
  <c r="M655" i="1"/>
  <c r="X654" i="1"/>
  <c r="U654" i="1"/>
  <c r="O654" i="1"/>
  <c r="P654" i="1" s="1"/>
  <c r="Q654" i="1" s="1"/>
  <c r="R654" i="1" s="1"/>
  <c r="Y654" i="1" s="1"/>
  <c r="M654" i="1"/>
  <c r="Y653" i="1"/>
  <c r="X653" i="1"/>
  <c r="U653" i="1"/>
  <c r="O653" i="1"/>
  <c r="P653" i="1" s="1"/>
  <c r="Q653" i="1" s="1"/>
  <c r="R653" i="1" s="1"/>
  <c r="M653" i="1"/>
  <c r="Y652" i="1"/>
  <c r="AA652" i="1" s="1"/>
  <c r="AB652" i="1" s="1"/>
  <c r="X652" i="1"/>
  <c r="U652" i="1"/>
  <c r="R652" i="1"/>
  <c r="Q652" i="1"/>
  <c r="P652" i="1"/>
  <c r="O652" i="1"/>
  <c r="M652" i="1"/>
  <c r="X651" i="1"/>
  <c r="U651" i="1"/>
  <c r="Q651" i="1"/>
  <c r="R651" i="1" s="1"/>
  <c r="Y651" i="1" s="1"/>
  <c r="P651" i="1"/>
  <c r="O651" i="1"/>
  <c r="M651" i="1"/>
  <c r="X650" i="1"/>
  <c r="U650" i="1"/>
  <c r="P650" i="1"/>
  <c r="Q650" i="1" s="1"/>
  <c r="R650" i="1" s="1"/>
  <c r="Y650" i="1" s="1"/>
  <c r="O650" i="1"/>
  <c r="M650" i="1"/>
  <c r="X649" i="1"/>
  <c r="U649" i="1"/>
  <c r="Q649" i="1"/>
  <c r="R649" i="1" s="1"/>
  <c r="Y649" i="1" s="1"/>
  <c r="P649" i="1"/>
  <c r="O649" i="1"/>
  <c r="M649" i="1"/>
  <c r="X648" i="1"/>
  <c r="U648" i="1"/>
  <c r="O648" i="1"/>
  <c r="P648" i="1" s="1"/>
  <c r="Q648" i="1" s="1"/>
  <c r="R648" i="1" s="1"/>
  <c r="Y648" i="1" s="1"/>
  <c r="M648" i="1"/>
  <c r="AA647" i="1"/>
  <c r="AB647" i="1" s="1"/>
  <c r="X647" i="1"/>
  <c r="U647" i="1"/>
  <c r="P647" i="1"/>
  <c r="Q647" i="1" s="1"/>
  <c r="R647" i="1" s="1"/>
  <c r="Y647" i="1" s="1"/>
  <c r="Z647" i="1" s="1"/>
  <c r="O647" i="1"/>
  <c r="M647" i="1"/>
  <c r="X646" i="1"/>
  <c r="U646" i="1"/>
  <c r="P646" i="1"/>
  <c r="Q646" i="1" s="1"/>
  <c r="R646" i="1" s="1"/>
  <c r="O646" i="1"/>
  <c r="M646" i="1"/>
  <c r="AA645" i="1"/>
  <c r="AB645" i="1" s="1"/>
  <c r="X645" i="1"/>
  <c r="U645" i="1"/>
  <c r="O645" i="1"/>
  <c r="P645" i="1" s="1"/>
  <c r="Q645" i="1" s="1"/>
  <c r="R645" i="1" s="1"/>
  <c r="Y645" i="1" s="1"/>
  <c r="Z645" i="1" s="1"/>
  <c r="M645" i="1"/>
  <c r="X644" i="1"/>
  <c r="U644" i="1"/>
  <c r="R644" i="1"/>
  <c r="Y644" i="1" s="1"/>
  <c r="Z644" i="1" s="1"/>
  <c r="O644" i="1"/>
  <c r="P644" i="1" s="1"/>
  <c r="Q644" i="1" s="1"/>
  <c r="M644" i="1"/>
  <c r="X643" i="1"/>
  <c r="Y643" i="1" s="1"/>
  <c r="U643" i="1"/>
  <c r="P643" i="1"/>
  <c r="Q643" i="1" s="1"/>
  <c r="R643" i="1" s="1"/>
  <c r="O643" i="1"/>
  <c r="M643" i="1"/>
  <c r="X642" i="1"/>
  <c r="U642" i="1"/>
  <c r="P642" i="1"/>
  <c r="Q642" i="1" s="1"/>
  <c r="R642" i="1" s="1"/>
  <c r="Y642" i="1" s="1"/>
  <c r="O642" i="1"/>
  <c r="M642" i="1"/>
  <c r="X641" i="1"/>
  <c r="U641" i="1"/>
  <c r="O641" i="1"/>
  <c r="P641" i="1" s="1"/>
  <c r="Q641" i="1" s="1"/>
  <c r="R641" i="1" s="1"/>
  <c r="M641" i="1"/>
  <c r="X640" i="1"/>
  <c r="U640" i="1"/>
  <c r="P640" i="1"/>
  <c r="Q640" i="1" s="1"/>
  <c r="R640" i="1" s="1"/>
  <c r="Y640" i="1" s="1"/>
  <c r="Z640" i="1" s="1"/>
  <c r="O640" i="1"/>
  <c r="M640" i="1"/>
  <c r="Z639" i="1"/>
  <c r="X639" i="1"/>
  <c r="U639" i="1"/>
  <c r="R639" i="1"/>
  <c r="Y639" i="1" s="1"/>
  <c r="AA639" i="1" s="1"/>
  <c r="AB639" i="1" s="1"/>
  <c r="O639" i="1"/>
  <c r="P639" i="1" s="1"/>
  <c r="Q639" i="1" s="1"/>
  <c r="M639" i="1"/>
  <c r="X638" i="1"/>
  <c r="U638" i="1"/>
  <c r="P638" i="1"/>
  <c r="Q638" i="1" s="1"/>
  <c r="R638" i="1" s="1"/>
  <c r="Y638" i="1" s="1"/>
  <c r="O638" i="1"/>
  <c r="M638" i="1"/>
  <c r="Z637" i="1"/>
  <c r="X637" i="1"/>
  <c r="U637" i="1"/>
  <c r="O637" i="1"/>
  <c r="P637" i="1" s="1"/>
  <c r="Q637" i="1" s="1"/>
  <c r="R637" i="1" s="1"/>
  <c r="Y637" i="1" s="1"/>
  <c r="AA637" i="1" s="1"/>
  <c r="AB637" i="1" s="1"/>
  <c r="M637" i="1"/>
  <c r="X636" i="1"/>
  <c r="U636" i="1"/>
  <c r="Q636" i="1"/>
  <c r="R636" i="1" s="1"/>
  <c r="Y636" i="1" s="1"/>
  <c r="O636" i="1"/>
  <c r="P636" i="1" s="1"/>
  <c r="M636" i="1"/>
  <c r="Y635" i="1"/>
  <c r="X635" i="1"/>
  <c r="U635" i="1"/>
  <c r="O635" i="1"/>
  <c r="P635" i="1" s="1"/>
  <c r="Q635" i="1" s="1"/>
  <c r="R635" i="1" s="1"/>
  <c r="M635" i="1"/>
  <c r="X634" i="1"/>
  <c r="U634" i="1"/>
  <c r="O634" i="1"/>
  <c r="P634" i="1" s="1"/>
  <c r="Q634" i="1" s="1"/>
  <c r="R634" i="1" s="1"/>
  <c r="Y634" i="1" s="1"/>
  <c r="M634" i="1"/>
  <c r="X633" i="1"/>
  <c r="U633" i="1"/>
  <c r="R633" i="1"/>
  <c r="Y633" i="1" s="1"/>
  <c r="Q633" i="1"/>
  <c r="P633" i="1"/>
  <c r="O633" i="1"/>
  <c r="M633" i="1"/>
  <c r="X632" i="1"/>
  <c r="U632" i="1"/>
  <c r="O632" i="1"/>
  <c r="P632" i="1" s="1"/>
  <c r="Q632" i="1" s="1"/>
  <c r="R632" i="1" s="1"/>
  <c r="Y632" i="1" s="1"/>
  <c r="Z632" i="1" s="1"/>
  <c r="M632" i="1"/>
  <c r="X631" i="1"/>
  <c r="U631" i="1"/>
  <c r="P631" i="1"/>
  <c r="Q631" i="1" s="1"/>
  <c r="R631" i="1" s="1"/>
  <c r="Y631" i="1" s="1"/>
  <c r="O631" i="1"/>
  <c r="M631" i="1"/>
  <c r="X630" i="1"/>
  <c r="U630" i="1"/>
  <c r="O630" i="1"/>
  <c r="P630" i="1" s="1"/>
  <c r="Q630" i="1" s="1"/>
  <c r="R630" i="1" s="1"/>
  <c r="Y630" i="1" s="1"/>
  <c r="M630" i="1"/>
  <c r="AA629" i="1"/>
  <c r="AB629" i="1" s="1"/>
  <c r="X629" i="1"/>
  <c r="U629" i="1"/>
  <c r="R629" i="1"/>
  <c r="Y629" i="1" s="1"/>
  <c r="Z629" i="1" s="1"/>
  <c r="O629" i="1"/>
  <c r="P629" i="1" s="1"/>
  <c r="Q629" i="1" s="1"/>
  <c r="M629" i="1"/>
  <c r="X628" i="1"/>
  <c r="U628" i="1"/>
  <c r="P628" i="1"/>
  <c r="Q628" i="1" s="1"/>
  <c r="R628" i="1" s="1"/>
  <c r="Y628" i="1" s="1"/>
  <c r="O628" i="1"/>
  <c r="M628" i="1"/>
  <c r="X627" i="1"/>
  <c r="U627" i="1"/>
  <c r="O627" i="1"/>
  <c r="P627" i="1" s="1"/>
  <c r="Q627" i="1" s="1"/>
  <c r="R627" i="1" s="1"/>
  <c r="Y627" i="1" s="1"/>
  <c r="M627" i="1"/>
  <c r="X626" i="1"/>
  <c r="U626" i="1"/>
  <c r="P626" i="1"/>
  <c r="Q626" i="1" s="1"/>
  <c r="R626" i="1" s="1"/>
  <c r="Y626" i="1" s="1"/>
  <c r="O626" i="1"/>
  <c r="M626" i="1"/>
  <c r="X625" i="1"/>
  <c r="U625" i="1"/>
  <c r="R625" i="1"/>
  <c r="Y625" i="1" s="1"/>
  <c r="Q625" i="1"/>
  <c r="P625" i="1"/>
  <c r="O625" i="1"/>
  <c r="M625" i="1"/>
  <c r="AB624" i="1"/>
  <c r="Z624" i="1"/>
  <c r="X624" i="1"/>
  <c r="U624" i="1"/>
  <c r="O624" i="1"/>
  <c r="P624" i="1" s="1"/>
  <c r="Q624" i="1" s="1"/>
  <c r="R624" i="1" s="1"/>
  <c r="Y624" i="1" s="1"/>
  <c r="AA624" i="1" s="1"/>
  <c r="M624" i="1"/>
  <c r="X623" i="1"/>
  <c r="U623" i="1"/>
  <c r="O623" i="1"/>
  <c r="P623" i="1" s="1"/>
  <c r="Q623" i="1" s="1"/>
  <c r="R623" i="1" s="1"/>
  <c r="Y623" i="1" s="1"/>
  <c r="M623" i="1"/>
  <c r="X622" i="1"/>
  <c r="U622" i="1"/>
  <c r="O622" i="1"/>
  <c r="P622" i="1" s="1"/>
  <c r="Q622" i="1" s="1"/>
  <c r="R622" i="1" s="1"/>
  <c r="M622" i="1"/>
  <c r="X621" i="1"/>
  <c r="U621" i="1"/>
  <c r="Q621" i="1"/>
  <c r="R621" i="1" s="1"/>
  <c r="Y621" i="1" s="1"/>
  <c r="O621" i="1"/>
  <c r="P621" i="1" s="1"/>
  <c r="M621" i="1"/>
  <c r="X620" i="1"/>
  <c r="U620" i="1"/>
  <c r="P620" i="1"/>
  <c r="Q620" i="1" s="1"/>
  <c r="R620" i="1" s="1"/>
  <c r="Y620" i="1" s="1"/>
  <c r="O620" i="1"/>
  <c r="M620" i="1"/>
  <c r="X619" i="1"/>
  <c r="Y619" i="1" s="1"/>
  <c r="AA619" i="1" s="1"/>
  <c r="U619" i="1"/>
  <c r="Q619" i="1"/>
  <c r="R619" i="1" s="1"/>
  <c r="P619" i="1"/>
  <c r="O619" i="1"/>
  <c r="M619" i="1"/>
  <c r="X618" i="1"/>
  <c r="U618" i="1"/>
  <c r="P618" i="1"/>
  <c r="Q618" i="1" s="1"/>
  <c r="R618" i="1" s="1"/>
  <c r="Y618" i="1" s="1"/>
  <c r="O618" i="1"/>
  <c r="M618" i="1"/>
  <c r="X617" i="1"/>
  <c r="U617" i="1"/>
  <c r="P617" i="1"/>
  <c r="Q617" i="1" s="1"/>
  <c r="R617" i="1" s="1"/>
  <c r="Y617" i="1" s="1"/>
  <c r="O617" i="1"/>
  <c r="M617" i="1"/>
  <c r="X616" i="1"/>
  <c r="U616" i="1"/>
  <c r="R616" i="1"/>
  <c r="Y616" i="1" s="1"/>
  <c r="Z616" i="1" s="1"/>
  <c r="O616" i="1"/>
  <c r="P616" i="1" s="1"/>
  <c r="Q616" i="1" s="1"/>
  <c r="M616" i="1"/>
  <c r="X615" i="1"/>
  <c r="U615" i="1"/>
  <c r="P615" i="1"/>
  <c r="Q615" i="1" s="1"/>
  <c r="R615" i="1" s="1"/>
  <c r="Y615" i="1" s="1"/>
  <c r="O615" i="1"/>
  <c r="M615" i="1"/>
  <c r="X614" i="1"/>
  <c r="U614" i="1"/>
  <c r="O614" i="1"/>
  <c r="P614" i="1" s="1"/>
  <c r="Q614" i="1" s="1"/>
  <c r="R614" i="1" s="1"/>
  <c r="Y614" i="1" s="1"/>
  <c r="AA614" i="1" s="1"/>
  <c r="AB614" i="1" s="1"/>
  <c r="M614" i="1"/>
  <c r="X613" i="1"/>
  <c r="U613" i="1"/>
  <c r="O613" i="1"/>
  <c r="P613" i="1" s="1"/>
  <c r="Q613" i="1" s="1"/>
  <c r="R613" i="1" s="1"/>
  <c r="Y613" i="1" s="1"/>
  <c r="M613" i="1"/>
  <c r="AA612" i="1"/>
  <c r="AB612" i="1" s="1"/>
  <c r="X612" i="1"/>
  <c r="U612" i="1"/>
  <c r="O612" i="1"/>
  <c r="P612" i="1" s="1"/>
  <c r="Q612" i="1" s="1"/>
  <c r="R612" i="1" s="1"/>
  <c r="Y612" i="1" s="1"/>
  <c r="Z612" i="1" s="1"/>
  <c r="M612" i="1"/>
  <c r="X611" i="1"/>
  <c r="U611" i="1"/>
  <c r="R611" i="1"/>
  <c r="O611" i="1"/>
  <c r="P611" i="1" s="1"/>
  <c r="Q611" i="1" s="1"/>
  <c r="M611" i="1"/>
  <c r="X610" i="1"/>
  <c r="U610" i="1"/>
  <c r="Q610" i="1"/>
  <c r="R610" i="1" s="1"/>
  <c r="Y610" i="1" s="1"/>
  <c r="P610" i="1"/>
  <c r="O610" i="1"/>
  <c r="M610" i="1"/>
  <c r="Y609" i="1"/>
  <c r="X609" i="1"/>
  <c r="U609" i="1"/>
  <c r="P609" i="1"/>
  <c r="Q609" i="1" s="1"/>
  <c r="R609" i="1" s="1"/>
  <c r="O609" i="1"/>
  <c r="M609" i="1"/>
  <c r="X608" i="1"/>
  <c r="U608" i="1"/>
  <c r="O608" i="1"/>
  <c r="P608" i="1" s="1"/>
  <c r="Q608" i="1" s="1"/>
  <c r="R608" i="1" s="1"/>
  <c r="Y608" i="1" s="1"/>
  <c r="M608" i="1"/>
  <c r="X607" i="1"/>
  <c r="U607" i="1"/>
  <c r="O607" i="1"/>
  <c r="P607" i="1" s="1"/>
  <c r="Q607" i="1" s="1"/>
  <c r="R607" i="1" s="1"/>
  <c r="Y607" i="1" s="1"/>
  <c r="M607" i="1"/>
  <c r="X606" i="1"/>
  <c r="Y606" i="1" s="1"/>
  <c r="U606" i="1"/>
  <c r="R606" i="1"/>
  <c r="Q606" i="1"/>
  <c r="P606" i="1"/>
  <c r="O606" i="1"/>
  <c r="M606" i="1"/>
  <c r="X605" i="1"/>
  <c r="U605" i="1"/>
  <c r="O605" i="1"/>
  <c r="P605" i="1" s="1"/>
  <c r="Q605" i="1" s="1"/>
  <c r="R605" i="1" s="1"/>
  <c r="Y605" i="1" s="1"/>
  <c r="M605" i="1"/>
  <c r="X604" i="1"/>
  <c r="U604" i="1"/>
  <c r="Q604" i="1"/>
  <c r="R604" i="1" s="1"/>
  <c r="Y604" i="1" s="1"/>
  <c r="P604" i="1"/>
  <c r="O604" i="1"/>
  <c r="M604" i="1"/>
  <c r="AB603" i="1"/>
  <c r="Z603" i="1"/>
  <c r="X603" i="1"/>
  <c r="U603" i="1"/>
  <c r="O603" i="1"/>
  <c r="P603" i="1" s="1"/>
  <c r="Q603" i="1" s="1"/>
  <c r="R603" i="1" s="1"/>
  <c r="Y603" i="1" s="1"/>
  <c r="AA603" i="1" s="1"/>
  <c r="M603" i="1"/>
  <c r="X602" i="1"/>
  <c r="U602" i="1"/>
  <c r="O602" i="1"/>
  <c r="P602" i="1" s="1"/>
  <c r="Q602" i="1" s="1"/>
  <c r="R602" i="1" s="1"/>
  <c r="Y602" i="1" s="1"/>
  <c r="M602" i="1"/>
  <c r="X601" i="1"/>
  <c r="U601" i="1"/>
  <c r="Q601" i="1"/>
  <c r="R601" i="1" s="1"/>
  <c r="Y601" i="1" s="1"/>
  <c r="P601" i="1"/>
  <c r="O601" i="1"/>
  <c r="M601" i="1"/>
  <c r="X600" i="1"/>
  <c r="U600" i="1"/>
  <c r="O600" i="1"/>
  <c r="P600" i="1" s="1"/>
  <c r="Q600" i="1" s="1"/>
  <c r="R600" i="1" s="1"/>
  <c r="Y600" i="1" s="1"/>
  <c r="AA600" i="1" s="1"/>
  <c r="AB600" i="1" s="1"/>
  <c r="M600" i="1"/>
  <c r="X599" i="1"/>
  <c r="U599" i="1"/>
  <c r="O599" i="1"/>
  <c r="P599" i="1" s="1"/>
  <c r="Q599" i="1" s="1"/>
  <c r="R599" i="1" s="1"/>
  <c r="Y599" i="1" s="1"/>
  <c r="M599" i="1"/>
  <c r="AA598" i="1"/>
  <c r="AB598" i="1" s="1"/>
  <c r="Z598" i="1"/>
  <c r="X598" i="1"/>
  <c r="U598" i="1"/>
  <c r="O598" i="1"/>
  <c r="P598" i="1" s="1"/>
  <c r="Q598" i="1" s="1"/>
  <c r="R598" i="1" s="1"/>
  <c r="Y598" i="1" s="1"/>
  <c r="M598" i="1"/>
  <c r="Z597" i="1"/>
  <c r="X597" i="1"/>
  <c r="Y597" i="1" s="1"/>
  <c r="AA597" i="1" s="1"/>
  <c r="AB597" i="1" s="1"/>
  <c r="U597" i="1"/>
  <c r="P597" i="1"/>
  <c r="Q597" i="1" s="1"/>
  <c r="R597" i="1" s="1"/>
  <c r="O597" i="1"/>
  <c r="M597" i="1"/>
  <c r="X596" i="1"/>
  <c r="U596" i="1"/>
  <c r="O596" i="1"/>
  <c r="P596" i="1" s="1"/>
  <c r="Q596" i="1" s="1"/>
  <c r="R596" i="1" s="1"/>
  <c r="Y596" i="1" s="1"/>
  <c r="M596" i="1"/>
  <c r="X595" i="1"/>
  <c r="U595" i="1"/>
  <c r="Q595" i="1"/>
  <c r="R595" i="1" s="1"/>
  <c r="Y595" i="1" s="1"/>
  <c r="P595" i="1"/>
  <c r="O595" i="1"/>
  <c r="M595" i="1"/>
  <c r="AA594" i="1"/>
  <c r="AB594" i="1" s="1"/>
  <c r="X594" i="1"/>
  <c r="U594" i="1"/>
  <c r="O594" i="1"/>
  <c r="P594" i="1" s="1"/>
  <c r="Q594" i="1" s="1"/>
  <c r="R594" i="1" s="1"/>
  <c r="Y594" i="1" s="1"/>
  <c r="Z594" i="1" s="1"/>
  <c r="M594" i="1"/>
  <c r="X593" i="1"/>
  <c r="U593" i="1"/>
  <c r="P593" i="1"/>
  <c r="Q593" i="1" s="1"/>
  <c r="R593" i="1" s="1"/>
  <c r="Y593" i="1" s="1"/>
  <c r="O593" i="1"/>
  <c r="M593" i="1"/>
  <c r="X592" i="1"/>
  <c r="U592" i="1"/>
  <c r="O592" i="1"/>
  <c r="P592" i="1" s="1"/>
  <c r="Q592" i="1" s="1"/>
  <c r="R592" i="1" s="1"/>
  <c r="Y592" i="1" s="1"/>
  <c r="M592" i="1"/>
  <c r="X591" i="1"/>
  <c r="U591" i="1"/>
  <c r="O591" i="1"/>
  <c r="P591" i="1" s="1"/>
  <c r="Q591" i="1" s="1"/>
  <c r="R591" i="1" s="1"/>
  <c r="Y591" i="1" s="1"/>
  <c r="M591" i="1"/>
  <c r="X590" i="1"/>
  <c r="U590" i="1"/>
  <c r="Q590" i="1"/>
  <c r="R590" i="1" s="1"/>
  <c r="Y590" i="1" s="1"/>
  <c r="P590" i="1"/>
  <c r="O590" i="1"/>
  <c r="M590" i="1"/>
  <c r="X589" i="1"/>
  <c r="U589" i="1"/>
  <c r="P589" i="1"/>
  <c r="Q589" i="1" s="1"/>
  <c r="R589" i="1" s="1"/>
  <c r="Y589" i="1" s="1"/>
  <c r="O589" i="1"/>
  <c r="M589" i="1"/>
  <c r="X588" i="1"/>
  <c r="U588" i="1"/>
  <c r="P588" i="1"/>
  <c r="Q588" i="1" s="1"/>
  <c r="R588" i="1" s="1"/>
  <c r="Y588" i="1" s="1"/>
  <c r="O588" i="1"/>
  <c r="M588" i="1"/>
  <c r="X587" i="1"/>
  <c r="U587" i="1"/>
  <c r="O587" i="1"/>
  <c r="P587" i="1" s="1"/>
  <c r="Q587" i="1" s="1"/>
  <c r="R587" i="1" s="1"/>
  <c r="Y587" i="1" s="1"/>
  <c r="M587" i="1"/>
  <c r="AB586" i="1"/>
  <c r="Z586" i="1"/>
  <c r="Y586" i="1"/>
  <c r="AA586" i="1" s="1"/>
  <c r="X586" i="1"/>
  <c r="U586" i="1"/>
  <c r="O586" i="1"/>
  <c r="P586" i="1" s="1"/>
  <c r="Q586" i="1" s="1"/>
  <c r="R586" i="1" s="1"/>
  <c r="M586" i="1"/>
  <c r="X585" i="1"/>
  <c r="U585" i="1"/>
  <c r="R585" i="1"/>
  <c r="Y585" i="1" s="1"/>
  <c r="O585" i="1"/>
  <c r="P585" i="1" s="1"/>
  <c r="Q585" i="1" s="1"/>
  <c r="M585" i="1"/>
  <c r="X584" i="1"/>
  <c r="U584" i="1"/>
  <c r="Q584" i="1"/>
  <c r="R584" i="1" s="1"/>
  <c r="Y584" i="1" s="1"/>
  <c r="P584" i="1"/>
  <c r="O584" i="1"/>
  <c r="M584" i="1"/>
  <c r="X583" i="1"/>
  <c r="U583" i="1"/>
  <c r="Q583" i="1"/>
  <c r="R583" i="1" s="1"/>
  <c r="Y583" i="1" s="1"/>
  <c r="P583" i="1"/>
  <c r="O583" i="1"/>
  <c r="M583" i="1"/>
  <c r="X582" i="1"/>
  <c r="U582" i="1"/>
  <c r="O582" i="1"/>
  <c r="P582" i="1" s="1"/>
  <c r="Q582" i="1" s="1"/>
  <c r="R582" i="1" s="1"/>
  <c r="Y582" i="1" s="1"/>
  <c r="Z582" i="1" s="1"/>
  <c r="M582" i="1"/>
  <c r="X581" i="1"/>
  <c r="U581" i="1"/>
  <c r="P581" i="1"/>
  <c r="Q581" i="1" s="1"/>
  <c r="R581" i="1" s="1"/>
  <c r="Y581" i="1" s="1"/>
  <c r="O581" i="1"/>
  <c r="M581" i="1"/>
  <c r="X580" i="1"/>
  <c r="U580" i="1"/>
  <c r="P580" i="1"/>
  <c r="Q580" i="1" s="1"/>
  <c r="R580" i="1" s="1"/>
  <c r="Y580" i="1" s="1"/>
  <c r="O580" i="1"/>
  <c r="M580" i="1"/>
  <c r="X579" i="1"/>
  <c r="U579" i="1"/>
  <c r="O579" i="1"/>
  <c r="P579" i="1" s="1"/>
  <c r="Q579" i="1" s="1"/>
  <c r="R579" i="1" s="1"/>
  <c r="Y579" i="1" s="1"/>
  <c r="M579" i="1"/>
  <c r="AA578" i="1"/>
  <c r="AB578" i="1" s="1"/>
  <c r="X578" i="1"/>
  <c r="U578" i="1"/>
  <c r="P578" i="1"/>
  <c r="Q578" i="1" s="1"/>
  <c r="R578" i="1" s="1"/>
  <c r="Y578" i="1" s="1"/>
  <c r="Z578" i="1" s="1"/>
  <c r="O578" i="1"/>
  <c r="M578" i="1"/>
  <c r="X577" i="1"/>
  <c r="U577" i="1"/>
  <c r="O577" i="1"/>
  <c r="P577" i="1" s="1"/>
  <c r="Q577" i="1" s="1"/>
  <c r="R577" i="1" s="1"/>
  <c r="Y577" i="1" s="1"/>
  <c r="Z577" i="1" s="1"/>
  <c r="M577" i="1"/>
  <c r="X576" i="1"/>
  <c r="U576" i="1"/>
  <c r="Q576" i="1"/>
  <c r="R576" i="1" s="1"/>
  <c r="Y576" i="1" s="1"/>
  <c r="AA576" i="1" s="1"/>
  <c r="AB576" i="1" s="1"/>
  <c r="P576" i="1"/>
  <c r="O576" i="1"/>
  <c r="M576" i="1"/>
  <c r="X575" i="1"/>
  <c r="U575" i="1"/>
  <c r="O575" i="1"/>
  <c r="P575" i="1" s="1"/>
  <c r="Q575" i="1" s="1"/>
  <c r="R575" i="1" s="1"/>
  <c r="M575" i="1"/>
  <c r="X574" i="1"/>
  <c r="Y574" i="1" s="1"/>
  <c r="U574" i="1"/>
  <c r="O574" i="1"/>
  <c r="P574" i="1" s="1"/>
  <c r="Q574" i="1" s="1"/>
  <c r="R574" i="1" s="1"/>
  <c r="M574" i="1"/>
  <c r="X573" i="1"/>
  <c r="U573" i="1"/>
  <c r="O573" i="1"/>
  <c r="P573" i="1" s="1"/>
  <c r="Q573" i="1" s="1"/>
  <c r="R573" i="1" s="1"/>
  <c r="Y573" i="1" s="1"/>
  <c r="M573" i="1"/>
  <c r="Y572" i="1"/>
  <c r="AA572" i="1" s="1"/>
  <c r="AB572" i="1" s="1"/>
  <c r="X572" i="1"/>
  <c r="U572" i="1"/>
  <c r="R572" i="1"/>
  <c r="Q572" i="1"/>
  <c r="P572" i="1"/>
  <c r="O572" i="1"/>
  <c r="M572" i="1"/>
  <c r="X571" i="1"/>
  <c r="U571" i="1"/>
  <c r="Q571" i="1"/>
  <c r="R571" i="1" s="1"/>
  <c r="Y571" i="1" s="1"/>
  <c r="P571" i="1"/>
  <c r="O571" i="1"/>
  <c r="M571" i="1"/>
  <c r="X570" i="1"/>
  <c r="U570" i="1"/>
  <c r="O570" i="1"/>
  <c r="P570" i="1" s="1"/>
  <c r="Q570" i="1" s="1"/>
  <c r="R570" i="1" s="1"/>
  <c r="Y570" i="1" s="1"/>
  <c r="M570" i="1"/>
  <c r="X569" i="1"/>
  <c r="U569" i="1"/>
  <c r="P569" i="1"/>
  <c r="Q569" i="1" s="1"/>
  <c r="R569" i="1" s="1"/>
  <c r="Y569" i="1" s="1"/>
  <c r="O569" i="1"/>
  <c r="M569" i="1"/>
  <c r="X568" i="1"/>
  <c r="U568" i="1"/>
  <c r="O568" i="1"/>
  <c r="P568" i="1" s="1"/>
  <c r="Q568" i="1" s="1"/>
  <c r="R568" i="1" s="1"/>
  <c r="Y568" i="1" s="1"/>
  <c r="M568" i="1"/>
  <c r="X567" i="1"/>
  <c r="U567" i="1"/>
  <c r="P567" i="1"/>
  <c r="Q567" i="1" s="1"/>
  <c r="R567" i="1" s="1"/>
  <c r="Y567" i="1" s="1"/>
  <c r="O567" i="1"/>
  <c r="M567" i="1"/>
  <c r="X566" i="1"/>
  <c r="U566" i="1"/>
  <c r="P566" i="1"/>
  <c r="Q566" i="1" s="1"/>
  <c r="R566" i="1" s="1"/>
  <c r="Y566" i="1" s="1"/>
  <c r="O566" i="1"/>
  <c r="M566" i="1"/>
  <c r="X565" i="1"/>
  <c r="U565" i="1"/>
  <c r="O565" i="1"/>
  <c r="P565" i="1" s="1"/>
  <c r="Q565" i="1" s="1"/>
  <c r="R565" i="1" s="1"/>
  <c r="Y565" i="1" s="1"/>
  <c r="M565" i="1"/>
  <c r="X564" i="1"/>
  <c r="U564" i="1"/>
  <c r="P564" i="1"/>
  <c r="Q564" i="1" s="1"/>
  <c r="R564" i="1" s="1"/>
  <c r="Y564" i="1" s="1"/>
  <c r="AA564" i="1" s="1"/>
  <c r="AB564" i="1" s="1"/>
  <c r="O564" i="1"/>
  <c r="M564" i="1"/>
  <c r="X563" i="1"/>
  <c r="Y563" i="1" s="1"/>
  <c r="Z563" i="1" s="1"/>
  <c r="U563" i="1"/>
  <c r="O563" i="1"/>
  <c r="P563" i="1" s="1"/>
  <c r="Q563" i="1" s="1"/>
  <c r="R563" i="1" s="1"/>
  <c r="M563" i="1"/>
  <c r="X562" i="1"/>
  <c r="U562" i="1"/>
  <c r="O562" i="1"/>
  <c r="P562" i="1" s="1"/>
  <c r="Q562" i="1" s="1"/>
  <c r="R562" i="1" s="1"/>
  <c r="Y562" i="1" s="1"/>
  <c r="M562" i="1"/>
  <c r="X561" i="1"/>
  <c r="U561" i="1"/>
  <c r="O561" i="1"/>
  <c r="P561" i="1" s="1"/>
  <c r="Q561" i="1" s="1"/>
  <c r="R561" i="1" s="1"/>
  <c r="Y561" i="1" s="1"/>
  <c r="M561" i="1"/>
  <c r="AA560" i="1"/>
  <c r="AB560" i="1" s="1"/>
  <c r="X560" i="1"/>
  <c r="U560" i="1"/>
  <c r="Q560" i="1"/>
  <c r="R560" i="1" s="1"/>
  <c r="Y560" i="1" s="1"/>
  <c r="Z560" i="1" s="1"/>
  <c r="P560" i="1"/>
  <c r="O560" i="1"/>
  <c r="M560" i="1"/>
  <c r="AB559" i="1"/>
  <c r="Z559" i="1"/>
  <c r="Y559" i="1"/>
  <c r="AA559" i="1" s="1"/>
  <c r="X559" i="1"/>
  <c r="U559" i="1"/>
  <c r="P559" i="1"/>
  <c r="Q559" i="1" s="1"/>
  <c r="R559" i="1" s="1"/>
  <c r="O559" i="1"/>
  <c r="M559" i="1"/>
  <c r="X558" i="1"/>
  <c r="U558" i="1"/>
  <c r="O558" i="1"/>
  <c r="P558" i="1" s="1"/>
  <c r="Q558" i="1" s="1"/>
  <c r="R558" i="1" s="1"/>
  <c r="Y558" i="1" s="1"/>
  <c r="M558" i="1"/>
  <c r="X557" i="1"/>
  <c r="U557" i="1"/>
  <c r="Q557" i="1"/>
  <c r="R557" i="1" s="1"/>
  <c r="Y557" i="1" s="1"/>
  <c r="P557" i="1"/>
  <c r="O557" i="1"/>
  <c r="M557" i="1"/>
  <c r="X556" i="1"/>
  <c r="U556" i="1"/>
  <c r="P556" i="1"/>
  <c r="Q556" i="1" s="1"/>
  <c r="R556" i="1" s="1"/>
  <c r="Y556" i="1" s="1"/>
  <c r="O556" i="1"/>
  <c r="M556" i="1"/>
  <c r="X555" i="1"/>
  <c r="U555" i="1"/>
  <c r="P555" i="1"/>
  <c r="Q555" i="1" s="1"/>
  <c r="R555" i="1" s="1"/>
  <c r="Y555" i="1" s="1"/>
  <c r="O555" i="1"/>
  <c r="M555" i="1"/>
  <c r="X554" i="1"/>
  <c r="U554" i="1"/>
  <c r="R554" i="1"/>
  <c r="Y554" i="1" s="1"/>
  <c r="Z554" i="1" s="1"/>
  <c r="Q554" i="1"/>
  <c r="P554" i="1"/>
  <c r="O554" i="1"/>
  <c r="M554" i="1"/>
  <c r="X553" i="1"/>
  <c r="U553" i="1"/>
  <c r="O553" i="1"/>
  <c r="P553" i="1" s="1"/>
  <c r="Q553" i="1" s="1"/>
  <c r="R553" i="1" s="1"/>
  <c r="Y553" i="1" s="1"/>
  <c r="M553" i="1"/>
  <c r="X552" i="1"/>
  <c r="U552" i="1"/>
  <c r="P552" i="1"/>
  <c r="Q552" i="1" s="1"/>
  <c r="R552" i="1" s="1"/>
  <c r="Y552" i="1" s="1"/>
  <c r="O552" i="1"/>
  <c r="M552" i="1"/>
  <c r="X551" i="1"/>
  <c r="U551" i="1"/>
  <c r="O551" i="1"/>
  <c r="P551" i="1" s="1"/>
  <c r="Q551" i="1" s="1"/>
  <c r="R551" i="1" s="1"/>
  <c r="Y551" i="1" s="1"/>
  <c r="M551" i="1"/>
  <c r="Y550" i="1"/>
  <c r="AA550" i="1" s="1"/>
  <c r="AB550" i="1" s="1"/>
  <c r="X550" i="1"/>
  <c r="U550" i="1"/>
  <c r="O550" i="1"/>
  <c r="P550" i="1" s="1"/>
  <c r="Q550" i="1" s="1"/>
  <c r="R550" i="1" s="1"/>
  <c r="M550" i="1"/>
  <c r="X549" i="1"/>
  <c r="U549" i="1"/>
  <c r="O549" i="1"/>
  <c r="P549" i="1" s="1"/>
  <c r="Q549" i="1" s="1"/>
  <c r="R549" i="1" s="1"/>
  <c r="Y549" i="1" s="1"/>
  <c r="M549" i="1"/>
  <c r="X548" i="1"/>
  <c r="U548" i="1"/>
  <c r="Q548" i="1"/>
  <c r="R548" i="1" s="1"/>
  <c r="Y548" i="1" s="1"/>
  <c r="P548" i="1"/>
  <c r="O548" i="1"/>
  <c r="M548" i="1"/>
  <c r="AB547" i="1"/>
  <c r="AA547" i="1"/>
  <c r="Z547" i="1"/>
  <c r="M547" i="1"/>
  <c r="X546" i="1"/>
  <c r="U546" i="1"/>
  <c r="O546" i="1"/>
  <c r="P546" i="1" s="1"/>
  <c r="Q546" i="1" s="1"/>
  <c r="R546" i="1" s="1"/>
  <c r="Y546" i="1" s="1"/>
  <c r="M546" i="1"/>
  <c r="X545" i="1"/>
  <c r="U545" i="1"/>
  <c r="O545" i="1"/>
  <c r="P545" i="1" s="1"/>
  <c r="Q545" i="1" s="1"/>
  <c r="R545" i="1" s="1"/>
  <c r="Y545" i="1" s="1"/>
  <c r="M545" i="1"/>
  <c r="X544" i="1"/>
  <c r="U544" i="1"/>
  <c r="O544" i="1"/>
  <c r="P544" i="1" s="1"/>
  <c r="Q544" i="1" s="1"/>
  <c r="R544" i="1" s="1"/>
  <c r="Y544" i="1" s="1"/>
  <c r="AA544" i="1" s="1"/>
  <c r="AB544" i="1" s="1"/>
  <c r="M544" i="1"/>
  <c r="AA543" i="1"/>
  <c r="AB543" i="1" s="1"/>
  <c r="Z543" i="1"/>
  <c r="X543" i="1"/>
  <c r="Y543" i="1" s="1"/>
  <c r="U543" i="1"/>
  <c r="R543" i="1"/>
  <c r="Q543" i="1"/>
  <c r="P543" i="1"/>
  <c r="O543" i="1"/>
  <c r="M543" i="1"/>
  <c r="X542" i="1"/>
  <c r="U542" i="1"/>
  <c r="R542" i="1"/>
  <c r="Y542" i="1" s="1"/>
  <c r="Q542" i="1"/>
  <c r="P542" i="1"/>
  <c r="O542" i="1"/>
  <c r="M542" i="1"/>
  <c r="X541" i="1"/>
  <c r="U541" i="1"/>
  <c r="P541" i="1"/>
  <c r="Q541" i="1" s="1"/>
  <c r="R541" i="1" s="1"/>
  <c r="Y541" i="1" s="1"/>
  <c r="O541" i="1"/>
  <c r="M541" i="1"/>
  <c r="X540" i="1"/>
  <c r="U540" i="1"/>
  <c r="O540" i="1"/>
  <c r="P540" i="1" s="1"/>
  <c r="Q540" i="1" s="1"/>
  <c r="R540" i="1" s="1"/>
  <c r="Y540" i="1" s="1"/>
  <c r="M540" i="1"/>
  <c r="X539" i="1"/>
  <c r="U539" i="1"/>
  <c r="O539" i="1"/>
  <c r="P539" i="1" s="1"/>
  <c r="Q539" i="1" s="1"/>
  <c r="R539" i="1" s="1"/>
  <c r="Y539" i="1" s="1"/>
  <c r="M539" i="1"/>
  <c r="X538" i="1"/>
  <c r="U538" i="1"/>
  <c r="O538" i="1"/>
  <c r="P538" i="1" s="1"/>
  <c r="Q538" i="1" s="1"/>
  <c r="R538" i="1" s="1"/>
  <c r="Y538" i="1" s="1"/>
  <c r="M538" i="1"/>
  <c r="X537" i="1"/>
  <c r="U537" i="1"/>
  <c r="Q537" i="1"/>
  <c r="R537" i="1" s="1"/>
  <c r="Y537" i="1" s="1"/>
  <c r="P537" i="1"/>
  <c r="O537" i="1"/>
  <c r="M537" i="1"/>
  <c r="X536" i="1"/>
  <c r="U536" i="1"/>
  <c r="R536" i="1"/>
  <c r="Y536" i="1" s="1"/>
  <c r="O536" i="1"/>
  <c r="P536" i="1" s="1"/>
  <c r="Q536" i="1" s="1"/>
  <c r="M536" i="1"/>
  <c r="X535" i="1"/>
  <c r="U535" i="1"/>
  <c r="O535" i="1"/>
  <c r="P535" i="1" s="1"/>
  <c r="Q535" i="1" s="1"/>
  <c r="R535" i="1" s="1"/>
  <c r="Y535" i="1" s="1"/>
  <c r="M535" i="1"/>
  <c r="X534" i="1"/>
  <c r="U534" i="1"/>
  <c r="P534" i="1"/>
  <c r="Q534" i="1" s="1"/>
  <c r="R534" i="1" s="1"/>
  <c r="Y534" i="1" s="1"/>
  <c r="O534" i="1"/>
  <c r="M534" i="1"/>
  <c r="X533" i="1"/>
  <c r="U533" i="1"/>
  <c r="P533" i="1"/>
  <c r="Q533" i="1" s="1"/>
  <c r="R533" i="1" s="1"/>
  <c r="Y533" i="1" s="1"/>
  <c r="Z533" i="1" s="1"/>
  <c r="O533" i="1"/>
  <c r="M533" i="1"/>
  <c r="Y532" i="1"/>
  <c r="Z532" i="1" s="1"/>
  <c r="X532" i="1"/>
  <c r="U532" i="1"/>
  <c r="O532" i="1"/>
  <c r="P532" i="1" s="1"/>
  <c r="Q532" i="1" s="1"/>
  <c r="R532" i="1" s="1"/>
  <c r="M532" i="1"/>
  <c r="X531" i="1"/>
  <c r="U531" i="1"/>
  <c r="Q531" i="1"/>
  <c r="R531" i="1" s="1"/>
  <c r="Y531" i="1" s="1"/>
  <c r="P531" i="1"/>
  <c r="O531" i="1"/>
  <c r="M531" i="1"/>
  <c r="X530" i="1"/>
  <c r="U530" i="1"/>
  <c r="Q530" i="1"/>
  <c r="R530" i="1" s="1"/>
  <c r="Y530" i="1" s="1"/>
  <c r="P530" i="1"/>
  <c r="O530" i="1"/>
  <c r="M530" i="1"/>
  <c r="X529" i="1"/>
  <c r="U529" i="1"/>
  <c r="O529" i="1"/>
  <c r="P529" i="1" s="1"/>
  <c r="Q529" i="1" s="1"/>
  <c r="R529" i="1" s="1"/>
  <c r="Y529" i="1" s="1"/>
  <c r="M529" i="1"/>
  <c r="X528" i="1"/>
  <c r="U528" i="1"/>
  <c r="Q528" i="1"/>
  <c r="R528" i="1" s="1"/>
  <c r="Y528" i="1" s="1"/>
  <c r="P528" i="1"/>
  <c r="O528" i="1"/>
  <c r="M528" i="1"/>
  <c r="X527" i="1"/>
  <c r="U527" i="1"/>
  <c r="O527" i="1"/>
  <c r="P527" i="1" s="1"/>
  <c r="Q527" i="1" s="1"/>
  <c r="R527" i="1" s="1"/>
  <c r="Y527" i="1" s="1"/>
  <c r="AA527" i="1" s="1"/>
  <c r="AB527" i="1" s="1"/>
  <c r="M527" i="1"/>
  <c r="X526" i="1"/>
  <c r="U526" i="1"/>
  <c r="O526" i="1"/>
  <c r="P526" i="1" s="1"/>
  <c r="Q526" i="1" s="1"/>
  <c r="R526" i="1" s="1"/>
  <c r="Y526" i="1" s="1"/>
  <c r="M526" i="1"/>
  <c r="X525" i="1"/>
  <c r="U525" i="1"/>
  <c r="Q525" i="1"/>
  <c r="R525" i="1" s="1"/>
  <c r="Y525" i="1" s="1"/>
  <c r="P525" i="1"/>
  <c r="O525" i="1"/>
  <c r="M525" i="1"/>
  <c r="X524" i="1"/>
  <c r="U524" i="1"/>
  <c r="Q524" i="1"/>
  <c r="R524" i="1" s="1"/>
  <c r="Y524" i="1" s="1"/>
  <c r="P524" i="1"/>
  <c r="O524" i="1"/>
  <c r="M524" i="1"/>
  <c r="X523" i="1"/>
  <c r="U523" i="1"/>
  <c r="O523" i="1"/>
  <c r="P523" i="1" s="1"/>
  <c r="Q523" i="1" s="1"/>
  <c r="R523" i="1" s="1"/>
  <c r="Y523" i="1" s="1"/>
  <c r="M523" i="1"/>
  <c r="X522" i="1"/>
  <c r="U522" i="1"/>
  <c r="Q522" i="1"/>
  <c r="R522" i="1" s="1"/>
  <c r="Y522" i="1" s="1"/>
  <c r="P522" i="1"/>
  <c r="O522" i="1"/>
  <c r="M522" i="1"/>
  <c r="X521" i="1"/>
  <c r="U521" i="1"/>
  <c r="O521" i="1"/>
  <c r="P521" i="1" s="1"/>
  <c r="Q521" i="1" s="1"/>
  <c r="R521" i="1" s="1"/>
  <c r="Y521" i="1" s="1"/>
  <c r="M521" i="1"/>
  <c r="AA520" i="1"/>
  <c r="AB520" i="1" s="1"/>
  <c r="Z520" i="1"/>
  <c r="X520" i="1"/>
  <c r="U520" i="1"/>
  <c r="Q520" i="1"/>
  <c r="R520" i="1" s="1"/>
  <c r="Y520" i="1" s="1"/>
  <c r="O520" i="1"/>
  <c r="P520" i="1" s="1"/>
  <c r="M520" i="1"/>
  <c r="X519" i="1"/>
  <c r="U519" i="1"/>
  <c r="P519" i="1"/>
  <c r="Q519" i="1" s="1"/>
  <c r="R519" i="1" s="1"/>
  <c r="Y519" i="1" s="1"/>
  <c r="O519" i="1"/>
  <c r="M519" i="1"/>
  <c r="AA518" i="1"/>
  <c r="AB518" i="1" s="1"/>
  <c r="X518" i="1"/>
  <c r="U518" i="1"/>
  <c r="O518" i="1"/>
  <c r="P518" i="1" s="1"/>
  <c r="Q518" i="1" s="1"/>
  <c r="R518" i="1" s="1"/>
  <c r="Y518" i="1" s="1"/>
  <c r="Z518" i="1" s="1"/>
  <c r="M518" i="1"/>
  <c r="X517" i="1"/>
  <c r="U517" i="1"/>
  <c r="O517" i="1"/>
  <c r="P517" i="1" s="1"/>
  <c r="Q517" i="1" s="1"/>
  <c r="R517" i="1" s="1"/>
  <c r="Y517" i="1" s="1"/>
  <c r="M517" i="1"/>
  <c r="X516" i="1"/>
  <c r="U516" i="1"/>
  <c r="P516" i="1"/>
  <c r="Q516" i="1" s="1"/>
  <c r="R516" i="1" s="1"/>
  <c r="Y516" i="1" s="1"/>
  <c r="O516" i="1"/>
  <c r="M516" i="1"/>
  <c r="X515" i="1"/>
  <c r="U515" i="1"/>
  <c r="R515" i="1"/>
  <c r="Y515" i="1" s="1"/>
  <c r="O515" i="1"/>
  <c r="P515" i="1" s="1"/>
  <c r="Q515" i="1" s="1"/>
  <c r="M515" i="1"/>
  <c r="X514" i="1"/>
  <c r="U514" i="1"/>
  <c r="O514" i="1"/>
  <c r="P514" i="1" s="1"/>
  <c r="Q514" i="1" s="1"/>
  <c r="R514" i="1" s="1"/>
  <c r="Y514" i="1" s="1"/>
  <c r="M514" i="1"/>
  <c r="X513" i="1"/>
  <c r="U513" i="1"/>
  <c r="Q513" i="1"/>
  <c r="R513" i="1" s="1"/>
  <c r="Y513" i="1" s="1"/>
  <c r="P513" i="1"/>
  <c r="O513" i="1"/>
  <c r="M513" i="1"/>
  <c r="X512" i="1"/>
  <c r="U512" i="1"/>
  <c r="O512" i="1"/>
  <c r="P512" i="1" s="1"/>
  <c r="Q512" i="1" s="1"/>
  <c r="R512" i="1" s="1"/>
  <c r="Y512" i="1" s="1"/>
  <c r="M512" i="1"/>
  <c r="AA511" i="1"/>
  <c r="AB511" i="1" s="1"/>
  <c r="X511" i="1"/>
  <c r="U511" i="1"/>
  <c r="R511" i="1"/>
  <c r="Y511" i="1" s="1"/>
  <c r="Z511" i="1" s="1"/>
  <c r="O511" i="1"/>
  <c r="P511" i="1" s="1"/>
  <c r="Q511" i="1" s="1"/>
  <c r="M511" i="1"/>
  <c r="X510" i="1"/>
  <c r="U510" i="1"/>
  <c r="Q510" i="1"/>
  <c r="R510" i="1" s="1"/>
  <c r="Y510" i="1" s="1"/>
  <c r="AA510" i="1" s="1"/>
  <c r="AB510" i="1" s="1"/>
  <c r="P510" i="1"/>
  <c r="O510" i="1"/>
  <c r="M510" i="1"/>
  <c r="AB509" i="1"/>
  <c r="AA509" i="1"/>
  <c r="X509" i="1"/>
  <c r="U509" i="1"/>
  <c r="P509" i="1"/>
  <c r="Q509" i="1" s="1"/>
  <c r="R509" i="1" s="1"/>
  <c r="Y509" i="1" s="1"/>
  <c r="Z509" i="1" s="1"/>
  <c r="O509" i="1"/>
  <c r="M509" i="1"/>
  <c r="Y508" i="1"/>
  <c r="X508" i="1"/>
  <c r="U508" i="1"/>
  <c r="O508" i="1"/>
  <c r="P508" i="1" s="1"/>
  <c r="Q508" i="1" s="1"/>
  <c r="R508" i="1" s="1"/>
  <c r="M508" i="1"/>
  <c r="X507" i="1"/>
  <c r="U507" i="1"/>
  <c r="O507" i="1"/>
  <c r="P507" i="1" s="1"/>
  <c r="Q507" i="1" s="1"/>
  <c r="R507" i="1" s="1"/>
  <c r="Y507" i="1" s="1"/>
  <c r="M507" i="1"/>
  <c r="X506" i="1"/>
  <c r="U506" i="1"/>
  <c r="O506" i="1"/>
  <c r="P506" i="1" s="1"/>
  <c r="Q506" i="1" s="1"/>
  <c r="R506" i="1" s="1"/>
  <c r="Y506" i="1" s="1"/>
  <c r="M506" i="1"/>
  <c r="X505" i="1"/>
  <c r="U505" i="1"/>
  <c r="Q505" i="1"/>
  <c r="R505" i="1" s="1"/>
  <c r="P505" i="1"/>
  <c r="O505" i="1"/>
  <c r="M505" i="1"/>
  <c r="X504" i="1"/>
  <c r="U504" i="1"/>
  <c r="P504" i="1"/>
  <c r="Q504" i="1" s="1"/>
  <c r="R504" i="1" s="1"/>
  <c r="Y504" i="1" s="1"/>
  <c r="O504" i="1"/>
  <c r="M504" i="1"/>
  <c r="AA503" i="1"/>
  <c r="AB503" i="1" s="1"/>
  <c r="X503" i="1"/>
  <c r="U503" i="1"/>
  <c r="P503" i="1"/>
  <c r="Q503" i="1" s="1"/>
  <c r="R503" i="1" s="1"/>
  <c r="Y503" i="1" s="1"/>
  <c r="Z503" i="1" s="1"/>
  <c r="O503" i="1"/>
  <c r="M503" i="1"/>
  <c r="X502" i="1"/>
  <c r="U502" i="1"/>
  <c r="O502" i="1"/>
  <c r="P502" i="1" s="1"/>
  <c r="Q502" i="1" s="1"/>
  <c r="R502" i="1" s="1"/>
  <c r="Y502" i="1" s="1"/>
  <c r="M502" i="1"/>
  <c r="X501" i="1"/>
  <c r="U501" i="1"/>
  <c r="Q501" i="1"/>
  <c r="R501" i="1" s="1"/>
  <c r="Y501" i="1" s="1"/>
  <c r="O501" i="1"/>
  <c r="P501" i="1" s="1"/>
  <c r="M501" i="1"/>
  <c r="X500" i="1"/>
  <c r="U500" i="1"/>
  <c r="O500" i="1"/>
  <c r="P500" i="1" s="1"/>
  <c r="Q500" i="1" s="1"/>
  <c r="R500" i="1" s="1"/>
  <c r="Y500" i="1" s="1"/>
  <c r="M500" i="1"/>
  <c r="X499" i="1"/>
  <c r="U499" i="1"/>
  <c r="R499" i="1"/>
  <c r="Y499" i="1" s="1"/>
  <c r="Z499" i="1" s="1"/>
  <c r="O499" i="1"/>
  <c r="P499" i="1" s="1"/>
  <c r="Q499" i="1" s="1"/>
  <c r="M499" i="1"/>
  <c r="X498" i="1"/>
  <c r="U498" i="1"/>
  <c r="Q498" i="1"/>
  <c r="R498" i="1" s="1"/>
  <c r="Y498" i="1" s="1"/>
  <c r="P498" i="1"/>
  <c r="O498" i="1"/>
  <c r="M498" i="1"/>
  <c r="X497" i="1"/>
  <c r="U497" i="1"/>
  <c r="P497" i="1"/>
  <c r="Q497" i="1" s="1"/>
  <c r="R497" i="1" s="1"/>
  <c r="Y497" i="1" s="1"/>
  <c r="O497" i="1"/>
  <c r="M497" i="1"/>
  <c r="X496" i="1"/>
  <c r="U496" i="1"/>
  <c r="O496" i="1"/>
  <c r="P496" i="1" s="1"/>
  <c r="Q496" i="1" s="1"/>
  <c r="R496" i="1" s="1"/>
  <c r="Y496" i="1" s="1"/>
  <c r="M496" i="1"/>
  <c r="Z495" i="1"/>
  <c r="X495" i="1"/>
  <c r="U495" i="1"/>
  <c r="O495" i="1"/>
  <c r="P495" i="1" s="1"/>
  <c r="Q495" i="1" s="1"/>
  <c r="R495" i="1" s="1"/>
  <c r="Y495" i="1" s="1"/>
  <c r="AA495" i="1" s="1"/>
  <c r="AB495" i="1" s="1"/>
  <c r="M495" i="1"/>
  <c r="X494" i="1"/>
  <c r="U494" i="1"/>
  <c r="R494" i="1"/>
  <c r="Y494" i="1" s="1"/>
  <c r="O494" i="1"/>
  <c r="P494" i="1" s="1"/>
  <c r="Q494" i="1" s="1"/>
  <c r="M494" i="1"/>
  <c r="X493" i="1"/>
  <c r="U493" i="1"/>
  <c r="Q493" i="1"/>
  <c r="R493" i="1" s="1"/>
  <c r="Y493" i="1" s="1"/>
  <c r="P493" i="1"/>
  <c r="O493" i="1"/>
  <c r="M493" i="1"/>
  <c r="X492" i="1"/>
  <c r="U492" i="1"/>
  <c r="Q492" i="1"/>
  <c r="R492" i="1" s="1"/>
  <c r="Y492" i="1" s="1"/>
  <c r="P492" i="1"/>
  <c r="O492" i="1"/>
  <c r="M492" i="1"/>
  <c r="AA491" i="1"/>
  <c r="AB491" i="1" s="1"/>
  <c r="Z491" i="1"/>
  <c r="X491" i="1"/>
  <c r="U491" i="1"/>
  <c r="P491" i="1"/>
  <c r="Q491" i="1" s="1"/>
  <c r="R491" i="1" s="1"/>
  <c r="Y491" i="1" s="1"/>
  <c r="O491" i="1"/>
  <c r="M491" i="1"/>
  <c r="X490" i="1"/>
  <c r="U490" i="1"/>
  <c r="O490" i="1"/>
  <c r="P490" i="1" s="1"/>
  <c r="Q490" i="1" s="1"/>
  <c r="R490" i="1" s="1"/>
  <c r="Y490" i="1" s="1"/>
  <c r="M490" i="1"/>
  <c r="X489" i="1"/>
  <c r="U489" i="1"/>
  <c r="P489" i="1"/>
  <c r="Q489" i="1" s="1"/>
  <c r="R489" i="1" s="1"/>
  <c r="Y489" i="1" s="1"/>
  <c r="O489" i="1"/>
  <c r="M489" i="1"/>
  <c r="X488" i="1"/>
  <c r="U488" i="1"/>
  <c r="O488" i="1"/>
  <c r="P488" i="1" s="1"/>
  <c r="Q488" i="1" s="1"/>
  <c r="R488" i="1" s="1"/>
  <c r="Y488" i="1" s="1"/>
  <c r="M488" i="1"/>
  <c r="AA487" i="1"/>
  <c r="AB487" i="1" s="1"/>
  <c r="X487" i="1"/>
  <c r="U487" i="1"/>
  <c r="O487" i="1"/>
  <c r="P487" i="1" s="1"/>
  <c r="Q487" i="1" s="1"/>
  <c r="R487" i="1" s="1"/>
  <c r="Y487" i="1" s="1"/>
  <c r="Z487" i="1" s="1"/>
  <c r="M487" i="1"/>
  <c r="AA486" i="1"/>
  <c r="AB486" i="1" s="1"/>
  <c r="Z486" i="1"/>
  <c r="M486" i="1"/>
  <c r="X485" i="1"/>
  <c r="U485" i="1"/>
  <c r="P485" i="1"/>
  <c r="Q485" i="1" s="1"/>
  <c r="R485" i="1" s="1"/>
  <c r="Y485" i="1" s="1"/>
  <c r="AA485" i="1" s="1"/>
  <c r="AB485" i="1" s="1"/>
  <c r="O485" i="1"/>
  <c r="M485" i="1"/>
  <c r="X484" i="1"/>
  <c r="U484" i="1"/>
  <c r="O484" i="1"/>
  <c r="P484" i="1" s="1"/>
  <c r="Q484" i="1" s="1"/>
  <c r="R484" i="1" s="1"/>
  <c r="Y484" i="1" s="1"/>
  <c r="AA484" i="1" s="1"/>
  <c r="AB484" i="1" s="1"/>
  <c r="M484" i="1"/>
  <c r="X483" i="1"/>
  <c r="U483" i="1"/>
  <c r="O483" i="1"/>
  <c r="P483" i="1" s="1"/>
  <c r="Q483" i="1" s="1"/>
  <c r="R483" i="1" s="1"/>
  <c r="Y483" i="1" s="1"/>
  <c r="M483" i="1"/>
  <c r="X482" i="1"/>
  <c r="U482" i="1"/>
  <c r="Q482" i="1"/>
  <c r="R482" i="1" s="1"/>
  <c r="Y482" i="1" s="1"/>
  <c r="O482" i="1"/>
  <c r="P482" i="1" s="1"/>
  <c r="M482" i="1"/>
  <c r="X481" i="1"/>
  <c r="U481" i="1"/>
  <c r="P481" i="1"/>
  <c r="Q481" i="1" s="1"/>
  <c r="R481" i="1" s="1"/>
  <c r="Y481" i="1" s="1"/>
  <c r="AA481" i="1" s="1"/>
  <c r="AB481" i="1" s="1"/>
  <c r="O481" i="1"/>
  <c r="M481" i="1"/>
  <c r="AA480" i="1"/>
  <c r="AB480" i="1" s="1"/>
  <c r="X480" i="1"/>
  <c r="U480" i="1"/>
  <c r="O480" i="1"/>
  <c r="P480" i="1" s="1"/>
  <c r="Q480" i="1" s="1"/>
  <c r="R480" i="1" s="1"/>
  <c r="Y480" i="1" s="1"/>
  <c r="Z480" i="1" s="1"/>
  <c r="M480" i="1"/>
  <c r="X479" i="1"/>
  <c r="U479" i="1"/>
  <c r="O479" i="1"/>
  <c r="P479" i="1" s="1"/>
  <c r="Q479" i="1" s="1"/>
  <c r="R479" i="1" s="1"/>
  <c r="Y479" i="1" s="1"/>
  <c r="M479" i="1"/>
  <c r="X478" i="1"/>
  <c r="U478" i="1"/>
  <c r="P478" i="1"/>
  <c r="Q478" i="1" s="1"/>
  <c r="R478" i="1" s="1"/>
  <c r="Y478" i="1" s="1"/>
  <c r="O478" i="1"/>
  <c r="M478" i="1"/>
  <c r="X477" i="1"/>
  <c r="U477" i="1"/>
  <c r="R477" i="1"/>
  <c r="Y477" i="1" s="1"/>
  <c r="O477" i="1"/>
  <c r="P477" i="1" s="1"/>
  <c r="Q477" i="1" s="1"/>
  <c r="M477" i="1"/>
  <c r="X476" i="1"/>
  <c r="U476" i="1"/>
  <c r="Q476" i="1"/>
  <c r="R476" i="1" s="1"/>
  <c r="Y476" i="1" s="1"/>
  <c r="P476" i="1"/>
  <c r="O476" i="1"/>
  <c r="M476" i="1"/>
  <c r="X475" i="1"/>
  <c r="Y475" i="1" s="1"/>
  <c r="U475" i="1"/>
  <c r="P475" i="1"/>
  <c r="Q475" i="1" s="1"/>
  <c r="R475" i="1" s="1"/>
  <c r="O475" i="1"/>
  <c r="M475" i="1"/>
  <c r="X474" i="1"/>
  <c r="U474" i="1"/>
  <c r="O474" i="1"/>
  <c r="P474" i="1" s="1"/>
  <c r="Q474" i="1" s="1"/>
  <c r="R474" i="1" s="1"/>
  <c r="Y474" i="1" s="1"/>
  <c r="AA474" i="1" s="1"/>
  <c r="AB474" i="1" s="1"/>
  <c r="M474" i="1"/>
  <c r="X473" i="1"/>
  <c r="U473" i="1"/>
  <c r="O473" i="1"/>
  <c r="P473" i="1" s="1"/>
  <c r="Q473" i="1" s="1"/>
  <c r="R473" i="1" s="1"/>
  <c r="Y473" i="1" s="1"/>
  <c r="M473" i="1"/>
  <c r="X472" i="1"/>
  <c r="U472" i="1"/>
  <c r="O472" i="1"/>
  <c r="P472" i="1" s="1"/>
  <c r="Q472" i="1" s="1"/>
  <c r="R472" i="1" s="1"/>
  <c r="Y472" i="1" s="1"/>
  <c r="M472" i="1"/>
  <c r="X471" i="1"/>
  <c r="U471" i="1"/>
  <c r="O471" i="1"/>
  <c r="P471" i="1" s="1"/>
  <c r="Q471" i="1" s="1"/>
  <c r="R471" i="1" s="1"/>
  <c r="Y471" i="1" s="1"/>
  <c r="M471" i="1"/>
  <c r="X470" i="1"/>
  <c r="U470" i="1"/>
  <c r="P470" i="1"/>
  <c r="Q470" i="1" s="1"/>
  <c r="R470" i="1" s="1"/>
  <c r="O470" i="1"/>
  <c r="M470" i="1"/>
  <c r="AA469" i="1"/>
  <c r="AB469" i="1" s="1"/>
  <c r="Z469" i="1"/>
  <c r="X469" i="1"/>
  <c r="U469" i="1"/>
  <c r="R469" i="1"/>
  <c r="Y469" i="1" s="1"/>
  <c r="O469" i="1"/>
  <c r="P469" i="1" s="1"/>
  <c r="Q469" i="1" s="1"/>
  <c r="M469" i="1"/>
  <c r="X468" i="1"/>
  <c r="U468" i="1"/>
  <c r="O468" i="1"/>
  <c r="P468" i="1" s="1"/>
  <c r="Q468" i="1" s="1"/>
  <c r="R468" i="1" s="1"/>
  <c r="Y468" i="1" s="1"/>
  <c r="M468" i="1"/>
  <c r="X467" i="1"/>
  <c r="U467" i="1"/>
  <c r="P467" i="1"/>
  <c r="Q467" i="1" s="1"/>
  <c r="R467" i="1" s="1"/>
  <c r="O467" i="1"/>
  <c r="M467" i="1"/>
  <c r="X466" i="1"/>
  <c r="U466" i="1"/>
  <c r="O466" i="1"/>
  <c r="P466" i="1" s="1"/>
  <c r="Q466" i="1" s="1"/>
  <c r="R466" i="1" s="1"/>
  <c r="Y466" i="1" s="1"/>
  <c r="M466" i="1"/>
  <c r="AA465" i="1"/>
  <c r="AB465" i="1" s="1"/>
  <c r="X465" i="1"/>
  <c r="U465" i="1"/>
  <c r="O465" i="1"/>
  <c r="P465" i="1" s="1"/>
  <c r="Q465" i="1" s="1"/>
  <c r="R465" i="1" s="1"/>
  <c r="Y465" i="1" s="1"/>
  <c r="Z465" i="1" s="1"/>
  <c r="M465" i="1"/>
  <c r="X464" i="1"/>
  <c r="U464" i="1"/>
  <c r="Q464" i="1"/>
  <c r="R464" i="1" s="1"/>
  <c r="Y464" i="1" s="1"/>
  <c r="P464" i="1"/>
  <c r="O464" i="1"/>
  <c r="M464" i="1"/>
  <c r="X463" i="1"/>
  <c r="U463" i="1"/>
  <c r="P463" i="1"/>
  <c r="Q463" i="1" s="1"/>
  <c r="R463" i="1" s="1"/>
  <c r="Y463" i="1" s="1"/>
  <c r="AA463" i="1" s="1"/>
  <c r="AB463" i="1" s="1"/>
  <c r="O463" i="1"/>
  <c r="M463" i="1"/>
  <c r="X462" i="1"/>
  <c r="U462" i="1"/>
  <c r="R462" i="1"/>
  <c r="Y462" i="1" s="1"/>
  <c r="AA462" i="1" s="1"/>
  <c r="AB462" i="1" s="1"/>
  <c r="O462" i="1"/>
  <c r="P462" i="1" s="1"/>
  <c r="Q462" i="1" s="1"/>
  <c r="M462" i="1"/>
  <c r="X461" i="1"/>
  <c r="U461" i="1"/>
  <c r="Q461" i="1"/>
  <c r="R461" i="1" s="1"/>
  <c r="Y461" i="1" s="1"/>
  <c r="P461" i="1"/>
  <c r="O461" i="1"/>
  <c r="M461" i="1"/>
  <c r="X460" i="1"/>
  <c r="U460" i="1"/>
  <c r="P460" i="1"/>
  <c r="Q460" i="1" s="1"/>
  <c r="R460" i="1" s="1"/>
  <c r="Y460" i="1" s="1"/>
  <c r="O460" i="1"/>
  <c r="M460" i="1"/>
  <c r="X459" i="1"/>
  <c r="U459" i="1"/>
  <c r="P459" i="1"/>
  <c r="Q459" i="1" s="1"/>
  <c r="R459" i="1" s="1"/>
  <c r="Y459" i="1" s="1"/>
  <c r="O459" i="1"/>
  <c r="M459" i="1"/>
  <c r="X458" i="1"/>
  <c r="U458" i="1"/>
  <c r="O458" i="1"/>
  <c r="P458" i="1" s="1"/>
  <c r="Q458" i="1" s="1"/>
  <c r="R458" i="1" s="1"/>
  <c r="Y458" i="1" s="1"/>
  <c r="M458" i="1"/>
  <c r="X457" i="1"/>
  <c r="U457" i="1"/>
  <c r="R457" i="1"/>
  <c r="Y457" i="1" s="1"/>
  <c r="AA457" i="1" s="1"/>
  <c r="AB457" i="1" s="1"/>
  <c r="Q457" i="1"/>
  <c r="O457" i="1"/>
  <c r="P457" i="1" s="1"/>
  <c r="M457" i="1"/>
  <c r="X456" i="1"/>
  <c r="U456" i="1"/>
  <c r="P456" i="1"/>
  <c r="Q456" i="1" s="1"/>
  <c r="R456" i="1" s="1"/>
  <c r="Y456" i="1" s="1"/>
  <c r="O456" i="1"/>
  <c r="M456" i="1"/>
  <c r="X455" i="1"/>
  <c r="U455" i="1"/>
  <c r="Q455" i="1"/>
  <c r="R455" i="1" s="1"/>
  <c r="Y455" i="1" s="1"/>
  <c r="O455" i="1"/>
  <c r="P455" i="1" s="1"/>
  <c r="M455" i="1"/>
  <c r="X454" i="1"/>
  <c r="U454" i="1"/>
  <c r="O454" i="1"/>
  <c r="P454" i="1" s="1"/>
  <c r="Q454" i="1" s="1"/>
  <c r="R454" i="1" s="1"/>
  <c r="Y454" i="1" s="1"/>
  <c r="M454" i="1"/>
  <c r="AA453" i="1"/>
  <c r="AB453" i="1" s="1"/>
  <c r="X453" i="1"/>
  <c r="U453" i="1"/>
  <c r="O453" i="1"/>
  <c r="P453" i="1" s="1"/>
  <c r="Q453" i="1" s="1"/>
  <c r="R453" i="1" s="1"/>
  <c r="Y453" i="1" s="1"/>
  <c r="Z453" i="1" s="1"/>
  <c r="M453" i="1"/>
  <c r="X452" i="1"/>
  <c r="U452" i="1"/>
  <c r="Q452" i="1"/>
  <c r="R452" i="1" s="1"/>
  <c r="P452" i="1"/>
  <c r="O452" i="1"/>
  <c r="M452" i="1"/>
  <c r="X451" i="1"/>
  <c r="U451" i="1"/>
  <c r="R451" i="1"/>
  <c r="Y451" i="1" s="1"/>
  <c r="P451" i="1"/>
  <c r="Q451" i="1" s="1"/>
  <c r="O451" i="1"/>
  <c r="M451" i="1"/>
  <c r="X450" i="1"/>
  <c r="U450" i="1"/>
  <c r="Q450" i="1"/>
  <c r="R450" i="1" s="1"/>
  <c r="Y450" i="1" s="1"/>
  <c r="O450" i="1"/>
  <c r="P450" i="1" s="1"/>
  <c r="M450" i="1"/>
  <c r="X449" i="1"/>
  <c r="U449" i="1"/>
  <c r="P449" i="1"/>
  <c r="Q449" i="1" s="1"/>
  <c r="R449" i="1" s="1"/>
  <c r="Y449" i="1" s="1"/>
  <c r="O449" i="1"/>
  <c r="M449" i="1"/>
  <c r="X448" i="1"/>
  <c r="U448" i="1"/>
  <c r="O448" i="1"/>
  <c r="P448" i="1" s="1"/>
  <c r="Q448" i="1" s="1"/>
  <c r="R448" i="1" s="1"/>
  <c r="Y448" i="1" s="1"/>
  <c r="M448" i="1"/>
  <c r="X447" i="1"/>
  <c r="U447" i="1"/>
  <c r="O447" i="1"/>
  <c r="P447" i="1" s="1"/>
  <c r="Q447" i="1" s="1"/>
  <c r="R447" i="1" s="1"/>
  <c r="Y447" i="1" s="1"/>
  <c r="M447" i="1"/>
  <c r="AA446" i="1"/>
  <c r="AB446" i="1" s="1"/>
  <c r="X446" i="1"/>
  <c r="U446" i="1"/>
  <c r="R446" i="1"/>
  <c r="Y446" i="1" s="1"/>
  <c r="Z446" i="1" s="1"/>
  <c r="O446" i="1"/>
  <c r="P446" i="1" s="1"/>
  <c r="Q446" i="1" s="1"/>
  <c r="M446" i="1"/>
  <c r="X445" i="1"/>
  <c r="U445" i="1"/>
  <c r="P445" i="1"/>
  <c r="Q445" i="1" s="1"/>
  <c r="R445" i="1" s="1"/>
  <c r="Y445" i="1" s="1"/>
  <c r="O445" i="1"/>
  <c r="M445" i="1"/>
  <c r="X444" i="1"/>
  <c r="U444" i="1"/>
  <c r="P444" i="1"/>
  <c r="Q444" i="1" s="1"/>
  <c r="R444" i="1" s="1"/>
  <c r="Y444" i="1" s="1"/>
  <c r="O444" i="1"/>
  <c r="M444" i="1"/>
  <c r="X443" i="1"/>
  <c r="U443" i="1"/>
  <c r="P443" i="1"/>
  <c r="Q443" i="1" s="1"/>
  <c r="R443" i="1" s="1"/>
  <c r="Y443" i="1" s="1"/>
  <c r="O443" i="1"/>
  <c r="M443" i="1"/>
  <c r="X442" i="1"/>
  <c r="U442" i="1"/>
  <c r="P442" i="1"/>
  <c r="Q442" i="1" s="1"/>
  <c r="R442" i="1" s="1"/>
  <c r="Y442" i="1" s="1"/>
  <c r="O442" i="1"/>
  <c r="M442" i="1"/>
  <c r="X441" i="1"/>
  <c r="U441" i="1"/>
  <c r="O441" i="1"/>
  <c r="P441" i="1" s="1"/>
  <c r="Q441" i="1" s="1"/>
  <c r="R441" i="1" s="1"/>
  <c r="Y441" i="1" s="1"/>
  <c r="M441" i="1"/>
  <c r="Z440" i="1"/>
  <c r="X440" i="1"/>
  <c r="U440" i="1"/>
  <c r="R440" i="1"/>
  <c r="Y440" i="1" s="1"/>
  <c r="AA440" i="1" s="1"/>
  <c r="AB440" i="1" s="1"/>
  <c r="Q440" i="1"/>
  <c r="P440" i="1"/>
  <c r="O440" i="1"/>
  <c r="M440" i="1"/>
  <c r="X439" i="1"/>
  <c r="U439" i="1"/>
  <c r="R439" i="1"/>
  <c r="Y439" i="1" s="1"/>
  <c r="Q439" i="1"/>
  <c r="P439" i="1"/>
  <c r="O439" i="1"/>
  <c r="M439" i="1"/>
  <c r="X438" i="1"/>
  <c r="U438" i="1"/>
  <c r="P438" i="1"/>
  <c r="Q438" i="1" s="1"/>
  <c r="R438" i="1" s="1"/>
  <c r="Y438" i="1" s="1"/>
  <c r="O438" i="1"/>
  <c r="M438" i="1"/>
  <c r="X437" i="1"/>
  <c r="U437" i="1"/>
  <c r="Q437" i="1"/>
  <c r="R437" i="1" s="1"/>
  <c r="Y437" i="1" s="1"/>
  <c r="O437" i="1"/>
  <c r="P437" i="1" s="1"/>
  <c r="M437" i="1"/>
  <c r="X436" i="1"/>
  <c r="U436" i="1"/>
  <c r="O436" i="1"/>
  <c r="P436" i="1" s="1"/>
  <c r="Q436" i="1" s="1"/>
  <c r="R436" i="1" s="1"/>
  <c r="Y436" i="1" s="1"/>
  <c r="M436" i="1"/>
  <c r="X435" i="1"/>
  <c r="U435" i="1"/>
  <c r="O435" i="1"/>
  <c r="P435" i="1" s="1"/>
  <c r="Q435" i="1" s="1"/>
  <c r="R435" i="1" s="1"/>
  <c r="Y435" i="1" s="1"/>
  <c r="M435" i="1"/>
  <c r="X434" i="1"/>
  <c r="U434" i="1"/>
  <c r="R434" i="1"/>
  <c r="Y434" i="1" s="1"/>
  <c r="Z434" i="1" s="1"/>
  <c r="Q434" i="1"/>
  <c r="P434" i="1"/>
  <c r="O434" i="1"/>
  <c r="M434" i="1"/>
  <c r="X433" i="1"/>
  <c r="U433" i="1"/>
  <c r="O433" i="1"/>
  <c r="P433" i="1" s="1"/>
  <c r="Q433" i="1" s="1"/>
  <c r="R433" i="1" s="1"/>
  <c r="Y433" i="1" s="1"/>
  <c r="M433" i="1"/>
  <c r="X432" i="1"/>
  <c r="U432" i="1"/>
  <c r="O432" i="1"/>
  <c r="P432" i="1" s="1"/>
  <c r="Q432" i="1" s="1"/>
  <c r="R432" i="1" s="1"/>
  <c r="Y432" i="1" s="1"/>
  <c r="M432" i="1"/>
  <c r="X431" i="1"/>
  <c r="U431" i="1"/>
  <c r="P431" i="1"/>
  <c r="Q431" i="1" s="1"/>
  <c r="R431" i="1" s="1"/>
  <c r="Y431" i="1" s="1"/>
  <c r="O431" i="1"/>
  <c r="M431" i="1"/>
  <c r="AA430" i="1"/>
  <c r="AB430" i="1" s="1"/>
  <c r="X430" i="1"/>
  <c r="U430" i="1"/>
  <c r="O430" i="1"/>
  <c r="P430" i="1" s="1"/>
  <c r="Q430" i="1" s="1"/>
  <c r="R430" i="1" s="1"/>
  <c r="Y430" i="1" s="1"/>
  <c r="Z430" i="1" s="1"/>
  <c r="M430" i="1"/>
  <c r="Y429" i="1"/>
  <c r="X429" i="1"/>
  <c r="U429" i="1"/>
  <c r="O429" i="1"/>
  <c r="P429" i="1" s="1"/>
  <c r="Q429" i="1" s="1"/>
  <c r="R429" i="1" s="1"/>
  <c r="M429" i="1"/>
  <c r="X428" i="1"/>
  <c r="U428" i="1"/>
  <c r="Q428" i="1"/>
  <c r="R428" i="1" s="1"/>
  <c r="Y428" i="1" s="1"/>
  <c r="P428" i="1"/>
  <c r="O428" i="1"/>
  <c r="M428" i="1"/>
  <c r="X427" i="1"/>
  <c r="U427" i="1"/>
  <c r="Q427" i="1"/>
  <c r="R427" i="1" s="1"/>
  <c r="P427" i="1"/>
  <c r="O427" i="1"/>
  <c r="M427" i="1"/>
  <c r="X426" i="1"/>
  <c r="U426" i="1"/>
  <c r="O426" i="1"/>
  <c r="P426" i="1" s="1"/>
  <c r="Q426" i="1" s="1"/>
  <c r="R426" i="1" s="1"/>
  <c r="Y426" i="1" s="1"/>
  <c r="M426" i="1"/>
  <c r="X425" i="1"/>
  <c r="U425" i="1"/>
  <c r="Q425" i="1"/>
  <c r="R425" i="1" s="1"/>
  <c r="Y425" i="1" s="1"/>
  <c r="P425" i="1"/>
  <c r="O425" i="1"/>
  <c r="M425" i="1"/>
  <c r="X424" i="1"/>
  <c r="U424" i="1"/>
  <c r="P424" i="1"/>
  <c r="Q424" i="1" s="1"/>
  <c r="R424" i="1" s="1"/>
  <c r="Y424" i="1" s="1"/>
  <c r="AA424" i="1" s="1"/>
  <c r="AB424" i="1" s="1"/>
  <c r="O424" i="1"/>
  <c r="M424" i="1"/>
  <c r="X423" i="1"/>
  <c r="U423" i="1"/>
  <c r="O423" i="1"/>
  <c r="P423" i="1" s="1"/>
  <c r="Q423" i="1" s="1"/>
  <c r="R423" i="1" s="1"/>
  <c r="Y423" i="1" s="1"/>
  <c r="M423" i="1"/>
  <c r="X422" i="1"/>
  <c r="U422" i="1"/>
  <c r="P422" i="1"/>
  <c r="Q422" i="1" s="1"/>
  <c r="R422" i="1" s="1"/>
  <c r="Y422" i="1" s="1"/>
  <c r="O422" i="1"/>
  <c r="M422" i="1"/>
  <c r="X421" i="1"/>
  <c r="U421" i="1"/>
  <c r="Q421" i="1"/>
  <c r="R421" i="1" s="1"/>
  <c r="Y421" i="1" s="1"/>
  <c r="O421" i="1"/>
  <c r="P421" i="1" s="1"/>
  <c r="M421" i="1"/>
  <c r="X420" i="1"/>
  <c r="U420" i="1"/>
  <c r="P420" i="1"/>
  <c r="Q420" i="1" s="1"/>
  <c r="R420" i="1" s="1"/>
  <c r="Y420" i="1" s="1"/>
  <c r="O420" i="1"/>
  <c r="M420" i="1"/>
  <c r="X419" i="1"/>
  <c r="U419" i="1"/>
  <c r="O419" i="1"/>
  <c r="P419" i="1" s="1"/>
  <c r="Q419" i="1" s="1"/>
  <c r="R419" i="1" s="1"/>
  <c r="Y419" i="1" s="1"/>
  <c r="M419" i="1"/>
  <c r="X418" i="1"/>
  <c r="U418" i="1"/>
  <c r="O418" i="1"/>
  <c r="P418" i="1" s="1"/>
  <c r="Q418" i="1" s="1"/>
  <c r="R418" i="1" s="1"/>
  <c r="Y418" i="1" s="1"/>
  <c r="AA418" i="1" s="1"/>
  <c r="AB418" i="1" s="1"/>
  <c r="M418" i="1"/>
  <c r="X417" i="1"/>
  <c r="Y417" i="1" s="1"/>
  <c r="AA417" i="1" s="1"/>
  <c r="AB417" i="1" s="1"/>
  <c r="U417" i="1"/>
  <c r="R417" i="1"/>
  <c r="O417" i="1"/>
  <c r="P417" i="1" s="1"/>
  <c r="Q417" i="1" s="1"/>
  <c r="M417" i="1"/>
  <c r="X416" i="1"/>
  <c r="U416" i="1"/>
  <c r="Q416" i="1"/>
  <c r="R416" i="1" s="1"/>
  <c r="Y416" i="1" s="1"/>
  <c r="P416" i="1"/>
  <c r="O416" i="1"/>
  <c r="M416" i="1"/>
  <c r="X415" i="1"/>
  <c r="U415" i="1"/>
  <c r="P415" i="1"/>
  <c r="Q415" i="1" s="1"/>
  <c r="R415" i="1" s="1"/>
  <c r="Y415" i="1" s="1"/>
  <c r="O415" i="1"/>
  <c r="M415" i="1"/>
  <c r="X414" i="1"/>
  <c r="U414" i="1"/>
  <c r="R414" i="1"/>
  <c r="Y414" i="1" s="1"/>
  <c r="P414" i="1"/>
  <c r="Q414" i="1" s="1"/>
  <c r="O414" i="1"/>
  <c r="M414" i="1"/>
  <c r="X413" i="1"/>
  <c r="U413" i="1"/>
  <c r="P413" i="1"/>
  <c r="Q413" i="1" s="1"/>
  <c r="R413" i="1" s="1"/>
  <c r="Y413" i="1" s="1"/>
  <c r="O413" i="1"/>
  <c r="M413" i="1"/>
  <c r="Y412" i="1"/>
  <c r="AA412" i="1" s="1"/>
  <c r="AB412" i="1" s="1"/>
  <c r="X412" i="1"/>
  <c r="U412" i="1"/>
  <c r="O412" i="1"/>
  <c r="P412" i="1" s="1"/>
  <c r="Q412" i="1" s="1"/>
  <c r="R412" i="1" s="1"/>
  <c r="M412" i="1"/>
  <c r="X411" i="1"/>
  <c r="U411" i="1"/>
  <c r="O411" i="1"/>
  <c r="P411" i="1" s="1"/>
  <c r="Q411" i="1" s="1"/>
  <c r="R411" i="1" s="1"/>
  <c r="Y411" i="1" s="1"/>
  <c r="M411" i="1"/>
  <c r="X410" i="1"/>
  <c r="U410" i="1"/>
  <c r="P410" i="1"/>
  <c r="Q410" i="1" s="1"/>
  <c r="R410" i="1" s="1"/>
  <c r="Y410" i="1" s="1"/>
  <c r="Z410" i="1" s="1"/>
  <c r="O410" i="1"/>
  <c r="M410" i="1"/>
  <c r="X409" i="1"/>
  <c r="U409" i="1"/>
  <c r="O409" i="1"/>
  <c r="P409" i="1" s="1"/>
  <c r="Q409" i="1" s="1"/>
  <c r="R409" i="1" s="1"/>
  <c r="Y409" i="1" s="1"/>
  <c r="M409" i="1"/>
  <c r="X408" i="1"/>
  <c r="U408" i="1"/>
  <c r="O408" i="1"/>
  <c r="P408" i="1" s="1"/>
  <c r="Q408" i="1" s="1"/>
  <c r="R408" i="1" s="1"/>
  <c r="Y408" i="1" s="1"/>
  <c r="M408" i="1"/>
  <c r="AA407" i="1"/>
  <c r="AB407" i="1" s="1"/>
  <c r="X407" i="1"/>
  <c r="U407" i="1"/>
  <c r="P407" i="1"/>
  <c r="Q407" i="1" s="1"/>
  <c r="R407" i="1" s="1"/>
  <c r="Y407" i="1" s="1"/>
  <c r="Z407" i="1" s="1"/>
  <c r="O407" i="1"/>
  <c r="M407" i="1"/>
  <c r="X406" i="1"/>
  <c r="U406" i="1"/>
  <c r="O406" i="1"/>
  <c r="P406" i="1" s="1"/>
  <c r="Q406" i="1" s="1"/>
  <c r="R406" i="1" s="1"/>
  <c r="Y406" i="1" s="1"/>
  <c r="M406" i="1"/>
  <c r="X405" i="1"/>
  <c r="U405" i="1"/>
  <c r="R405" i="1"/>
  <c r="Y405" i="1" s="1"/>
  <c r="O405" i="1"/>
  <c r="P405" i="1" s="1"/>
  <c r="Q405" i="1" s="1"/>
  <c r="M405" i="1"/>
  <c r="X404" i="1"/>
  <c r="U404" i="1"/>
  <c r="Q404" i="1"/>
  <c r="R404" i="1" s="1"/>
  <c r="Y404" i="1" s="1"/>
  <c r="P404" i="1"/>
  <c r="O404" i="1"/>
  <c r="M404" i="1"/>
  <c r="X403" i="1"/>
  <c r="U403" i="1"/>
  <c r="P403" i="1"/>
  <c r="Q403" i="1" s="1"/>
  <c r="R403" i="1" s="1"/>
  <c r="Y403" i="1" s="1"/>
  <c r="O403" i="1"/>
  <c r="M403" i="1"/>
  <c r="X402" i="1"/>
  <c r="U402" i="1"/>
  <c r="P402" i="1"/>
  <c r="Q402" i="1" s="1"/>
  <c r="R402" i="1" s="1"/>
  <c r="Y402" i="1" s="1"/>
  <c r="O402" i="1"/>
  <c r="M402" i="1"/>
  <c r="X401" i="1"/>
  <c r="U401" i="1"/>
  <c r="Q401" i="1"/>
  <c r="R401" i="1" s="1"/>
  <c r="Y401" i="1" s="1"/>
  <c r="O401" i="1"/>
  <c r="P401" i="1" s="1"/>
  <c r="M401" i="1"/>
  <c r="Y400" i="1"/>
  <c r="AA400" i="1" s="1"/>
  <c r="AB400" i="1" s="1"/>
  <c r="X400" i="1"/>
  <c r="U400" i="1"/>
  <c r="O400" i="1"/>
  <c r="P400" i="1" s="1"/>
  <c r="Q400" i="1" s="1"/>
  <c r="R400" i="1" s="1"/>
  <c r="M400" i="1"/>
  <c r="X399" i="1"/>
  <c r="U399" i="1"/>
  <c r="O399" i="1"/>
  <c r="P399" i="1" s="1"/>
  <c r="Q399" i="1" s="1"/>
  <c r="R399" i="1" s="1"/>
  <c r="Y399" i="1" s="1"/>
  <c r="M399" i="1"/>
  <c r="X398" i="1"/>
  <c r="U398" i="1"/>
  <c r="O398" i="1"/>
  <c r="P398" i="1" s="1"/>
  <c r="Q398" i="1" s="1"/>
  <c r="R398" i="1" s="1"/>
  <c r="Y398" i="1" s="1"/>
  <c r="M398" i="1"/>
  <c r="X397" i="1"/>
  <c r="U397" i="1"/>
  <c r="P397" i="1"/>
  <c r="Q397" i="1" s="1"/>
  <c r="R397" i="1" s="1"/>
  <c r="Y397" i="1" s="1"/>
  <c r="O397" i="1"/>
  <c r="M397" i="1"/>
  <c r="X396" i="1"/>
  <c r="U396" i="1"/>
  <c r="Q396" i="1"/>
  <c r="R396" i="1" s="1"/>
  <c r="Y396" i="1" s="1"/>
  <c r="Z396" i="1" s="1"/>
  <c r="O396" i="1"/>
  <c r="P396" i="1" s="1"/>
  <c r="M396" i="1"/>
  <c r="AB395" i="1"/>
  <c r="AA395" i="1"/>
  <c r="Z395" i="1"/>
  <c r="X395" i="1"/>
  <c r="U395" i="1"/>
  <c r="O395" i="1"/>
  <c r="P395" i="1" s="1"/>
  <c r="Q395" i="1" s="1"/>
  <c r="R395" i="1" s="1"/>
  <c r="Y395" i="1" s="1"/>
  <c r="M395" i="1"/>
  <c r="X394" i="1"/>
  <c r="U394" i="1"/>
  <c r="O394" i="1"/>
  <c r="P394" i="1" s="1"/>
  <c r="Q394" i="1" s="1"/>
  <c r="R394" i="1" s="1"/>
  <c r="Y394" i="1" s="1"/>
  <c r="M394" i="1"/>
  <c r="AA393" i="1"/>
  <c r="AB393" i="1" s="1"/>
  <c r="Y393" i="1"/>
  <c r="Z393" i="1" s="1"/>
  <c r="X393" i="1"/>
  <c r="U393" i="1"/>
  <c r="O393" i="1"/>
  <c r="P393" i="1" s="1"/>
  <c r="Q393" i="1" s="1"/>
  <c r="R393" i="1" s="1"/>
  <c r="M393" i="1"/>
  <c r="X392" i="1"/>
  <c r="U392" i="1"/>
  <c r="R392" i="1"/>
  <c r="Y392" i="1" s="1"/>
  <c r="Q392" i="1"/>
  <c r="P392" i="1"/>
  <c r="O392" i="1"/>
  <c r="M392" i="1"/>
  <c r="X391" i="1"/>
  <c r="U391" i="1"/>
  <c r="P391" i="1"/>
  <c r="Q391" i="1" s="1"/>
  <c r="R391" i="1" s="1"/>
  <c r="Y391" i="1" s="1"/>
  <c r="O391" i="1"/>
  <c r="M391" i="1"/>
  <c r="X390" i="1"/>
  <c r="U390" i="1"/>
  <c r="P390" i="1"/>
  <c r="Q390" i="1" s="1"/>
  <c r="R390" i="1" s="1"/>
  <c r="Y390" i="1" s="1"/>
  <c r="O390" i="1"/>
  <c r="M390" i="1"/>
  <c r="X389" i="1"/>
  <c r="U389" i="1"/>
  <c r="P389" i="1"/>
  <c r="Q389" i="1" s="1"/>
  <c r="R389" i="1" s="1"/>
  <c r="Y389" i="1" s="1"/>
  <c r="AA389" i="1" s="1"/>
  <c r="AB389" i="1" s="1"/>
  <c r="O389" i="1"/>
  <c r="M389" i="1"/>
  <c r="Y388" i="1"/>
  <c r="X388" i="1"/>
  <c r="U388" i="1"/>
  <c r="O388" i="1"/>
  <c r="P388" i="1" s="1"/>
  <c r="Q388" i="1" s="1"/>
  <c r="R388" i="1" s="1"/>
  <c r="M388" i="1"/>
  <c r="X387" i="1"/>
  <c r="U387" i="1"/>
  <c r="P387" i="1"/>
  <c r="Q387" i="1" s="1"/>
  <c r="R387" i="1" s="1"/>
  <c r="Y387" i="1" s="1"/>
  <c r="O387" i="1"/>
  <c r="M387" i="1"/>
  <c r="X386" i="1"/>
  <c r="U386" i="1"/>
  <c r="P386" i="1"/>
  <c r="Q386" i="1" s="1"/>
  <c r="R386" i="1" s="1"/>
  <c r="Y386" i="1" s="1"/>
  <c r="O386" i="1"/>
  <c r="M386" i="1"/>
  <c r="X385" i="1"/>
  <c r="U385" i="1"/>
  <c r="Q385" i="1"/>
  <c r="R385" i="1" s="1"/>
  <c r="Y385" i="1" s="1"/>
  <c r="O385" i="1"/>
  <c r="P385" i="1" s="1"/>
  <c r="M385" i="1"/>
  <c r="AB384" i="1"/>
  <c r="AA384" i="1"/>
  <c r="X384" i="1"/>
  <c r="U384" i="1"/>
  <c r="P384" i="1"/>
  <c r="Q384" i="1" s="1"/>
  <c r="R384" i="1" s="1"/>
  <c r="Y384" i="1" s="1"/>
  <c r="Z384" i="1" s="1"/>
  <c r="O384" i="1"/>
  <c r="M384" i="1"/>
  <c r="Y383" i="1"/>
  <c r="X383" i="1"/>
  <c r="U383" i="1"/>
  <c r="O383" i="1"/>
  <c r="P383" i="1" s="1"/>
  <c r="Q383" i="1" s="1"/>
  <c r="R383" i="1" s="1"/>
  <c r="M383" i="1"/>
  <c r="X382" i="1"/>
  <c r="U382" i="1"/>
  <c r="O382" i="1"/>
  <c r="P382" i="1" s="1"/>
  <c r="Q382" i="1" s="1"/>
  <c r="R382" i="1" s="1"/>
  <c r="Y382" i="1" s="1"/>
  <c r="M382" i="1"/>
  <c r="X381" i="1"/>
  <c r="Y381" i="1" s="1"/>
  <c r="U381" i="1"/>
  <c r="R381" i="1"/>
  <c r="Q381" i="1"/>
  <c r="O381" i="1"/>
  <c r="P381" i="1" s="1"/>
  <c r="M381" i="1"/>
  <c r="X380" i="1"/>
  <c r="U380" i="1"/>
  <c r="P380" i="1"/>
  <c r="Q380" i="1" s="1"/>
  <c r="R380" i="1" s="1"/>
  <c r="Y380" i="1" s="1"/>
  <c r="O380" i="1"/>
  <c r="M380" i="1"/>
  <c r="X379" i="1"/>
  <c r="U379" i="1"/>
  <c r="Q379" i="1"/>
  <c r="R379" i="1" s="1"/>
  <c r="Y379" i="1" s="1"/>
  <c r="P379" i="1"/>
  <c r="O379" i="1"/>
  <c r="M379" i="1"/>
  <c r="X378" i="1"/>
  <c r="U378" i="1"/>
  <c r="P378" i="1"/>
  <c r="Q378" i="1" s="1"/>
  <c r="R378" i="1" s="1"/>
  <c r="Y378" i="1" s="1"/>
  <c r="O378" i="1"/>
  <c r="M378" i="1"/>
  <c r="X377" i="1"/>
  <c r="U377" i="1"/>
  <c r="Q377" i="1"/>
  <c r="R377" i="1" s="1"/>
  <c r="Y377" i="1" s="1"/>
  <c r="Z377" i="1" s="1"/>
  <c r="O377" i="1"/>
  <c r="P377" i="1" s="1"/>
  <c r="M377" i="1"/>
  <c r="Z376" i="1"/>
  <c r="Y376" i="1"/>
  <c r="AA376" i="1" s="1"/>
  <c r="AB376" i="1" s="1"/>
  <c r="X376" i="1"/>
  <c r="U376" i="1"/>
  <c r="O376" i="1"/>
  <c r="P376" i="1" s="1"/>
  <c r="Q376" i="1" s="1"/>
  <c r="R376" i="1" s="1"/>
  <c r="M376" i="1"/>
  <c r="X375" i="1"/>
  <c r="U375" i="1"/>
  <c r="P375" i="1"/>
  <c r="Q375" i="1" s="1"/>
  <c r="R375" i="1" s="1"/>
  <c r="Y375" i="1" s="1"/>
  <c r="O375" i="1"/>
  <c r="M375" i="1"/>
  <c r="X374" i="1"/>
  <c r="U374" i="1"/>
  <c r="Q374" i="1"/>
  <c r="R374" i="1" s="1"/>
  <c r="Y374" i="1" s="1"/>
  <c r="O374" i="1"/>
  <c r="P374" i="1" s="1"/>
  <c r="M374" i="1"/>
  <c r="X373" i="1"/>
  <c r="U373" i="1"/>
  <c r="Q373" i="1"/>
  <c r="R373" i="1" s="1"/>
  <c r="Y373" i="1" s="1"/>
  <c r="P373" i="1"/>
  <c r="O373" i="1"/>
  <c r="M373" i="1"/>
  <c r="X372" i="1"/>
  <c r="U372" i="1"/>
  <c r="O372" i="1"/>
  <c r="P372" i="1" s="1"/>
  <c r="Q372" i="1" s="1"/>
  <c r="R372" i="1" s="1"/>
  <c r="Y372" i="1" s="1"/>
  <c r="M372" i="1"/>
  <c r="X371" i="1"/>
  <c r="U371" i="1"/>
  <c r="O371" i="1"/>
  <c r="P371" i="1" s="1"/>
  <c r="Q371" i="1" s="1"/>
  <c r="R371" i="1" s="1"/>
  <c r="Y371" i="1" s="1"/>
  <c r="M371" i="1"/>
  <c r="X370" i="1"/>
  <c r="U370" i="1"/>
  <c r="O370" i="1"/>
  <c r="P370" i="1" s="1"/>
  <c r="Q370" i="1" s="1"/>
  <c r="R370" i="1" s="1"/>
  <c r="Y370" i="1" s="1"/>
  <c r="M370" i="1"/>
  <c r="X369" i="1"/>
  <c r="U369" i="1"/>
  <c r="O369" i="1"/>
  <c r="P369" i="1" s="1"/>
  <c r="Q369" i="1" s="1"/>
  <c r="R369" i="1" s="1"/>
  <c r="Y369" i="1" s="1"/>
  <c r="AA369" i="1" s="1"/>
  <c r="AB369" i="1" s="1"/>
  <c r="M369" i="1"/>
  <c r="X368" i="1"/>
  <c r="Y368" i="1" s="1"/>
  <c r="U368" i="1"/>
  <c r="Q368" i="1"/>
  <c r="R368" i="1" s="1"/>
  <c r="P368" i="1"/>
  <c r="O368" i="1"/>
  <c r="M368" i="1"/>
  <c r="X367" i="1"/>
  <c r="U367" i="1"/>
  <c r="P367" i="1"/>
  <c r="Q367" i="1" s="1"/>
  <c r="R367" i="1" s="1"/>
  <c r="Y367" i="1" s="1"/>
  <c r="O367" i="1"/>
  <c r="M367" i="1"/>
  <c r="X366" i="1"/>
  <c r="U366" i="1"/>
  <c r="R366" i="1"/>
  <c r="Y366" i="1" s="1"/>
  <c r="O366" i="1"/>
  <c r="P366" i="1" s="1"/>
  <c r="Q366" i="1" s="1"/>
  <c r="M366" i="1"/>
  <c r="AA365" i="1"/>
  <c r="AB365" i="1" s="1"/>
  <c r="Z365" i="1"/>
  <c r="M365" i="1"/>
  <c r="X364" i="1"/>
  <c r="U364" i="1"/>
  <c r="Q364" i="1"/>
  <c r="R364" i="1" s="1"/>
  <c r="Y364" i="1" s="1"/>
  <c r="O364" i="1"/>
  <c r="P364" i="1" s="1"/>
  <c r="M364" i="1"/>
  <c r="Y363" i="1"/>
  <c r="X363" i="1"/>
  <c r="U363" i="1"/>
  <c r="R363" i="1"/>
  <c r="Q363" i="1"/>
  <c r="P363" i="1"/>
  <c r="O363" i="1"/>
  <c r="M363" i="1"/>
  <c r="X362" i="1"/>
  <c r="U362" i="1"/>
  <c r="R362" i="1"/>
  <c r="Q362" i="1"/>
  <c r="P362" i="1"/>
  <c r="O362" i="1"/>
  <c r="M362" i="1"/>
  <c r="X361" i="1"/>
  <c r="U361" i="1"/>
  <c r="P361" i="1"/>
  <c r="Q361" i="1" s="1"/>
  <c r="R361" i="1" s="1"/>
  <c r="Y361" i="1" s="1"/>
  <c r="O361" i="1"/>
  <c r="M361" i="1"/>
  <c r="X360" i="1"/>
  <c r="U360" i="1"/>
  <c r="Q360" i="1"/>
  <c r="R360" i="1" s="1"/>
  <c r="Y360" i="1" s="1"/>
  <c r="O360" i="1"/>
  <c r="P360" i="1" s="1"/>
  <c r="M360" i="1"/>
  <c r="X359" i="1"/>
  <c r="U359" i="1"/>
  <c r="Q359" i="1"/>
  <c r="R359" i="1" s="1"/>
  <c r="Y359" i="1" s="1"/>
  <c r="Z359" i="1" s="1"/>
  <c r="P359" i="1"/>
  <c r="O359" i="1"/>
  <c r="M359" i="1"/>
  <c r="X358" i="1"/>
  <c r="U358" i="1"/>
  <c r="O358" i="1"/>
  <c r="P358" i="1" s="1"/>
  <c r="Q358" i="1" s="1"/>
  <c r="R358" i="1" s="1"/>
  <c r="Y358" i="1" s="1"/>
  <c r="M358" i="1"/>
  <c r="X357" i="1"/>
  <c r="U357" i="1"/>
  <c r="R357" i="1"/>
  <c r="Y357" i="1" s="1"/>
  <c r="O357" i="1"/>
  <c r="P357" i="1" s="1"/>
  <c r="Q357" i="1" s="1"/>
  <c r="M357" i="1"/>
  <c r="X356" i="1"/>
  <c r="U356" i="1"/>
  <c r="Q356" i="1"/>
  <c r="R356" i="1" s="1"/>
  <c r="Y356" i="1" s="1"/>
  <c r="O356" i="1"/>
  <c r="P356" i="1" s="1"/>
  <c r="M356" i="1"/>
  <c r="X355" i="1"/>
  <c r="U355" i="1"/>
  <c r="P355" i="1"/>
  <c r="Q355" i="1" s="1"/>
  <c r="R355" i="1" s="1"/>
  <c r="Y355" i="1" s="1"/>
  <c r="AA355" i="1" s="1"/>
  <c r="AB355" i="1" s="1"/>
  <c r="O355" i="1"/>
  <c r="M355" i="1"/>
  <c r="X354" i="1"/>
  <c r="U354" i="1"/>
  <c r="Q354" i="1"/>
  <c r="R354" i="1" s="1"/>
  <c r="Y354" i="1" s="1"/>
  <c r="O354" i="1"/>
  <c r="P354" i="1" s="1"/>
  <c r="M354" i="1"/>
  <c r="X353" i="1"/>
  <c r="U353" i="1"/>
  <c r="O353" i="1"/>
  <c r="P353" i="1" s="1"/>
  <c r="Q353" i="1" s="1"/>
  <c r="R353" i="1" s="1"/>
  <c r="Y353" i="1" s="1"/>
  <c r="M353" i="1"/>
  <c r="X352" i="1"/>
  <c r="U352" i="1"/>
  <c r="O352" i="1"/>
  <c r="P352" i="1" s="1"/>
  <c r="Q352" i="1" s="1"/>
  <c r="R352" i="1" s="1"/>
  <c r="Y352" i="1" s="1"/>
  <c r="M352" i="1"/>
  <c r="X351" i="1"/>
  <c r="U351" i="1"/>
  <c r="O351" i="1"/>
  <c r="P351" i="1" s="1"/>
  <c r="Q351" i="1" s="1"/>
  <c r="R351" i="1" s="1"/>
  <c r="Y351" i="1" s="1"/>
  <c r="M351" i="1"/>
  <c r="X350" i="1"/>
  <c r="U350" i="1"/>
  <c r="Q350" i="1"/>
  <c r="R350" i="1" s="1"/>
  <c r="Y350" i="1" s="1"/>
  <c r="O350" i="1"/>
  <c r="P350" i="1" s="1"/>
  <c r="M350" i="1"/>
  <c r="X349" i="1"/>
  <c r="U349" i="1"/>
  <c r="R349" i="1"/>
  <c r="Y349" i="1" s="1"/>
  <c r="P349" i="1"/>
  <c r="Q349" i="1" s="1"/>
  <c r="O349" i="1"/>
  <c r="M349" i="1"/>
  <c r="X348" i="1"/>
  <c r="U348" i="1"/>
  <c r="O348" i="1"/>
  <c r="P348" i="1" s="1"/>
  <c r="Q348" i="1" s="1"/>
  <c r="R348" i="1" s="1"/>
  <c r="Y348" i="1" s="1"/>
  <c r="M348" i="1"/>
  <c r="X347" i="1"/>
  <c r="U347" i="1"/>
  <c r="O347" i="1"/>
  <c r="P347" i="1" s="1"/>
  <c r="Q347" i="1" s="1"/>
  <c r="R347" i="1" s="1"/>
  <c r="Y347" i="1" s="1"/>
  <c r="Z347" i="1" s="1"/>
  <c r="M347" i="1"/>
  <c r="Y346" i="1"/>
  <c r="X346" i="1"/>
  <c r="U346" i="1"/>
  <c r="O346" i="1"/>
  <c r="P346" i="1" s="1"/>
  <c r="Q346" i="1" s="1"/>
  <c r="R346" i="1" s="1"/>
  <c r="M346" i="1"/>
  <c r="X345" i="1"/>
  <c r="U345" i="1"/>
  <c r="O345" i="1"/>
  <c r="P345" i="1" s="1"/>
  <c r="Q345" i="1" s="1"/>
  <c r="R345" i="1" s="1"/>
  <c r="Y345" i="1" s="1"/>
  <c r="M345" i="1"/>
  <c r="X344" i="1"/>
  <c r="U344" i="1"/>
  <c r="O344" i="1"/>
  <c r="P344" i="1" s="1"/>
  <c r="Q344" i="1" s="1"/>
  <c r="R344" i="1" s="1"/>
  <c r="Y344" i="1" s="1"/>
  <c r="M344" i="1"/>
  <c r="AA343" i="1"/>
  <c r="AB343" i="1" s="1"/>
  <c r="X343" i="1"/>
  <c r="U343" i="1"/>
  <c r="P343" i="1"/>
  <c r="Q343" i="1" s="1"/>
  <c r="R343" i="1" s="1"/>
  <c r="Y343" i="1" s="1"/>
  <c r="Z343" i="1" s="1"/>
  <c r="O343" i="1"/>
  <c r="M343" i="1"/>
  <c r="X342" i="1"/>
  <c r="U342" i="1"/>
  <c r="O342" i="1"/>
  <c r="P342" i="1" s="1"/>
  <c r="Q342" i="1" s="1"/>
  <c r="R342" i="1" s="1"/>
  <c r="Y342" i="1" s="1"/>
  <c r="M342" i="1"/>
  <c r="X341" i="1"/>
  <c r="U341" i="1"/>
  <c r="P341" i="1"/>
  <c r="Q341" i="1" s="1"/>
  <c r="R341" i="1" s="1"/>
  <c r="Y341" i="1" s="1"/>
  <c r="O341" i="1"/>
  <c r="M341" i="1"/>
  <c r="X340" i="1"/>
  <c r="U340" i="1"/>
  <c r="P340" i="1"/>
  <c r="Q340" i="1" s="1"/>
  <c r="R340" i="1" s="1"/>
  <c r="Y340" i="1" s="1"/>
  <c r="O340" i="1"/>
  <c r="M340" i="1"/>
  <c r="X339" i="1"/>
  <c r="U339" i="1"/>
  <c r="R339" i="1"/>
  <c r="Y339" i="1" s="1"/>
  <c r="O339" i="1"/>
  <c r="P339" i="1" s="1"/>
  <c r="Q339" i="1" s="1"/>
  <c r="M339" i="1"/>
  <c r="X338" i="1"/>
  <c r="U338" i="1"/>
  <c r="R338" i="1"/>
  <c r="Y338" i="1" s="1"/>
  <c r="Q338" i="1"/>
  <c r="P338" i="1"/>
  <c r="O338" i="1"/>
  <c r="M338" i="1"/>
  <c r="X337" i="1"/>
  <c r="U337" i="1"/>
  <c r="Q337" i="1"/>
  <c r="R337" i="1" s="1"/>
  <c r="Y337" i="1" s="1"/>
  <c r="AA337" i="1" s="1"/>
  <c r="AB337" i="1" s="1"/>
  <c r="P337" i="1"/>
  <c r="O337" i="1"/>
  <c r="M337" i="1"/>
  <c r="X336" i="1"/>
  <c r="U336" i="1"/>
  <c r="P336" i="1"/>
  <c r="Q336" i="1" s="1"/>
  <c r="R336" i="1" s="1"/>
  <c r="Y336" i="1" s="1"/>
  <c r="O336" i="1"/>
  <c r="M336" i="1"/>
  <c r="Y335" i="1"/>
  <c r="X335" i="1"/>
  <c r="U335" i="1"/>
  <c r="O335" i="1"/>
  <c r="P335" i="1" s="1"/>
  <c r="Q335" i="1" s="1"/>
  <c r="R335" i="1" s="1"/>
  <c r="M335" i="1"/>
  <c r="X334" i="1"/>
  <c r="U334" i="1"/>
  <c r="P334" i="1"/>
  <c r="Q334" i="1" s="1"/>
  <c r="R334" i="1" s="1"/>
  <c r="Y334" i="1" s="1"/>
  <c r="O334" i="1"/>
  <c r="M334" i="1"/>
  <c r="X333" i="1"/>
  <c r="U333" i="1"/>
  <c r="O333" i="1"/>
  <c r="P333" i="1" s="1"/>
  <c r="Q333" i="1" s="1"/>
  <c r="R333" i="1" s="1"/>
  <c r="Y333" i="1" s="1"/>
  <c r="M333" i="1"/>
  <c r="X332" i="1"/>
  <c r="U332" i="1"/>
  <c r="Q332" i="1"/>
  <c r="R332" i="1" s="1"/>
  <c r="Y332" i="1" s="1"/>
  <c r="P332" i="1"/>
  <c r="O332" i="1"/>
  <c r="M332" i="1"/>
  <c r="AA331" i="1"/>
  <c r="AB331" i="1" s="1"/>
  <c r="Z331" i="1"/>
  <c r="X331" i="1"/>
  <c r="U331" i="1"/>
  <c r="O331" i="1"/>
  <c r="P331" i="1" s="1"/>
  <c r="Q331" i="1" s="1"/>
  <c r="R331" i="1" s="1"/>
  <c r="Y331" i="1" s="1"/>
  <c r="M331" i="1"/>
  <c r="X330" i="1"/>
  <c r="U330" i="1"/>
  <c r="O330" i="1"/>
  <c r="P330" i="1" s="1"/>
  <c r="Q330" i="1" s="1"/>
  <c r="R330" i="1" s="1"/>
  <c r="Y330" i="1" s="1"/>
  <c r="M330" i="1"/>
  <c r="X329" i="1"/>
  <c r="U329" i="1"/>
  <c r="O329" i="1"/>
  <c r="P329" i="1" s="1"/>
  <c r="Q329" i="1" s="1"/>
  <c r="R329" i="1" s="1"/>
  <c r="Y329" i="1" s="1"/>
  <c r="M329" i="1"/>
  <c r="X328" i="1"/>
  <c r="U328" i="1"/>
  <c r="O328" i="1"/>
  <c r="P328" i="1" s="1"/>
  <c r="Q328" i="1" s="1"/>
  <c r="R328" i="1" s="1"/>
  <c r="Y328" i="1" s="1"/>
  <c r="M328" i="1"/>
  <c r="X327" i="1"/>
  <c r="U327" i="1"/>
  <c r="O327" i="1"/>
  <c r="P327" i="1" s="1"/>
  <c r="Q327" i="1" s="1"/>
  <c r="R327" i="1" s="1"/>
  <c r="Y327" i="1" s="1"/>
  <c r="M327" i="1"/>
  <c r="X326" i="1"/>
  <c r="U326" i="1"/>
  <c r="Q326" i="1"/>
  <c r="R326" i="1" s="1"/>
  <c r="Y326" i="1" s="1"/>
  <c r="AA326" i="1" s="1"/>
  <c r="AB326" i="1" s="1"/>
  <c r="O326" i="1"/>
  <c r="P326" i="1" s="1"/>
  <c r="M326" i="1"/>
  <c r="Y325" i="1"/>
  <c r="AA325" i="1" s="1"/>
  <c r="AB325" i="1" s="1"/>
  <c r="X325" i="1"/>
  <c r="U325" i="1"/>
  <c r="P325" i="1"/>
  <c r="Q325" i="1" s="1"/>
  <c r="R325" i="1" s="1"/>
  <c r="O325" i="1"/>
  <c r="M325" i="1"/>
  <c r="X324" i="1"/>
  <c r="U324" i="1"/>
  <c r="O324" i="1"/>
  <c r="P324" i="1" s="1"/>
  <c r="Q324" i="1" s="1"/>
  <c r="R324" i="1" s="1"/>
  <c r="Y324" i="1" s="1"/>
  <c r="M324" i="1"/>
  <c r="X323" i="1"/>
  <c r="U323" i="1"/>
  <c r="O323" i="1"/>
  <c r="P323" i="1" s="1"/>
  <c r="Q323" i="1" s="1"/>
  <c r="R323" i="1" s="1"/>
  <c r="Y323" i="1" s="1"/>
  <c r="M323" i="1"/>
  <c r="X322" i="1"/>
  <c r="U322" i="1"/>
  <c r="R322" i="1"/>
  <c r="Y322" i="1" s="1"/>
  <c r="O322" i="1"/>
  <c r="P322" i="1" s="1"/>
  <c r="Q322" i="1" s="1"/>
  <c r="M322" i="1"/>
  <c r="X321" i="1"/>
  <c r="U321" i="1"/>
  <c r="O321" i="1"/>
  <c r="P321" i="1" s="1"/>
  <c r="Q321" i="1" s="1"/>
  <c r="R321" i="1" s="1"/>
  <c r="Y321" i="1" s="1"/>
  <c r="M321" i="1"/>
  <c r="X320" i="1"/>
  <c r="U320" i="1"/>
  <c r="O320" i="1"/>
  <c r="P320" i="1" s="1"/>
  <c r="Q320" i="1" s="1"/>
  <c r="R320" i="1" s="1"/>
  <c r="Y320" i="1" s="1"/>
  <c r="M320" i="1"/>
  <c r="X319" i="1"/>
  <c r="U319" i="1"/>
  <c r="O319" i="1"/>
  <c r="P319" i="1" s="1"/>
  <c r="Q319" i="1" s="1"/>
  <c r="R319" i="1" s="1"/>
  <c r="Y319" i="1" s="1"/>
  <c r="M319" i="1"/>
  <c r="X318" i="1"/>
  <c r="U318" i="1"/>
  <c r="Q318" i="1"/>
  <c r="R318" i="1" s="1"/>
  <c r="Y318" i="1" s="1"/>
  <c r="O318" i="1"/>
  <c r="P318" i="1" s="1"/>
  <c r="M318" i="1"/>
  <c r="X317" i="1"/>
  <c r="U317" i="1"/>
  <c r="O317" i="1"/>
  <c r="P317" i="1" s="1"/>
  <c r="Q317" i="1" s="1"/>
  <c r="R317" i="1" s="1"/>
  <c r="Y317" i="1" s="1"/>
  <c r="M317" i="1"/>
  <c r="X316" i="1"/>
  <c r="U316" i="1"/>
  <c r="P316" i="1"/>
  <c r="Q316" i="1" s="1"/>
  <c r="R316" i="1" s="1"/>
  <c r="Y316" i="1" s="1"/>
  <c r="O316" i="1"/>
  <c r="M316" i="1"/>
  <c r="AA315" i="1"/>
  <c r="AB315" i="1" s="1"/>
  <c r="X315" i="1"/>
  <c r="U315" i="1"/>
  <c r="R315" i="1"/>
  <c r="Y315" i="1" s="1"/>
  <c r="Z315" i="1" s="1"/>
  <c r="O315" i="1"/>
  <c r="P315" i="1" s="1"/>
  <c r="Q315" i="1" s="1"/>
  <c r="M315" i="1"/>
  <c r="X314" i="1"/>
  <c r="Y314" i="1" s="1"/>
  <c r="U314" i="1"/>
  <c r="O314" i="1"/>
  <c r="P314" i="1" s="1"/>
  <c r="Q314" i="1" s="1"/>
  <c r="R314" i="1" s="1"/>
  <c r="M314" i="1"/>
  <c r="X313" i="1"/>
  <c r="U313" i="1"/>
  <c r="P313" i="1"/>
  <c r="Q313" i="1" s="1"/>
  <c r="R313" i="1" s="1"/>
  <c r="Y313" i="1" s="1"/>
  <c r="O313" i="1"/>
  <c r="M313" i="1"/>
  <c r="X312" i="1"/>
  <c r="U312" i="1"/>
  <c r="Q312" i="1"/>
  <c r="R312" i="1" s="1"/>
  <c r="Y312" i="1" s="1"/>
  <c r="O312" i="1"/>
  <c r="P312" i="1" s="1"/>
  <c r="M312" i="1"/>
  <c r="X311" i="1"/>
  <c r="U311" i="1"/>
  <c r="O311" i="1"/>
  <c r="P311" i="1" s="1"/>
  <c r="Q311" i="1" s="1"/>
  <c r="R311" i="1" s="1"/>
  <c r="Y311" i="1" s="1"/>
  <c r="M311" i="1"/>
  <c r="X310" i="1"/>
  <c r="U310" i="1"/>
  <c r="P310" i="1"/>
  <c r="Q310" i="1" s="1"/>
  <c r="R310" i="1" s="1"/>
  <c r="Y310" i="1" s="1"/>
  <c r="O310" i="1"/>
  <c r="M310" i="1"/>
  <c r="X309" i="1"/>
  <c r="U309" i="1"/>
  <c r="P309" i="1"/>
  <c r="Q309" i="1" s="1"/>
  <c r="R309" i="1" s="1"/>
  <c r="Y309" i="1" s="1"/>
  <c r="O309" i="1"/>
  <c r="M309" i="1"/>
  <c r="X308" i="1"/>
  <c r="U308" i="1"/>
  <c r="R308" i="1"/>
  <c r="Y308" i="1" s="1"/>
  <c r="O308" i="1"/>
  <c r="P308" i="1" s="1"/>
  <c r="Q308" i="1" s="1"/>
  <c r="M308" i="1"/>
  <c r="X307" i="1"/>
  <c r="U307" i="1"/>
  <c r="P307" i="1"/>
  <c r="Q307" i="1" s="1"/>
  <c r="R307" i="1" s="1"/>
  <c r="Y307" i="1" s="1"/>
  <c r="O307" i="1"/>
  <c r="M307" i="1"/>
  <c r="X306" i="1"/>
  <c r="U306" i="1"/>
  <c r="O306" i="1"/>
  <c r="P306" i="1" s="1"/>
  <c r="Q306" i="1" s="1"/>
  <c r="R306" i="1" s="1"/>
  <c r="Y306" i="1" s="1"/>
  <c r="M306" i="1"/>
  <c r="X305" i="1"/>
  <c r="U305" i="1"/>
  <c r="O305" i="1"/>
  <c r="P305" i="1" s="1"/>
  <c r="Q305" i="1" s="1"/>
  <c r="R305" i="1" s="1"/>
  <c r="Y305" i="1" s="1"/>
  <c r="M305" i="1"/>
  <c r="X304" i="1"/>
  <c r="U304" i="1"/>
  <c r="P304" i="1"/>
  <c r="Q304" i="1" s="1"/>
  <c r="R304" i="1" s="1"/>
  <c r="Y304" i="1" s="1"/>
  <c r="O304" i="1"/>
  <c r="M304" i="1"/>
  <c r="X303" i="1"/>
  <c r="U303" i="1"/>
  <c r="O303" i="1"/>
  <c r="P303" i="1" s="1"/>
  <c r="Q303" i="1" s="1"/>
  <c r="R303" i="1" s="1"/>
  <c r="Y303" i="1" s="1"/>
  <c r="M303" i="1"/>
  <c r="X302" i="1"/>
  <c r="U302" i="1"/>
  <c r="O302" i="1"/>
  <c r="P302" i="1" s="1"/>
  <c r="Q302" i="1" s="1"/>
  <c r="R302" i="1" s="1"/>
  <c r="M302" i="1"/>
  <c r="X301" i="1"/>
  <c r="U301" i="1"/>
  <c r="P301" i="1"/>
  <c r="Q301" i="1" s="1"/>
  <c r="R301" i="1" s="1"/>
  <c r="Y301" i="1" s="1"/>
  <c r="O301" i="1"/>
  <c r="M301" i="1"/>
  <c r="X300" i="1"/>
  <c r="U300" i="1"/>
  <c r="O300" i="1"/>
  <c r="P300" i="1" s="1"/>
  <c r="Q300" i="1" s="1"/>
  <c r="R300" i="1" s="1"/>
  <c r="Y300" i="1" s="1"/>
  <c r="M300" i="1"/>
  <c r="X299" i="1"/>
  <c r="U299" i="1"/>
  <c r="O299" i="1"/>
  <c r="P299" i="1" s="1"/>
  <c r="Q299" i="1" s="1"/>
  <c r="R299" i="1" s="1"/>
  <c r="Y299" i="1" s="1"/>
  <c r="M299" i="1"/>
  <c r="Z298" i="1"/>
  <c r="X298" i="1"/>
  <c r="U298" i="1"/>
  <c r="Q298" i="1"/>
  <c r="R298" i="1" s="1"/>
  <c r="Y298" i="1" s="1"/>
  <c r="AA298" i="1" s="1"/>
  <c r="AB298" i="1" s="1"/>
  <c r="P298" i="1"/>
  <c r="O298" i="1"/>
  <c r="M298" i="1"/>
  <c r="X297" i="1"/>
  <c r="U297" i="1"/>
  <c r="O297" i="1"/>
  <c r="P297" i="1" s="1"/>
  <c r="Q297" i="1" s="1"/>
  <c r="R297" i="1" s="1"/>
  <c r="Y297" i="1" s="1"/>
  <c r="M297" i="1"/>
  <c r="X296" i="1"/>
  <c r="U296" i="1"/>
  <c r="R296" i="1"/>
  <c r="Y296" i="1" s="1"/>
  <c r="P296" i="1"/>
  <c r="Q296" i="1" s="1"/>
  <c r="O296" i="1"/>
  <c r="M296" i="1"/>
  <c r="X295" i="1"/>
  <c r="U295" i="1"/>
  <c r="O295" i="1"/>
  <c r="P295" i="1" s="1"/>
  <c r="Q295" i="1" s="1"/>
  <c r="R295" i="1" s="1"/>
  <c r="Y295" i="1" s="1"/>
  <c r="M295" i="1"/>
  <c r="X294" i="1"/>
  <c r="U294" i="1"/>
  <c r="O294" i="1"/>
  <c r="P294" i="1" s="1"/>
  <c r="Q294" i="1" s="1"/>
  <c r="R294" i="1" s="1"/>
  <c r="Y294" i="1" s="1"/>
  <c r="M294" i="1"/>
  <c r="X293" i="1"/>
  <c r="U293" i="1"/>
  <c r="P293" i="1"/>
  <c r="Q293" i="1" s="1"/>
  <c r="R293" i="1" s="1"/>
  <c r="Y293" i="1" s="1"/>
  <c r="O293" i="1"/>
  <c r="M293" i="1"/>
  <c r="AA292" i="1"/>
  <c r="AB292" i="1" s="1"/>
  <c r="X292" i="1"/>
  <c r="U292" i="1"/>
  <c r="O292" i="1"/>
  <c r="P292" i="1" s="1"/>
  <c r="Q292" i="1" s="1"/>
  <c r="R292" i="1" s="1"/>
  <c r="Y292" i="1" s="1"/>
  <c r="Z292" i="1" s="1"/>
  <c r="M292" i="1"/>
  <c r="X291" i="1"/>
  <c r="U291" i="1"/>
  <c r="Q291" i="1"/>
  <c r="R291" i="1" s="1"/>
  <c r="Y291" i="1" s="1"/>
  <c r="P291" i="1"/>
  <c r="O291" i="1"/>
  <c r="M291" i="1"/>
  <c r="X290" i="1"/>
  <c r="U290" i="1"/>
  <c r="P290" i="1"/>
  <c r="Q290" i="1" s="1"/>
  <c r="R290" i="1" s="1"/>
  <c r="Y290" i="1" s="1"/>
  <c r="O290" i="1"/>
  <c r="M290" i="1"/>
  <c r="X289" i="1"/>
  <c r="Y289" i="1" s="1"/>
  <c r="U289" i="1"/>
  <c r="O289" i="1"/>
  <c r="P289" i="1" s="1"/>
  <c r="Q289" i="1" s="1"/>
  <c r="R289" i="1" s="1"/>
  <c r="M289" i="1"/>
  <c r="X288" i="1"/>
  <c r="U288" i="1"/>
  <c r="O288" i="1"/>
  <c r="P288" i="1" s="1"/>
  <c r="Q288" i="1" s="1"/>
  <c r="R288" i="1" s="1"/>
  <c r="Y288" i="1" s="1"/>
  <c r="M288" i="1"/>
  <c r="X287" i="1"/>
  <c r="U287" i="1"/>
  <c r="O287" i="1"/>
  <c r="P287" i="1" s="1"/>
  <c r="Q287" i="1" s="1"/>
  <c r="R287" i="1" s="1"/>
  <c r="Y287" i="1" s="1"/>
  <c r="M287" i="1"/>
  <c r="X286" i="1"/>
  <c r="U286" i="1"/>
  <c r="O286" i="1"/>
  <c r="P286" i="1" s="1"/>
  <c r="Q286" i="1" s="1"/>
  <c r="R286" i="1" s="1"/>
  <c r="Y286" i="1" s="1"/>
  <c r="M286" i="1"/>
  <c r="X285" i="1"/>
  <c r="U285" i="1"/>
  <c r="P285" i="1"/>
  <c r="Q285" i="1" s="1"/>
  <c r="R285" i="1" s="1"/>
  <c r="O285" i="1"/>
  <c r="M285" i="1"/>
  <c r="X284" i="1"/>
  <c r="U284" i="1"/>
  <c r="Q284" i="1"/>
  <c r="R284" i="1" s="1"/>
  <c r="Y284" i="1" s="1"/>
  <c r="P284" i="1"/>
  <c r="O284" i="1"/>
  <c r="M284" i="1"/>
  <c r="X283" i="1"/>
  <c r="U283" i="1"/>
  <c r="O283" i="1"/>
  <c r="P283" i="1" s="1"/>
  <c r="Q283" i="1" s="1"/>
  <c r="R283" i="1" s="1"/>
  <c r="Y283" i="1" s="1"/>
  <c r="M283" i="1"/>
  <c r="X282" i="1"/>
  <c r="U282" i="1"/>
  <c r="O282" i="1"/>
  <c r="P282" i="1" s="1"/>
  <c r="Q282" i="1" s="1"/>
  <c r="R282" i="1" s="1"/>
  <c r="Y282" i="1" s="1"/>
  <c r="M282" i="1"/>
  <c r="X281" i="1"/>
  <c r="U281" i="1"/>
  <c r="O281" i="1"/>
  <c r="P281" i="1" s="1"/>
  <c r="Q281" i="1" s="1"/>
  <c r="R281" i="1" s="1"/>
  <c r="Y281" i="1" s="1"/>
  <c r="M281" i="1"/>
  <c r="AA280" i="1"/>
  <c r="AB280" i="1" s="1"/>
  <c r="X280" i="1"/>
  <c r="U280" i="1"/>
  <c r="O280" i="1"/>
  <c r="P280" i="1" s="1"/>
  <c r="Q280" i="1" s="1"/>
  <c r="R280" i="1" s="1"/>
  <c r="Y280" i="1" s="1"/>
  <c r="Z280" i="1" s="1"/>
  <c r="M280" i="1"/>
  <c r="X279" i="1"/>
  <c r="U279" i="1"/>
  <c r="Q279" i="1"/>
  <c r="R279" i="1" s="1"/>
  <c r="Y279" i="1" s="1"/>
  <c r="AA279" i="1" s="1"/>
  <c r="AB279" i="1" s="1"/>
  <c r="P279" i="1"/>
  <c r="O279" i="1"/>
  <c r="M279" i="1"/>
  <c r="AA278" i="1"/>
  <c r="AB278" i="1" s="1"/>
  <c r="Z278" i="1"/>
  <c r="X278" i="1"/>
  <c r="U278" i="1"/>
  <c r="P278" i="1"/>
  <c r="Q278" i="1" s="1"/>
  <c r="R278" i="1" s="1"/>
  <c r="Y278" i="1" s="1"/>
  <c r="O278" i="1"/>
  <c r="M278" i="1"/>
  <c r="AA277" i="1"/>
  <c r="AB277" i="1" s="1"/>
  <c r="Z277" i="1"/>
  <c r="X277" i="1"/>
  <c r="Y277" i="1" s="1"/>
  <c r="U277" i="1"/>
  <c r="O277" i="1"/>
  <c r="P277" i="1" s="1"/>
  <c r="Q277" i="1" s="1"/>
  <c r="R277" i="1" s="1"/>
  <c r="M277" i="1"/>
  <c r="X276" i="1"/>
  <c r="U276" i="1"/>
  <c r="O276" i="1"/>
  <c r="P276" i="1" s="1"/>
  <c r="Q276" i="1" s="1"/>
  <c r="R276" i="1" s="1"/>
  <c r="Y276" i="1" s="1"/>
  <c r="M276" i="1"/>
  <c r="X275" i="1"/>
  <c r="U275" i="1"/>
  <c r="O275" i="1"/>
  <c r="P275" i="1" s="1"/>
  <c r="Q275" i="1" s="1"/>
  <c r="R275" i="1" s="1"/>
  <c r="Y275" i="1" s="1"/>
  <c r="M275" i="1"/>
  <c r="X274" i="1"/>
  <c r="U274" i="1"/>
  <c r="Q274" i="1"/>
  <c r="R274" i="1" s="1"/>
  <c r="Y274" i="1" s="1"/>
  <c r="O274" i="1"/>
  <c r="P274" i="1" s="1"/>
  <c r="M274" i="1"/>
  <c r="X273" i="1"/>
  <c r="U273" i="1"/>
  <c r="P273" i="1"/>
  <c r="Q273" i="1" s="1"/>
  <c r="R273" i="1" s="1"/>
  <c r="Y273" i="1" s="1"/>
  <c r="O273" i="1"/>
  <c r="M273" i="1"/>
  <c r="X272" i="1"/>
  <c r="U272" i="1"/>
  <c r="O272" i="1"/>
  <c r="P272" i="1" s="1"/>
  <c r="Q272" i="1" s="1"/>
  <c r="R272" i="1" s="1"/>
  <c r="Y272" i="1" s="1"/>
  <c r="M272" i="1"/>
  <c r="X271" i="1"/>
  <c r="U271" i="1"/>
  <c r="O271" i="1"/>
  <c r="P271" i="1" s="1"/>
  <c r="Q271" i="1" s="1"/>
  <c r="R271" i="1" s="1"/>
  <c r="Y271" i="1" s="1"/>
  <c r="M271" i="1"/>
  <c r="X270" i="1"/>
  <c r="U270" i="1"/>
  <c r="P270" i="1"/>
  <c r="Q270" i="1" s="1"/>
  <c r="R270" i="1" s="1"/>
  <c r="Y270" i="1" s="1"/>
  <c r="O270" i="1"/>
  <c r="M270" i="1"/>
  <c r="X269" i="1"/>
  <c r="U269" i="1"/>
  <c r="O269" i="1"/>
  <c r="P269" i="1" s="1"/>
  <c r="Q269" i="1" s="1"/>
  <c r="R269" i="1" s="1"/>
  <c r="Y269" i="1" s="1"/>
  <c r="M269" i="1"/>
  <c r="AB268" i="1"/>
  <c r="AA268" i="1"/>
  <c r="X268" i="1"/>
  <c r="U268" i="1"/>
  <c r="O268" i="1"/>
  <c r="P268" i="1" s="1"/>
  <c r="Q268" i="1" s="1"/>
  <c r="R268" i="1" s="1"/>
  <c r="Y268" i="1" s="1"/>
  <c r="Z268" i="1" s="1"/>
  <c r="M268" i="1"/>
  <c r="X267" i="1"/>
  <c r="U267" i="1"/>
  <c r="Q267" i="1"/>
  <c r="R267" i="1" s="1"/>
  <c r="Y267" i="1" s="1"/>
  <c r="P267" i="1"/>
  <c r="O267" i="1"/>
  <c r="M267" i="1"/>
  <c r="X266" i="1"/>
  <c r="U266" i="1"/>
  <c r="P266" i="1"/>
  <c r="Q266" i="1" s="1"/>
  <c r="R266" i="1" s="1"/>
  <c r="Y266" i="1" s="1"/>
  <c r="O266" i="1"/>
  <c r="M266" i="1"/>
  <c r="Y265" i="1"/>
  <c r="X265" i="1"/>
  <c r="U265" i="1"/>
  <c r="O265" i="1"/>
  <c r="P265" i="1" s="1"/>
  <c r="Q265" i="1" s="1"/>
  <c r="R265" i="1" s="1"/>
  <c r="M265" i="1"/>
  <c r="X264" i="1"/>
  <c r="U264" i="1"/>
  <c r="O264" i="1"/>
  <c r="P264" i="1" s="1"/>
  <c r="Q264" i="1" s="1"/>
  <c r="R264" i="1" s="1"/>
  <c r="Y264" i="1" s="1"/>
  <c r="M264" i="1"/>
  <c r="X263" i="1"/>
  <c r="U263" i="1"/>
  <c r="O263" i="1"/>
  <c r="P263" i="1" s="1"/>
  <c r="Q263" i="1" s="1"/>
  <c r="R263" i="1" s="1"/>
  <c r="Y263" i="1" s="1"/>
  <c r="M263" i="1"/>
  <c r="X262" i="1"/>
  <c r="U262" i="1"/>
  <c r="Q262" i="1"/>
  <c r="R262" i="1" s="1"/>
  <c r="Y262" i="1" s="1"/>
  <c r="O262" i="1"/>
  <c r="P262" i="1" s="1"/>
  <c r="M262" i="1"/>
  <c r="X261" i="1"/>
  <c r="U261" i="1"/>
  <c r="P261" i="1"/>
  <c r="Q261" i="1" s="1"/>
  <c r="R261" i="1" s="1"/>
  <c r="Y261" i="1" s="1"/>
  <c r="O261" i="1"/>
  <c r="M261" i="1"/>
  <c r="Z260" i="1"/>
  <c r="X260" i="1"/>
  <c r="U260" i="1"/>
  <c r="O260" i="1"/>
  <c r="P260" i="1" s="1"/>
  <c r="Q260" i="1" s="1"/>
  <c r="R260" i="1" s="1"/>
  <c r="Y260" i="1" s="1"/>
  <c r="AA260" i="1" s="1"/>
  <c r="AB260" i="1" s="1"/>
  <c r="M260" i="1"/>
  <c r="X259" i="1"/>
  <c r="U259" i="1"/>
  <c r="P259" i="1"/>
  <c r="Q259" i="1" s="1"/>
  <c r="R259" i="1" s="1"/>
  <c r="Y259" i="1" s="1"/>
  <c r="O259" i="1"/>
  <c r="M259" i="1"/>
  <c r="X258" i="1"/>
  <c r="U258" i="1"/>
  <c r="O258" i="1"/>
  <c r="P258" i="1" s="1"/>
  <c r="Q258" i="1" s="1"/>
  <c r="R258" i="1" s="1"/>
  <c r="Y258" i="1" s="1"/>
  <c r="M258" i="1"/>
  <c r="X257" i="1"/>
  <c r="U257" i="1"/>
  <c r="P257" i="1"/>
  <c r="Q257" i="1" s="1"/>
  <c r="R257" i="1" s="1"/>
  <c r="Y257" i="1" s="1"/>
  <c r="O257" i="1"/>
  <c r="M257" i="1"/>
  <c r="X256" i="1"/>
  <c r="U256" i="1"/>
  <c r="O256" i="1"/>
  <c r="P256" i="1" s="1"/>
  <c r="Q256" i="1" s="1"/>
  <c r="R256" i="1" s="1"/>
  <c r="Y256" i="1" s="1"/>
  <c r="M256" i="1"/>
  <c r="X255" i="1"/>
  <c r="U255" i="1"/>
  <c r="Q255" i="1"/>
  <c r="R255" i="1" s="1"/>
  <c r="Y255" i="1" s="1"/>
  <c r="AA255" i="1" s="1"/>
  <c r="AB255" i="1" s="1"/>
  <c r="P255" i="1"/>
  <c r="O255" i="1"/>
  <c r="M255" i="1"/>
  <c r="Y254" i="1"/>
  <c r="Z254" i="1" s="1"/>
  <c r="X254" i="1"/>
  <c r="U254" i="1"/>
  <c r="P254" i="1"/>
  <c r="Q254" i="1" s="1"/>
  <c r="R254" i="1" s="1"/>
  <c r="O254" i="1"/>
  <c r="M254" i="1"/>
  <c r="X253" i="1"/>
  <c r="U253" i="1"/>
  <c r="P253" i="1"/>
  <c r="Q253" i="1" s="1"/>
  <c r="R253" i="1" s="1"/>
  <c r="Y253" i="1" s="1"/>
  <c r="O253" i="1"/>
  <c r="M253" i="1"/>
  <c r="X252" i="1"/>
  <c r="U252" i="1"/>
  <c r="O252" i="1"/>
  <c r="P252" i="1" s="1"/>
  <c r="Q252" i="1" s="1"/>
  <c r="R252" i="1" s="1"/>
  <c r="Y252" i="1" s="1"/>
  <c r="M252" i="1"/>
  <c r="X251" i="1"/>
  <c r="U251" i="1"/>
  <c r="O251" i="1"/>
  <c r="P251" i="1" s="1"/>
  <c r="Q251" i="1" s="1"/>
  <c r="R251" i="1" s="1"/>
  <c r="Y251" i="1" s="1"/>
  <c r="M251" i="1"/>
  <c r="X250" i="1"/>
  <c r="U250" i="1"/>
  <c r="O250" i="1"/>
  <c r="P250" i="1" s="1"/>
  <c r="Q250" i="1" s="1"/>
  <c r="R250" i="1" s="1"/>
  <c r="Y250" i="1" s="1"/>
  <c r="M250" i="1"/>
  <c r="X249" i="1"/>
  <c r="U249" i="1"/>
  <c r="P249" i="1"/>
  <c r="Q249" i="1" s="1"/>
  <c r="R249" i="1" s="1"/>
  <c r="Y249" i="1" s="1"/>
  <c r="O249" i="1"/>
  <c r="M249" i="1"/>
  <c r="X248" i="1"/>
  <c r="U248" i="1"/>
  <c r="O248" i="1"/>
  <c r="P248" i="1" s="1"/>
  <c r="Q248" i="1" s="1"/>
  <c r="R248" i="1" s="1"/>
  <c r="Y248" i="1" s="1"/>
  <c r="M248" i="1"/>
  <c r="X247" i="1"/>
  <c r="U247" i="1"/>
  <c r="O247" i="1"/>
  <c r="P247" i="1" s="1"/>
  <c r="Q247" i="1" s="1"/>
  <c r="R247" i="1" s="1"/>
  <c r="Y247" i="1" s="1"/>
  <c r="M247" i="1"/>
  <c r="X246" i="1"/>
  <c r="U246" i="1"/>
  <c r="O246" i="1"/>
  <c r="P246" i="1" s="1"/>
  <c r="Q246" i="1" s="1"/>
  <c r="R246" i="1" s="1"/>
  <c r="Y246" i="1" s="1"/>
  <c r="M246" i="1"/>
  <c r="X245" i="1"/>
  <c r="U245" i="1"/>
  <c r="O245" i="1"/>
  <c r="P245" i="1" s="1"/>
  <c r="Q245" i="1" s="1"/>
  <c r="R245" i="1" s="1"/>
  <c r="Y245" i="1" s="1"/>
  <c r="M245" i="1"/>
  <c r="AB244" i="1"/>
  <c r="AA244" i="1"/>
  <c r="Z244" i="1"/>
  <c r="M244" i="1"/>
  <c r="X243" i="1"/>
  <c r="U243" i="1"/>
  <c r="O243" i="1"/>
  <c r="P243" i="1" s="1"/>
  <c r="Q243" i="1" s="1"/>
  <c r="R243" i="1" s="1"/>
  <c r="Y243" i="1" s="1"/>
  <c r="M243" i="1"/>
  <c r="X242" i="1"/>
  <c r="U242" i="1"/>
  <c r="P242" i="1"/>
  <c r="Q242" i="1" s="1"/>
  <c r="R242" i="1" s="1"/>
  <c r="Y242" i="1" s="1"/>
  <c r="O242" i="1"/>
  <c r="M242" i="1"/>
  <c r="X241" i="1"/>
  <c r="U241" i="1"/>
  <c r="O241" i="1"/>
  <c r="P241" i="1" s="1"/>
  <c r="Q241" i="1" s="1"/>
  <c r="R241" i="1" s="1"/>
  <c r="Y241" i="1" s="1"/>
  <c r="M241" i="1"/>
  <c r="X240" i="1"/>
  <c r="U240" i="1"/>
  <c r="O240" i="1"/>
  <c r="P240" i="1" s="1"/>
  <c r="Q240" i="1" s="1"/>
  <c r="R240" i="1" s="1"/>
  <c r="M240" i="1"/>
  <c r="X239" i="1"/>
  <c r="U239" i="1"/>
  <c r="O239" i="1"/>
  <c r="P239" i="1" s="1"/>
  <c r="Q239" i="1" s="1"/>
  <c r="R239" i="1" s="1"/>
  <c r="Y239" i="1" s="1"/>
  <c r="M239" i="1"/>
  <c r="AA238" i="1"/>
  <c r="AB238" i="1" s="1"/>
  <c r="X238" i="1"/>
  <c r="U238" i="1"/>
  <c r="R238" i="1"/>
  <c r="Y238" i="1" s="1"/>
  <c r="Z238" i="1" s="1"/>
  <c r="Q238" i="1"/>
  <c r="O238" i="1"/>
  <c r="P238" i="1" s="1"/>
  <c r="M238" i="1"/>
  <c r="X237" i="1"/>
  <c r="U237" i="1"/>
  <c r="P237" i="1"/>
  <c r="Q237" i="1" s="1"/>
  <c r="R237" i="1" s="1"/>
  <c r="Y237" i="1" s="1"/>
  <c r="O237" i="1"/>
  <c r="M237" i="1"/>
  <c r="X236" i="1"/>
  <c r="U236" i="1"/>
  <c r="P236" i="1"/>
  <c r="Q236" i="1" s="1"/>
  <c r="R236" i="1" s="1"/>
  <c r="Y236" i="1" s="1"/>
  <c r="O236" i="1"/>
  <c r="M236" i="1"/>
  <c r="X235" i="1"/>
  <c r="U235" i="1"/>
  <c r="O235" i="1"/>
  <c r="P235" i="1" s="1"/>
  <c r="Q235" i="1" s="1"/>
  <c r="R235" i="1" s="1"/>
  <c r="Y235" i="1" s="1"/>
  <c r="M235" i="1"/>
  <c r="Y234" i="1"/>
  <c r="X234" i="1"/>
  <c r="U234" i="1"/>
  <c r="O234" i="1"/>
  <c r="P234" i="1" s="1"/>
  <c r="Q234" i="1" s="1"/>
  <c r="R234" i="1" s="1"/>
  <c r="M234" i="1"/>
  <c r="X233" i="1"/>
  <c r="U233" i="1"/>
  <c r="O233" i="1"/>
  <c r="P233" i="1" s="1"/>
  <c r="Q233" i="1" s="1"/>
  <c r="R233" i="1" s="1"/>
  <c r="Y233" i="1" s="1"/>
  <c r="M233" i="1"/>
  <c r="X232" i="1"/>
  <c r="U232" i="1"/>
  <c r="P232" i="1"/>
  <c r="Q232" i="1" s="1"/>
  <c r="R232" i="1" s="1"/>
  <c r="Y232" i="1" s="1"/>
  <c r="O232" i="1"/>
  <c r="M232" i="1"/>
  <c r="Y231" i="1"/>
  <c r="AA231" i="1" s="1"/>
  <c r="AB231" i="1" s="1"/>
  <c r="X231" i="1"/>
  <c r="U231" i="1"/>
  <c r="Q231" i="1"/>
  <c r="R231" i="1" s="1"/>
  <c r="P231" i="1"/>
  <c r="O231" i="1"/>
  <c r="M231" i="1"/>
  <c r="X230" i="1"/>
  <c r="U230" i="1"/>
  <c r="O230" i="1"/>
  <c r="P230" i="1" s="1"/>
  <c r="Q230" i="1" s="1"/>
  <c r="R230" i="1" s="1"/>
  <c r="Y230" i="1" s="1"/>
  <c r="M230" i="1"/>
  <c r="X229" i="1"/>
  <c r="U229" i="1"/>
  <c r="O229" i="1"/>
  <c r="P229" i="1" s="1"/>
  <c r="Q229" i="1" s="1"/>
  <c r="R229" i="1" s="1"/>
  <c r="Y229" i="1" s="1"/>
  <c r="M229" i="1"/>
  <c r="X228" i="1"/>
  <c r="U228" i="1"/>
  <c r="O228" i="1"/>
  <c r="P228" i="1" s="1"/>
  <c r="Q228" i="1" s="1"/>
  <c r="R228" i="1" s="1"/>
  <c r="Y228" i="1" s="1"/>
  <c r="M228" i="1"/>
  <c r="X227" i="1"/>
  <c r="U227" i="1"/>
  <c r="O227" i="1"/>
  <c r="P227" i="1" s="1"/>
  <c r="Q227" i="1" s="1"/>
  <c r="R227" i="1" s="1"/>
  <c r="Y227" i="1" s="1"/>
  <c r="M227" i="1"/>
  <c r="X226" i="1"/>
  <c r="U226" i="1"/>
  <c r="R226" i="1"/>
  <c r="Y226" i="1" s="1"/>
  <c r="O226" i="1"/>
  <c r="P226" i="1" s="1"/>
  <c r="Q226" i="1" s="1"/>
  <c r="M226" i="1"/>
  <c r="X225" i="1"/>
  <c r="U225" i="1"/>
  <c r="O225" i="1"/>
  <c r="P225" i="1" s="1"/>
  <c r="Q225" i="1" s="1"/>
  <c r="R225" i="1" s="1"/>
  <c r="Y225" i="1" s="1"/>
  <c r="M225" i="1"/>
  <c r="X224" i="1"/>
  <c r="U224" i="1"/>
  <c r="O224" i="1"/>
  <c r="P224" i="1" s="1"/>
  <c r="Q224" i="1" s="1"/>
  <c r="R224" i="1" s="1"/>
  <c r="Y224" i="1" s="1"/>
  <c r="M224" i="1"/>
  <c r="X223" i="1"/>
  <c r="U223" i="1"/>
  <c r="O223" i="1"/>
  <c r="P223" i="1" s="1"/>
  <c r="Q223" i="1" s="1"/>
  <c r="R223" i="1" s="1"/>
  <c r="Y223" i="1" s="1"/>
  <c r="Z223" i="1" s="1"/>
  <c r="M223" i="1"/>
  <c r="X222" i="1"/>
  <c r="U222" i="1"/>
  <c r="O222" i="1"/>
  <c r="P222" i="1" s="1"/>
  <c r="Q222" i="1" s="1"/>
  <c r="R222" i="1" s="1"/>
  <c r="Y222" i="1" s="1"/>
  <c r="Z222" i="1" s="1"/>
  <c r="M222" i="1"/>
  <c r="X221" i="1"/>
  <c r="U221" i="1"/>
  <c r="O221" i="1"/>
  <c r="P221" i="1" s="1"/>
  <c r="Q221" i="1" s="1"/>
  <c r="R221" i="1" s="1"/>
  <c r="Y221" i="1" s="1"/>
  <c r="M221" i="1"/>
  <c r="X220" i="1"/>
  <c r="U220" i="1"/>
  <c r="Q220" i="1"/>
  <c r="R220" i="1" s="1"/>
  <c r="Y220" i="1" s="1"/>
  <c r="P220" i="1"/>
  <c r="O220" i="1"/>
  <c r="M220" i="1"/>
  <c r="X219" i="1"/>
  <c r="U219" i="1"/>
  <c r="O219" i="1"/>
  <c r="P219" i="1" s="1"/>
  <c r="Q219" i="1" s="1"/>
  <c r="R219" i="1" s="1"/>
  <c r="Y219" i="1" s="1"/>
  <c r="M219" i="1"/>
  <c r="Y218" i="1"/>
  <c r="X218" i="1"/>
  <c r="U218" i="1"/>
  <c r="Q218" i="1"/>
  <c r="R218" i="1" s="1"/>
  <c r="P218" i="1"/>
  <c r="O218" i="1"/>
  <c r="M218" i="1"/>
  <c r="X217" i="1"/>
  <c r="U217" i="1"/>
  <c r="O217" i="1"/>
  <c r="P217" i="1" s="1"/>
  <c r="Q217" i="1" s="1"/>
  <c r="R217" i="1" s="1"/>
  <c r="Y217" i="1" s="1"/>
  <c r="M217" i="1"/>
  <c r="X216" i="1"/>
  <c r="U216" i="1"/>
  <c r="Q216" i="1"/>
  <c r="R216" i="1" s="1"/>
  <c r="Y216" i="1" s="1"/>
  <c r="P216" i="1"/>
  <c r="O216" i="1"/>
  <c r="M216" i="1"/>
  <c r="X215" i="1"/>
  <c r="U215" i="1"/>
  <c r="R215" i="1"/>
  <c r="Y215" i="1" s="1"/>
  <c r="Z215" i="1" s="1"/>
  <c r="Q215" i="1"/>
  <c r="P215" i="1"/>
  <c r="O215" i="1"/>
  <c r="M215" i="1"/>
  <c r="AB214" i="1"/>
  <c r="X214" i="1"/>
  <c r="U214" i="1"/>
  <c r="P214" i="1"/>
  <c r="Q214" i="1" s="1"/>
  <c r="R214" i="1" s="1"/>
  <c r="Y214" i="1" s="1"/>
  <c r="AA214" i="1" s="1"/>
  <c r="O214" i="1"/>
  <c r="M214" i="1"/>
  <c r="X213" i="1"/>
  <c r="U213" i="1"/>
  <c r="O213" i="1"/>
  <c r="P213" i="1" s="1"/>
  <c r="Q213" i="1" s="1"/>
  <c r="R213" i="1" s="1"/>
  <c r="Y213" i="1" s="1"/>
  <c r="AA213" i="1" s="1"/>
  <c r="AB213" i="1" s="1"/>
  <c r="M213" i="1"/>
  <c r="X212" i="1"/>
  <c r="U212" i="1"/>
  <c r="O212" i="1"/>
  <c r="P212" i="1" s="1"/>
  <c r="Q212" i="1" s="1"/>
  <c r="R212" i="1" s="1"/>
  <c r="Y212" i="1" s="1"/>
  <c r="M212" i="1"/>
  <c r="X211" i="1"/>
  <c r="U211" i="1"/>
  <c r="O211" i="1"/>
  <c r="P211" i="1" s="1"/>
  <c r="Q211" i="1" s="1"/>
  <c r="R211" i="1" s="1"/>
  <c r="Y211" i="1" s="1"/>
  <c r="M211" i="1"/>
  <c r="X210" i="1"/>
  <c r="U210" i="1"/>
  <c r="R210" i="1"/>
  <c r="Y210" i="1" s="1"/>
  <c r="Z210" i="1" s="1"/>
  <c r="O210" i="1"/>
  <c r="P210" i="1" s="1"/>
  <c r="Q210" i="1" s="1"/>
  <c r="M210" i="1"/>
  <c r="AA209" i="1"/>
  <c r="AB209" i="1" s="1"/>
  <c r="X209" i="1"/>
  <c r="U209" i="1"/>
  <c r="O209" i="1"/>
  <c r="P209" i="1" s="1"/>
  <c r="Q209" i="1" s="1"/>
  <c r="R209" i="1" s="1"/>
  <c r="Y209" i="1" s="1"/>
  <c r="Z209" i="1" s="1"/>
  <c r="M209" i="1"/>
  <c r="X208" i="1"/>
  <c r="U208" i="1"/>
  <c r="P208" i="1"/>
  <c r="Q208" i="1" s="1"/>
  <c r="R208" i="1" s="1"/>
  <c r="Y208" i="1" s="1"/>
  <c r="O208" i="1"/>
  <c r="M208" i="1"/>
  <c r="X207" i="1"/>
  <c r="Y207" i="1" s="1"/>
  <c r="U207" i="1"/>
  <c r="O207" i="1"/>
  <c r="P207" i="1" s="1"/>
  <c r="Q207" i="1" s="1"/>
  <c r="R207" i="1" s="1"/>
  <c r="M207" i="1"/>
  <c r="X206" i="1"/>
  <c r="U206" i="1"/>
  <c r="P206" i="1"/>
  <c r="Q206" i="1" s="1"/>
  <c r="R206" i="1" s="1"/>
  <c r="Y206" i="1" s="1"/>
  <c r="O206" i="1"/>
  <c r="M206" i="1"/>
  <c r="X205" i="1"/>
  <c r="U205" i="1"/>
  <c r="O205" i="1"/>
  <c r="P205" i="1" s="1"/>
  <c r="Q205" i="1" s="1"/>
  <c r="R205" i="1" s="1"/>
  <c r="Y205" i="1" s="1"/>
  <c r="M205" i="1"/>
  <c r="Y204" i="1"/>
  <c r="X204" i="1"/>
  <c r="U204" i="1"/>
  <c r="R204" i="1"/>
  <c r="Q204" i="1"/>
  <c r="P204" i="1"/>
  <c r="O204" i="1"/>
  <c r="M204" i="1"/>
  <c r="X203" i="1"/>
  <c r="U203" i="1"/>
  <c r="R203" i="1"/>
  <c r="Y203" i="1" s="1"/>
  <c r="Z203" i="1" s="1"/>
  <c r="O203" i="1"/>
  <c r="P203" i="1" s="1"/>
  <c r="Q203" i="1" s="1"/>
  <c r="M203" i="1"/>
  <c r="X202" i="1"/>
  <c r="U202" i="1"/>
  <c r="P202" i="1"/>
  <c r="Q202" i="1" s="1"/>
  <c r="R202" i="1" s="1"/>
  <c r="Y202" i="1" s="1"/>
  <c r="O202" i="1"/>
  <c r="M202" i="1"/>
  <c r="X201" i="1"/>
  <c r="U201" i="1"/>
  <c r="P201" i="1"/>
  <c r="Q201" i="1" s="1"/>
  <c r="R201" i="1" s="1"/>
  <c r="Y201" i="1" s="1"/>
  <c r="O201" i="1"/>
  <c r="M201" i="1"/>
  <c r="X200" i="1"/>
  <c r="U200" i="1"/>
  <c r="P200" i="1"/>
  <c r="Q200" i="1" s="1"/>
  <c r="R200" i="1" s="1"/>
  <c r="Y200" i="1" s="1"/>
  <c r="O200" i="1"/>
  <c r="M200" i="1"/>
  <c r="Y199" i="1"/>
  <c r="AA199" i="1" s="1"/>
  <c r="AB199" i="1" s="1"/>
  <c r="X199" i="1"/>
  <c r="U199" i="1"/>
  <c r="P199" i="1"/>
  <c r="Q199" i="1" s="1"/>
  <c r="R199" i="1" s="1"/>
  <c r="O199" i="1"/>
  <c r="M199" i="1"/>
  <c r="Z198" i="1"/>
  <c r="Y198" i="1"/>
  <c r="AA198" i="1" s="1"/>
  <c r="AB198" i="1" s="1"/>
  <c r="X198" i="1"/>
  <c r="U198" i="1"/>
  <c r="O198" i="1"/>
  <c r="P198" i="1" s="1"/>
  <c r="Q198" i="1" s="1"/>
  <c r="R198" i="1" s="1"/>
  <c r="M198" i="1"/>
  <c r="X197" i="1"/>
  <c r="U197" i="1"/>
  <c r="R197" i="1"/>
  <c r="Y197" i="1" s="1"/>
  <c r="O197" i="1"/>
  <c r="P197" i="1" s="1"/>
  <c r="Q197" i="1" s="1"/>
  <c r="M197" i="1"/>
  <c r="X196" i="1"/>
  <c r="U196" i="1"/>
  <c r="P196" i="1"/>
  <c r="Q196" i="1" s="1"/>
  <c r="R196" i="1" s="1"/>
  <c r="O196" i="1"/>
  <c r="M196" i="1"/>
  <c r="X195" i="1"/>
  <c r="U195" i="1"/>
  <c r="P195" i="1"/>
  <c r="Q195" i="1" s="1"/>
  <c r="R195" i="1" s="1"/>
  <c r="Y195" i="1" s="1"/>
  <c r="O195" i="1"/>
  <c r="M195" i="1"/>
  <c r="X194" i="1"/>
  <c r="U194" i="1"/>
  <c r="P194" i="1"/>
  <c r="Q194" i="1" s="1"/>
  <c r="R194" i="1" s="1"/>
  <c r="Y194" i="1" s="1"/>
  <c r="O194" i="1"/>
  <c r="M194" i="1"/>
  <c r="X193" i="1"/>
  <c r="U193" i="1"/>
  <c r="R193" i="1"/>
  <c r="Y193" i="1" s="1"/>
  <c r="Q193" i="1"/>
  <c r="P193" i="1"/>
  <c r="O193" i="1"/>
  <c r="M193" i="1"/>
  <c r="X192" i="1"/>
  <c r="U192" i="1"/>
  <c r="P192" i="1"/>
  <c r="Q192" i="1" s="1"/>
  <c r="R192" i="1" s="1"/>
  <c r="Y192" i="1" s="1"/>
  <c r="O192" i="1"/>
  <c r="M192" i="1"/>
  <c r="X191" i="1"/>
  <c r="U191" i="1"/>
  <c r="P191" i="1"/>
  <c r="Q191" i="1" s="1"/>
  <c r="R191" i="1" s="1"/>
  <c r="Y191" i="1" s="1"/>
  <c r="O191" i="1"/>
  <c r="M191" i="1"/>
  <c r="X190" i="1"/>
  <c r="U190" i="1"/>
  <c r="O190" i="1"/>
  <c r="P190" i="1" s="1"/>
  <c r="Q190" i="1" s="1"/>
  <c r="R190" i="1" s="1"/>
  <c r="Y190" i="1" s="1"/>
  <c r="M190" i="1"/>
  <c r="X189" i="1"/>
  <c r="U189" i="1"/>
  <c r="P189" i="1"/>
  <c r="Q189" i="1" s="1"/>
  <c r="R189" i="1" s="1"/>
  <c r="Y189" i="1" s="1"/>
  <c r="O189" i="1"/>
  <c r="M189" i="1"/>
  <c r="X188" i="1"/>
  <c r="U188" i="1"/>
  <c r="O188" i="1"/>
  <c r="P188" i="1" s="1"/>
  <c r="Q188" i="1" s="1"/>
  <c r="R188" i="1" s="1"/>
  <c r="Y188" i="1" s="1"/>
  <c r="M188" i="1"/>
  <c r="X187" i="1"/>
  <c r="U187" i="1"/>
  <c r="P187" i="1"/>
  <c r="Q187" i="1" s="1"/>
  <c r="R187" i="1" s="1"/>
  <c r="Y187" i="1" s="1"/>
  <c r="O187" i="1"/>
  <c r="M187" i="1"/>
  <c r="X186" i="1"/>
  <c r="U186" i="1"/>
  <c r="O186" i="1"/>
  <c r="P186" i="1" s="1"/>
  <c r="Q186" i="1" s="1"/>
  <c r="R186" i="1" s="1"/>
  <c r="Y186" i="1" s="1"/>
  <c r="AA186" i="1" s="1"/>
  <c r="AB186" i="1" s="1"/>
  <c r="M186" i="1"/>
  <c r="X185" i="1"/>
  <c r="U185" i="1"/>
  <c r="O185" i="1"/>
  <c r="P185" i="1" s="1"/>
  <c r="Q185" i="1" s="1"/>
  <c r="R185" i="1" s="1"/>
  <c r="Y185" i="1" s="1"/>
  <c r="M185" i="1"/>
  <c r="X184" i="1"/>
  <c r="U184" i="1"/>
  <c r="Q184" i="1"/>
  <c r="R184" i="1" s="1"/>
  <c r="Y184" i="1" s="1"/>
  <c r="P184" i="1"/>
  <c r="O184" i="1"/>
  <c r="M184" i="1"/>
  <c r="X183" i="1"/>
  <c r="U183" i="1"/>
  <c r="P183" i="1"/>
  <c r="Q183" i="1" s="1"/>
  <c r="R183" i="1" s="1"/>
  <c r="Y183" i="1" s="1"/>
  <c r="O183" i="1"/>
  <c r="M183" i="1"/>
  <c r="X182" i="1"/>
  <c r="U182" i="1"/>
  <c r="O182" i="1"/>
  <c r="P182" i="1" s="1"/>
  <c r="Q182" i="1" s="1"/>
  <c r="R182" i="1" s="1"/>
  <c r="Y182" i="1" s="1"/>
  <c r="Z182" i="1" s="1"/>
  <c r="M182" i="1"/>
  <c r="X181" i="1"/>
  <c r="U181" i="1"/>
  <c r="P181" i="1"/>
  <c r="Q181" i="1" s="1"/>
  <c r="R181" i="1" s="1"/>
  <c r="Y181" i="1" s="1"/>
  <c r="O181" i="1"/>
  <c r="M181" i="1"/>
  <c r="X180" i="1"/>
  <c r="U180" i="1"/>
  <c r="Q180" i="1"/>
  <c r="R180" i="1" s="1"/>
  <c r="Y180" i="1" s="1"/>
  <c r="O180" i="1"/>
  <c r="P180" i="1" s="1"/>
  <c r="M180" i="1"/>
  <c r="X179" i="1"/>
  <c r="U179" i="1"/>
  <c r="Q179" i="1"/>
  <c r="R179" i="1" s="1"/>
  <c r="Y179" i="1" s="1"/>
  <c r="O179" i="1"/>
  <c r="P179" i="1" s="1"/>
  <c r="M179" i="1"/>
  <c r="X178" i="1"/>
  <c r="U178" i="1"/>
  <c r="O178" i="1"/>
  <c r="P178" i="1" s="1"/>
  <c r="Q178" i="1" s="1"/>
  <c r="R178" i="1" s="1"/>
  <c r="Y178" i="1" s="1"/>
  <c r="M178" i="1"/>
  <c r="X177" i="1"/>
  <c r="U177" i="1"/>
  <c r="O177" i="1"/>
  <c r="P177" i="1" s="1"/>
  <c r="Q177" i="1" s="1"/>
  <c r="R177" i="1" s="1"/>
  <c r="Y177" i="1" s="1"/>
  <c r="M177" i="1"/>
  <c r="AA176" i="1"/>
  <c r="AB176" i="1" s="1"/>
  <c r="X176" i="1"/>
  <c r="U176" i="1"/>
  <c r="Q176" i="1"/>
  <c r="R176" i="1" s="1"/>
  <c r="Y176" i="1" s="1"/>
  <c r="Z176" i="1" s="1"/>
  <c r="P176" i="1"/>
  <c r="O176" i="1"/>
  <c r="M176" i="1"/>
  <c r="X175" i="1"/>
  <c r="Y175" i="1" s="1"/>
  <c r="U175" i="1"/>
  <c r="O175" i="1"/>
  <c r="P175" i="1" s="1"/>
  <c r="Q175" i="1" s="1"/>
  <c r="R175" i="1" s="1"/>
  <c r="M175" i="1"/>
  <c r="X174" i="1"/>
  <c r="U174" i="1"/>
  <c r="O174" i="1"/>
  <c r="P174" i="1" s="1"/>
  <c r="Q174" i="1" s="1"/>
  <c r="R174" i="1" s="1"/>
  <c r="Y174" i="1" s="1"/>
  <c r="M174" i="1"/>
  <c r="X173" i="1"/>
  <c r="U173" i="1"/>
  <c r="Q173" i="1"/>
  <c r="R173" i="1" s="1"/>
  <c r="Y173" i="1" s="1"/>
  <c r="O173" i="1"/>
  <c r="P173" i="1" s="1"/>
  <c r="M173" i="1"/>
  <c r="X172" i="1"/>
  <c r="U172" i="1"/>
  <c r="P172" i="1"/>
  <c r="Q172" i="1" s="1"/>
  <c r="R172" i="1" s="1"/>
  <c r="Y172" i="1" s="1"/>
  <c r="O172" i="1"/>
  <c r="M172" i="1"/>
  <c r="AA171" i="1"/>
  <c r="AB171" i="1" s="1"/>
  <c r="X171" i="1"/>
  <c r="U171" i="1"/>
  <c r="O171" i="1"/>
  <c r="P171" i="1" s="1"/>
  <c r="Q171" i="1" s="1"/>
  <c r="R171" i="1" s="1"/>
  <c r="Y171" i="1" s="1"/>
  <c r="M171" i="1"/>
  <c r="Z170" i="1"/>
  <c r="X170" i="1"/>
  <c r="U170" i="1"/>
  <c r="R170" i="1"/>
  <c r="Y170" i="1" s="1"/>
  <c r="AA170" i="1" s="1"/>
  <c r="AB170" i="1" s="1"/>
  <c r="Q170" i="1"/>
  <c r="P170" i="1"/>
  <c r="O170" i="1"/>
  <c r="M170" i="1"/>
  <c r="X169" i="1"/>
  <c r="U169" i="1"/>
  <c r="P169" i="1"/>
  <c r="Q169" i="1" s="1"/>
  <c r="R169" i="1" s="1"/>
  <c r="Y169" i="1" s="1"/>
  <c r="Z169" i="1" s="1"/>
  <c r="O169" i="1"/>
  <c r="M169" i="1"/>
  <c r="X168" i="1"/>
  <c r="U168" i="1"/>
  <c r="O168" i="1"/>
  <c r="P168" i="1" s="1"/>
  <c r="Q168" i="1" s="1"/>
  <c r="R168" i="1" s="1"/>
  <c r="Y168" i="1" s="1"/>
  <c r="M168" i="1"/>
  <c r="X167" i="1"/>
  <c r="U167" i="1"/>
  <c r="Q167" i="1"/>
  <c r="R167" i="1" s="1"/>
  <c r="Y167" i="1" s="1"/>
  <c r="P167" i="1"/>
  <c r="O167" i="1"/>
  <c r="M167" i="1"/>
  <c r="X166" i="1"/>
  <c r="U166" i="1"/>
  <c r="Q166" i="1"/>
  <c r="R166" i="1" s="1"/>
  <c r="Y166" i="1" s="1"/>
  <c r="O166" i="1"/>
  <c r="P166" i="1" s="1"/>
  <c r="M166" i="1"/>
  <c r="X165" i="1"/>
  <c r="U165" i="1"/>
  <c r="P165" i="1"/>
  <c r="Q165" i="1" s="1"/>
  <c r="R165" i="1" s="1"/>
  <c r="Y165" i="1" s="1"/>
  <c r="O165" i="1"/>
  <c r="M165" i="1"/>
  <c r="X164" i="1"/>
  <c r="U164" i="1"/>
  <c r="O164" i="1"/>
  <c r="P164" i="1" s="1"/>
  <c r="Q164" i="1" s="1"/>
  <c r="R164" i="1" s="1"/>
  <c r="M164" i="1"/>
  <c r="X163" i="1"/>
  <c r="U163" i="1"/>
  <c r="Q163" i="1"/>
  <c r="R163" i="1" s="1"/>
  <c r="Y163" i="1" s="1"/>
  <c r="P163" i="1"/>
  <c r="O163" i="1"/>
  <c r="M163" i="1"/>
  <c r="X162" i="1"/>
  <c r="U162" i="1"/>
  <c r="P162" i="1"/>
  <c r="Q162" i="1" s="1"/>
  <c r="R162" i="1" s="1"/>
  <c r="Y162" i="1" s="1"/>
  <c r="O162" i="1"/>
  <c r="M162" i="1"/>
  <c r="X161" i="1"/>
  <c r="U161" i="1"/>
  <c r="O161" i="1"/>
  <c r="P161" i="1" s="1"/>
  <c r="Q161" i="1" s="1"/>
  <c r="R161" i="1" s="1"/>
  <c r="Y161" i="1" s="1"/>
  <c r="Z161" i="1" s="1"/>
  <c r="M161" i="1"/>
  <c r="X160" i="1"/>
  <c r="U160" i="1"/>
  <c r="R160" i="1"/>
  <c r="Y160" i="1" s="1"/>
  <c r="Q160" i="1"/>
  <c r="P160" i="1"/>
  <c r="O160" i="1"/>
  <c r="M160" i="1"/>
  <c r="X159" i="1"/>
  <c r="U159" i="1"/>
  <c r="P159" i="1"/>
  <c r="Q159" i="1" s="1"/>
  <c r="R159" i="1" s="1"/>
  <c r="Y159" i="1" s="1"/>
  <c r="O159" i="1"/>
  <c r="M159" i="1"/>
  <c r="X158" i="1"/>
  <c r="U158" i="1"/>
  <c r="R158" i="1"/>
  <c r="Y158" i="1" s="1"/>
  <c r="O158" i="1"/>
  <c r="P158" i="1" s="1"/>
  <c r="Q158" i="1" s="1"/>
  <c r="M158" i="1"/>
  <c r="X157" i="1"/>
  <c r="U157" i="1"/>
  <c r="P157" i="1"/>
  <c r="Q157" i="1" s="1"/>
  <c r="R157" i="1" s="1"/>
  <c r="Y157" i="1" s="1"/>
  <c r="O157" i="1"/>
  <c r="M157" i="1"/>
  <c r="X156" i="1"/>
  <c r="U156" i="1"/>
  <c r="O156" i="1"/>
  <c r="P156" i="1" s="1"/>
  <c r="Q156" i="1" s="1"/>
  <c r="R156" i="1" s="1"/>
  <c r="Y156" i="1" s="1"/>
  <c r="M156" i="1"/>
  <c r="X155" i="1"/>
  <c r="U155" i="1"/>
  <c r="Q155" i="1"/>
  <c r="R155" i="1" s="1"/>
  <c r="Y155" i="1" s="1"/>
  <c r="Z155" i="1" s="1"/>
  <c r="P155" i="1"/>
  <c r="O155" i="1"/>
  <c r="M155" i="1"/>
  <c r="X154" i="1"/>
  <c r="U154" i="1"/>
  <c r="O154" i="1"/>
  <c r="P154" i="1" s="1"/>
  <c r="Q154" i="1" s="1"/>
  <c r="R154" i="1" s="1"/>
  <c r="Y154" i="1" s="1"/>
  <c r="M154" i="1"/>
  <c r="X153" i="1"/>
  <c r="U153" i="1"/>
  <c r="O153" i="1"/>
  <c r="P153" i="1" s="1"/>
  <c r="Q153" i="1" s="1"/>
  <c r="R153" i="1" s="1"/>
  <c r="Y153" i="1" s="1"/>
  <c r="M153" i="1"/>
  <c r="X152" i="1"/>
  <c r="U152" i="1"/>
  <c r="O152" i="1"/>
  <c r="P152" i="1" s="1"/>
  <c r="Q152" i="1" s="1"/>
  <c r="R152" i="1" s="1"/>
  <c r="Y152" i="1" s="1"/>
  <c r="M152" i="1"/>
  <c r="X151" i="1"/>
  <c r="U151" i="1"/>
  <c r="O151" i="1"/>
  <c r="P151" i="1" s="1"/>
  <c r="Q151" i="1" s="1"/>
  <c r="R151" i="1" s="1"/>
  <c r="Y151" i="1" s="1"/>
  <c r="M151" i="1"/>
  <c r="X150" i="1"/>
  <c r="U150" i="1"/>
  <c r="P150" i="1"/>
  <c r="Q150" i="1" s="1"/>
  <c r="R150" i="1" s="1"/>
  <c r="Y150" i="1" s="1"/>
  <c r="AA150" i="1" s="1"/>
  <c r="AB150" i="1" s="1"/>
  <c r="O150" i="1"/>
  <c r="M150" i="1"/>
  <c r="X149" i="1"/>
  <c r="U149" i="1"/>
  <c r="O149" i="1"/>
  <c r="P149" i="1" s="1"/>
  <c r="Q149" i="1" s="1"/>
  <c r="R149" i="1" s="1"/>
  <c r="Y149" i="1" s="1"/>
  <c r="M149" i="1"/>
  <c r="AA148" i="1"/>
  <c r="AB148" i="1" s="1"/>
  <c r="Z148" i="1"/>
  <c r="X148" i="1"/>
  <c r="U148" i="1"/>
  <c r="R148" i="1"/>
  <c r="Y148" i="1" s="1"/>
  <c r="Q148" i="1"/>
  <c r="P148" i="1"/>
  <c r="O148" i="1"/>
  <c r="M148" i="1"/>
  <c r="X147" i="1"/>
  <c r="U147" i="1"/>
  <c r="Q147" i="1"/>
  <c r="R147" i="1" s="1"/>
  <c r="Y147" i="1" s="1"/>
  <c r="AA147" i="1" s="1"/>
  <c r="AB147" i="1" s="1"/>
  <c r="P147" i="1"/>
  <c r="O147" i="1"/>
  <c r="M147" i="1"/>
  <c r="X146" i="1"/>
  <c r="U146" i="1"/>
  <c r="P146" i="1"/>
  <c r="Q146" i="1" s="1"/>
  <c r="R146" i="1" s="1"/>
  <c r="Y146" i="1" s="1"/>
  <c r="O146" i="1"/>
  <c r="M146" i="1"/>
  <c r="X145" i="1"/>
  <c r="U145" i="1"/>
  <c r="R145" i="1"/>
  <c r="Y145" i="1" s="1"/>
  <c r="AA145" i="1" s="1"/>
  <c r="AB145" i="1" s="1"/>
  <c r="O145" i="1"/>
  <c r="P145" i="1" s="1"/>
  <c r="Q145" i="1" s="1"/>
  <c r="M145" i="1"/>
  <c r="X144" i="1"/>
  <c r="U144" i="1"/>
  <c r="P144" i="1"/>
  <c r="Q144" i="1" s="1"/>
  <c r="R144" i="1" s="1"/>
  <c r="Y144" i="1" s="1"/>
  <c r="O144" i="1"/>
  <c r="M144" i="1"/>
  <c r="X143" i="1"/>
  <c r="U143" i="1"/>
  <c r="R143" i="1"/>
  <c r="Y143" i="1" s="1"/>
  <c r="Z143" i="1" s="1"/>
  <c r="Q143" i="1"/>
  <c r="O143" i="1"/>
  <c r="P143" i="1" s="1"/>
  <c r="M143" i="1"/>
  <c r="X142" i="1"/>
  <c r="U142" i="1"/>
  <c r="O142" i="1"/>
  <c r="P142" i="1" s="1"/>
  <c r="Q142" i="1" s="1"/>
  <c r="R142" i="1" s="1"/>
  <c r="Y142" i="1" s="1"/>
  <c r="M142" i="1"/>
  <c r="X141" i="1"/>
  <c r="U141" i="1"/>
  <c r="O141" i="1"/>
  <c r="P141" i="1" s="1"/>
  <c r="Q141" i="1" s="1"/>
  <c r="R141" i="1" s="1"/>
  <c r="Y141" i="1" s="1"/>
  <c r="M141" i="1"/>
  <c r="AA140" i="1"/>
  <c r="AB140" i="1" s="1"/>
  <c r="X140" i="1"/>
  <c r="U140" i="1"/>
  <c r="R140" i="1"/>
  <c r="Y140" i="1" s="1"/>
  <c r="Z140" i="1" s="1"/>
  <c r="Q140" i="1"/>
  <c r="P140" i="1"/>
  <c r="O140" i="1"/>
  <c r="M140" i="1"/>
  <c r="X139" i="1"/>
  <c r="U139" i="1"/>
  <c r="P139" i="1"/>
  <c r="Q139" i="1" s="1"/>
  <c r="R139" i="1" s="1"/>
  <c r="Y139" i="1" s="1"/>
  <c r="O139" i="1"/>
  <c r="M139" i="1"/>
  <c r="Y138" i="1"/>
  <c r="AA138" i="1" s="1"/>
  <c r="AB138" i="1" s="1"/>
  <c r="X138" i="1"/>
  <c r="U138" i="1"/>
  <c r="O138" i="1"/>
  <c r="P138" i="1" s="1"/>
  <c r="Q138" i="1" s="1"/>
  <c r="R138" i="1" s="1"/>
  <c r="M138" i="1"/>
  <c r="X137" i="1"/>
  <c r="U137" i="1"/>
  <c r="R137" i="1"/>
  <c r="Y137" i="1" s="1"/>
  <c r="Q137" i="1"/>
  <c r="O137" i="1"/>
  <c r="P137" i="1" s="1"/>
  <c r="M137" i="1"/>
  <c r="X136" i="1"/>
  <c r="U136" i="1"/>
  <c r="P136" i="1"/>
  <c r="Q136" i="1" s="1"/>
  <c r="R136" i="1" s="1"/>
  <c r="Y136" i="1" s="1"/>
  <c r="O136" i="1"/>
  <c r="M136" i="1"/>
  <c r="X135" i="1"/>
  <c r="U135" i="1"/>
  <c r="O135" i="1"/>
  <c r="P135" i="1" s="1"/>
  <c r="Q135" i="1" s="1"/>
  <c r="R135" i="1" s="1"/>
  <c r="Y135" i="1" s="1"/>
  <c r="M135" i="1"/>
  <c r="Y134" i="1"/>
  <c r="AA134" i="1" s="1"/>
  <c r="AB134" i="1" s="1"/>
  <c r="X134" i="1"/>
  <c r="U134" i="1"/>
  <c r="O134" i="1"/>
  <c r="P134" i="1" s="1"/>
  <c r="Q134" i="1" s="1"/>
  <c r="R134" i="1" s="1"/>
  <c r="M134" i="1"/>
  <c r="X133" i="1"/>
  <c r="U133" i="1"/>
  <c r="O133" i="1"/>
  <c r="P133" i="1" s="1"/>
  <c r="Q133" i="1" s="1"/>
  <c r="R133" i="1" s="1"/>
  <c r="Y133" i="1" s="1"/>
  <c r="M133" i="1"/>
  <c r="X132" i="1"/>
  <c r="U132" i="1"/>
  <c r="R132" i="1"/>
  <c r="Y132" i="1" s="1"/>
  <c r="AA132" i="1" s="1"/>
  <c r="AB132" i="1" s="1"/>
  <c r="Q132" i="1"/>
  <c r="P132" i="1"/>
  <c r="O132" i="1"/>
  <c r="M132" i="1"/>
  <c r="X131" i="1"/>
  <c r="U131" i="1"/>
  <c r="O131" i="1"/>
  <c r="P131" i="1" s="1"/>
  <c r="Q131" i="1" s="1"/>
  <c r="R131" i="1" s="1"/>
  <c r="Y131" i="1" s="1"/>
  <c r="M131" i="1"/>
  <c r="X130" i="1"/>
  <c r="U130" i="1"/>
  <c r="O130" i="1"/>
  <c r="P130" i="1" s="1"/>
  <c r="Q130" i="1" s="1"/>
  <c r="R130" i="1" s="1"/>
  <c r="Y130" i="1" s="1"/>
  <c r="M130" i="1"/>
  <c r="X129" i="1"/>
  <c r="U129" i="1"/>
  <c r="R129" i="1"/>
  <c r="Y129" i="1" s="1"/>
  <c r="Q129" i="1"/>
  <c r="O129" i="1"/>
  <c r="P129" i="1" s="1"/>
  <c r="M129" i="1"/>
  <c r="X128" i="1"/>
  <c r="U128" i="1"/>
  <c r="R128" i="1"/>
  <c r="P128" i="1"/>
  <c r="Q128" i="1" s="1"/>
  <c r="O128" i="1"/>
  <c r="M128" i="1"/>
  <c r="X127" i="1"/>
  <c r="U127" i="1"/>
  <c r="P127" i="1"/>
  <c r="Q127" i="1" s="1"/>
  <c r="R127" i="1" s="1"/>
  <c r="Y127" i="1" s="1"/>
  <c r="O127" i="1"/>
  <c r="M127" i="1"/>
  <c r="X126" i="1"/>
  <c r="U126" i="1"/>
  <c r="O126" i="1"/>
  <c r="P126" i="1" s="1"/>
  <c r="Q126" i="1" s="1"/>
  <c r="R126" i="1" s="1"/>
  <c r="Y126" i="1" s="1"/>
  <c r="M126" i="1"/>
  <c r="X125" i="1"/>
  <c r="U125" i="1"/>
  <c r="O125" i="1"/>
  <c r="P125" i="1" s="1"/>
  <c r="Q125" i="1" s="1"/>
  <c r="R125" i="1" s="1"/>
  <c r="Y125" i="1" s="1"/>
  <c r="M125" i="1"/>
  <c r="X124" i="1"/>
  <c r="Y124" i="1" s="1"/>
  <c r="U124" i="1"/>
  <c r="O124" i="1"/>
  <c r="P124" i="1" s="1"/>
  <c r="Q124" i="1" s="1"/>
  <c r="R124" i="1" s="1"/>
  <c r="M124" i="1"/>
  <c r="AB123" i="1"/>
  <c r="AA123" i="1"/>
  <c r="Z123" i="1"/>
  <c r="M123" i="1"/>
  <c r="X122" i="1"/>
  <c r="U122" i="1"/>
  <c r="O122" i="1"/>
  <c r="P122" i="1" s="1"/>
  <c r="Q122" i="1" s="1"/>
  <c r="R122" i="1" s="1"/>
  <c r="Y122" i="1" s="1"/>
  <c r="AA122" i="1" s="1"/>
  <c r="AB122" i="1" s="1"/>
  <c r="M122" i="1"/>
  <c r="X121" i="1"/>
  <c r="U121" i="1"/>
  <c r="Q121" i="1"/>
  <c r="R121" i="1" s="1"/>
  <c r="Y121" i="1" s="1"/>
  <c r="O121" i="1"/>
  <c r="P121" i="1" s="1"/>
  <c r="M121" i="1"/>
  <c r="X120" i="1"/>
  <c r="U120" i="1"/>
  <c r="O120" i="1"/>
  <c r="P120" i="1" s="1"/>
  <c r="Q120" i="1" s="1"/>
  <c r="R120" i="1" s="1"/>
  <c r="Y120" i="1" s="1"/>
  <c r="M120" i="1"/>
  <c r="X119" i="1"/>
  <c r="U119" i="1"/>
  <c r="P119" i="1"/>
  <c r="Q119" i="1" s="1"/>
  <c r="R119" i="1" s="1"/>
  <c r="Y119" i="1" s="1"/>
  <c r="O119" i="1"/>
  <c r="M119" i="1"/>
  <c r="X118" i="1"/>
  <c r="U118" i="1"/>
  <c r="O118" i="1"/>
  <c r="P118" i="1" s="1"/>
  <c r="Q118" i="1" s="1"/>
  <c r="R118" i="1" s="1"/>
  <c r="Y118" i="1" s="1"/>
  <c r="M118" i="1"/>
  <c r="X117" i="1"/>
  <c r="U117" i="1"/>
  <c r="Q117" i="1"/>
  <c r="R117" i="1" s="1"/>
  <c r="Y117" i="1" s="1"/>
  <c r="P117" i="1"/>
  <c r="O117" i="1"/>
  <c r="M117" i="1"/>
  <c r="X116" i="1"/>
  <c r="U116" i="1"/>
  <c r="P116" i="1"/>
  <c r="Q116" i="1" s="1"/>
  <c r="R116" i="1" s="1"/>
  <c r="Y116" i="1" s="1"/>
  <c r="O116" i="1"/>
  <c r="M116" i="1"/>
  <c r="X115" i="1"/>
  <c r="U115" i="1"/>
  <c r="O115" i="1"/>
  <c r="P115" i="1" s="1"/>
  <c r="Q115" i="1" s="1"/>
  <c r="R115" i="1" s="1"/>
  <c r="Y115" i="1" s="1"/>
  <c r="Z115" i="1" s="1"/>
  <c r="M115" i="1"/>
  <c r="X114" i="1"/>
  <c r="U114" i="1"/>
  <c r="O114" i="1"/>
  <c r="P114" i="1" s="1"/>
  <c r="Q114" i="1" s="1"/>
  <c r="R114" i="1" s="1"/>
  <c r="Y114" i="1" s="1"/>
  <c r="M114" i="1"/>
  <c r="X113" i="1"/>
  <c r="U113" i="1"/>
  <c r="O113" i="1"/>
  <c r="P113" i="1" s="1"/>
  <c r="Q113" i="1" s="1"/>
  <c r="R113" i="1" s="1"/>
  <c r="Y113" i="1" s="1"/>
  <c r="M113" i="1"/>
  <c r="X112" i="1"/>
  <c r="U112" i="1"/>
  <c r="O112" i="1"/>
  <c r="P112" i="1" s="1"/>
  <c r="Q112" i="1" s="1"/>
  <c r="R112" i="1" s="1"/>
  <c r="Y112" i="1" s="1"/>
  <c r="M112" i="1"/>
  <c r="X111" i="1"/>
  <c r="U111" i="1"/>
  <c r="P111" i="1"/>
  <c r="Q111" i="1" s="1"/>
  <c r="R111" i="1" s="1"/>
  <c r="O111" i="1"/>
  <c r="M111" i="1"/>
  <c r="X110" i="1"/>
  <c r="U110" i="1"/>
  <c r="O110" i="1"/>
  <c r="P110" i="1" s="1"/>
  <c r="Q110" i="1" s="1"/>
  <c r="R110" i="1" s="1"/>
  <c r="Y110" i="1" s="1"/>
  <c r="M110" i="1"/>
  <c r="X109" i="1"/>
  <c r="U109" i="1"/>
  <c r="O109" i="1"/>
  <c r="P109" i="1" s="1"/>
  <c r="Q109" i="1" s="1"/>
  <c r="R109" i="1" s="1"/>
  <c r="Y109" i="1" s="1"/>
  <c r="M109" i="1"/>
  <c r="X108" i="1"/>
  <c r="U108" i="1"/>
  <c r="O108" i="1"/>
  <c r="P108" i="1" s="1"/>
  <c r="Q108" i="1" s="1"/>
  <c r="R108" i="1" s="1"/>
  <c r="Y108" i="1" s="1"/>
  <c r="M108" i="1"/>
  <c r="X107" i="1"/>
  <c r="U107" i="1"/>
  <c r="R107" i="1"/>
  <c r="Y107" i="1" s="1"/>
  <c r="P107" i="1"/>
  <c r="Q107" i="1" s="1"/>
  <c r="O107" i="1"/>
  <c r="M107" i="1"/>
  <c r="X106" i="1"/>
  <c r="U106" i="1"/>
  <c r="O106" i="1"/>
  <c r="P106" i="1" s="1"/>
  <c r="Q106" i="1" s="1"/>
  <c r="R106" i="1" s="1"/>
  <c r="Y106" i="1" s="1"/>
  <c r="M106" i="1"/>
  <c r="X105" i="1"/>
  <c r="U105" i="1"/>
  <c r="P105" i="1"/>
  <c r="Q105" i="1" s="1"/>
  <c r="R105" i="1" s="1"/>
  <c r="Y105" i="1" s="1"/>
  <c r="O105" i="1"/>
  <c r="M105" i="1"/>
  <c r="X104" i="1"/>
  <c r="U104" i="1"/>
  <c r="O104" i="1"/>
  <c r="P104" i="1" s="1"/>
  <c r="Q104" i="1" s="1"/>
  <c r="R104" i="1" s="1"/>
  <c r="Y104" i="1" s="1"/>
  <c r="M104" i="1"/>
  <c r="X103" i="1"/>
  <c r="U103" i="1"/>
  <c r="P103" i="1"/>
  <c r="Q103" i="1" s="1"/>
  <c r="R103" i="1" s="1"/>
  <c r="Y103" i="1" s="1"/>
  <c r="O103" i="1"/>
  <c r="M103" i="1"/>
  <c r="X102" i="1"/>
  <c r="U102" i="1"/>
  <c r="P102" i="1"/>
  <c r="Q102" i="1" s="1"/>
  <c r="R102" i="1" s="1"/>
  <c r="Y102" i="1" s="1"/>
  <c r="AA102" i="1" s="1"/>
  <c r="AB102" i="1" s="1"/>
  <c r="O102" i="1"/>
  <c r="M102" i="1"/>
  <c r="Z101" i="1"/>
  <c r="X101" i="1"/>
  <c r="U101" i="1"/>
  <c r="R101" i="1"/>
  <c r="Y101" i="1" s="1"/>
  <c r="AA101" i="1" s="1"/>
  <c r="AB101" i="1" s="1"/>
  <c r="O101" i="1"/>
  <c r="P101" i="1" s="1"/>
  <c r="Q101" i="1" s="1"/>
  <c r="M101" i="1"/>
  <c r="X100" i="1"/>
  <c r="U100" i="1"/>
  <c r="O100" i="1"/>
  <c r="P100" i="1" s="1"/>
  <c r="Q100" i="1" s="1"/>
  <c r="R100" i="1" s="1"/>
  <c r="Y100" i="1" s="1"/>
  <c r="M100" i="1"/>
  <c r="X99" i="1"/>
  <c r="U99" i="1"/>
  <c r="P99" i="1"/>
  <c r="Q99" i="1" s="1"/>
  <c r="R99" i="1" s="1"/>
  <c r="Y99" i="1" s="1"/>
  <c r="O99" i="1"/>
  <c r="M99" i="1"/>
  <c r="X98" i="1"/>
  <c r="U98" i="1"/>
  <c r="O98" i="1"/>
  <c r="P98" i="1" s="1"/>
  <c r="Q98" i="1" s="1"/>
  <c r="R98" i="1" s="1"/>
  <c r="Y98" i="1" s="1"/>
  <c r="AA98" i="1" s="1"/>
  <c r="AB98" i="1" s="1"/>
  <c r="M98" i="1"/>
  <c r="X97" i="1"/>
  <c r="U97" i="1"/>
  <c r="P97" i="1"/>
  <c r="Q97" i="1" s="1"/>
  <c r="R97" i="1" s="1"/>
  <c r="Y97" i="1" s="1"/>
  <c r="O97" i="1"/>
  <c r="M97" i="1"/>
  <c r="X96" i="1"/>
  <c r="U96" i="1"/>
  <c r="P96" i="1"/>
  <c r="Q96" i="1" s="1"/>
  <c r="R96" i="1" s="1"/>
  <c r="Y96" i="1" s="1"/>
  <c r="O96" i="1"/>
  <c r="M96" i="1"/>
  <c r="X95" i="1"/>
  <c r="U95" i="1"/>
  <c r="P95" i="1"/>
  <c r="Q95" i="1" s="1"/>
  <c r="R95" i="1" s="1"/>
  <c r="Y95" i="1" s="1"/>
  <c r="O95" i="1"/>
  <c r="M95" i="1"/>
  <c r="X94" i="1"/>
  <c r="U94" i="1"/>
  <c r="Q94" i="1"/>
  <c r="R94" i="1" s="1"/>
  <c r="Y94" i="1" s="1"/>
  <c r="Z94" i="1" s="1"/>
  <c r="O94" i="1"/>
  <c r="P94" i="1" s="1"/>
  <c r="M94" i="1"/>
  <c r="X93" i="1"/>
  <c r="U93" i="1"/>
  <c r="R93" i="1"/>
  <c r="Y93" i="1" s="1"/>
  <c r="Z93" i="1" s="1"/>
  <c r="P93" i="1"/>
  <c r="Q93" i="1" s="1"/>
  <c r="O93" i="1"/>
  <c r="M93" i="1"/>
  <c r="X92" i="1"/>
  <c r="U92" i="1"/>
  <c r="R92" i="1"/>
  <c r="Y92" i="1" s="1"/>
  <c r="Q92" i="1"/>
  <c r="O92" i="1"/>
  <c r="P92" i="1" s="1"/>
  <c r="M92" i="1"/>
  <c r="X91" i="1"/>
  <c r="U91" i="1"/>
  <c r="O91" i="1"/>
  <c r="P91" i="1" s="1"/>
  <c r="Q91" i="1" s="1"/>
  <c r="R91" i="1" s="1"/>
  <c r="Y91" i="1" s="1"/>
  <c r="M91" i="1"/>
  <c r="X90" i="1"/>
  <c r="U90" i="1"/>
  <c r="O90" i="1"/>
  <c r="P90" i="1" s="1"/>
  <c r="Q90" i="1" s="1"/>
  <c r="R90" i="1" s="1"/>
  <c r="Y90" i="1" s="1"/>
  <c r="M90" i="1"/>
  <c r="Y89" i="1"/>
  <c r="AA89" i="1" s="1"/>
  <c r="AB89" i="1" s="1"/>
  <c r="X89" i="1"/>
  <c r="U89" i="1"/>
  <c r="O89" i="1"/>
  <c r="P89" i="1" s="1"/>
  <c r="Q89" i="1" s="1"/>
  <c r="R89" i="1" s="1"/>
  <c r="M89" i="1"/>
  <c r="X88" i="1"/>
  <c r="U88" i="1"/>
  <c r="R88" i="1"/>
  <c r="Y88" i="1" s="1"/>
  <c r="Q88" i="1"/>
  <c r="O88" i="1"/>
  <c r="P88" i="1" s="1"/>
  <c r="M88" i="1"/>
  <c r="X87" i="1"/>
  <c r="U87" i="1"/>
  <c r="P87" i="1"/>
  <c r="Q87" i="1" s="1"/>
  <c r="R87" i="1" s="1"/>
  <c r="Y87" i="1" s="1"/>
  <c r="O87" i="1"/>
  <c r="M87" i="1"/>
  <c r="X86" i="1"/>
  <c r="U86" i="1"/>
  <c r="Q86" i="1"/>
  <c r="R86" i="1" s="1"/>
  <c r="Y86" i="1" s="1"/>
  <c r="O86" i="1"/>
  <c r="P86" i="1" s="1"/>
  <c r="M86" i="1"/>
  <c r="X85" i="1"/>
  <c r="U85" i="1"/>
  <c r="O85" i="1"/>
  <c r="P85" i="1" s="1"/>
  <c r="Q85" i="1" s="1"/>
  <c r="R85" i="1" s="1"/>
  <c r="Y85" i="1" s="1"/>
  <c r="Z85" i="1" s="1"/>
  <c r="M85" i="1"/>
  <c r="X84" i="1"/>
  <c r="U84" i="1"/>
  <c r="P84" i="1"/>
  <c r="Q84" i="1" s="1"/>
  <c r="R84" i="1" s="1"/>
  <c r="Y84" i="1" s="1"/>
  <c r="O84" i="1"/>
  <c r="M84" i="1"/>
  <c r="X83" i="1"/>
  <c r="U83" i="1"/>
  <c r="O83" i="1"/>
  <c r="P83" i="1" s="1"/>
  <c r="Q83" i="1" s="1"/>
  <c r="R83" i="1" s="1"/>
  <c r="Y83" i="1" s="1"/>
  <c r="M83" i="1"/>
  <c r="X82" i="1"/>
  <c r="U82" i="1"/>
  <c r="R82" i="1"/>
  <c r="Y82" i="1" s="1"/>
  <c r="P82" i="1"/>
  <c r="Q82" i="1" s="1"/>
  <c r="O82" i="1"/>
  <c r="M82" i="1"/>
  <c r="X81" i="1"/>
  <c r="U81" i="1"/>
  <c r="P81" i="1"/>
  <c r="Q81" i="1" s="1"/>
  <c r="R81" i="1" s="1"/>
  <c r="Y81" i="1" s="1"/>
  <c r="O81" i="1"/>
  <c r="M81" i="1"/>
  <c r="AA80" i="1"/>
  <c r="AB80" i="1" s="1"/>
  <c r="X80" i="1"/>
  <c r="U80" i="1"/>
  <c r="O80" i="1"/>
  <c r="P80" i="1" s="1"/>
  <c r="Q80" i="1" s="1"/>
  <c r="R80" i="1" s="1"/>
  <c r="Y80" i="1" s="1"/>
  <c r="Z80" i="1" s="1"/>
  <c r="M80" i="1"/>
  <c r="X79" i="1"/>
  <c r="U79" i="1"/>
  <c r="Q79" i="1"/>
  <c r="R79" i="1" s="1"/>
  <c r="Y79" i="1" s="1"/>
  <c r="AA79" i="1" s="1"/>
  <c r="AB79" i="1" s="1"/>
  <c r="P79" i="1"/>
  <c r="O79" i="1"/>
  <c r="M79" i="1"/>
  <c r="X78" i="1"/>
  <c r="U78" i="1"/>
  <c r="O78" i="1"/>
  <c r="P78" i="1" s="1"/>
  <c r="Q78" i="1" s="1"/>
  <c r="R78" i="1" s="1"/>
  <c r="Y78" i="1" s="1"/>
  <c r="M78" i="1"/>
  <c r="X77" i="1"/>
  <c r="U77" i="1"/>
  <c r="O77" i="1"/>
  <c r="P77" i="1" s="1"/>
  <c r="Q77" i="1" s="1"/>
  <c r="R77" i="1" s="1"/>
  <c r="Y77" i="1" s="1"/>
  <c r="M77" i="1"/>
  <c r="X76" i="1"/>
  <c r="U76" i="1"/>
  <c r="O76" i="1"/>
  <c r="P76" i="1" s="1"/>
  <c r="Q76" i="1" s="1"/>
  <c r="R76" i="1" s="1"/>
  <c r="Y76" i="1" s="1"/>
  <c r="M76" i="1"/>
  <c r="X75" i="1"/>
  <c r="U75" i="1"/>
  <c r="P75" i="1"/>
  <c r="Q75" i="1" s="1"/>
  <c r="R75" i="1" s="1"/>
  <c r="Y75" i="1" s="1"/>
  <c r="O75" i="1"/>
  <c r="M75" i="1"/>
  <c r="X74" i="1"/>
  <c r="U74" i="1"/>
  <c r="O74" i="1"/>
  <c r="P74" i="1" s="1"/>
  <c r="Q74" i="1" s="1"/>
  <c r="R74" i="1" s="1"/>
  <c r="Y74" i="1" s="1"/>
  <c r="Z74" i="1" s="1"/>
  <c r="M74" i="1"/>
  <c r="X73" i="1"/>
  <c r="U73" i="1"/>
  <c r="Q73" i="1"/>
  <c r="R73" i="1" s="1"/>
  <c r="Y73" i="1" s="1"/>
  <c r="P73" i="1"/>
  <c r="O73" i="1"/>
  <c r="M73" i="1"/>
  <c r="X72" i="1"/>
  <c r="U72" i="1"/>
  <c r="O72" i="1"/>
  <c r="P72" i="1" s="1"/>
  <c r="Q72" i="1" s="1"/>
  <c r="R72" i="1" s="1"/>
  <c r="Y72" i="1" s="1"/>
  <c r="M72" i="1"/>
  <c r="X71" i="1"/>
  <c r="U71" i="1"/>
  <c r="P71" i="1"/>
  <c r="Q71" i="1" s="1"/>
  <c r="R71" i="1" s="1"/>
  <c r="Y71" i="1" s="1"/>
  <c r="O71" i="1"/>
  <c r="M71" i="1"/>
  <c r="X70" i="1"/>
  <c r="U70" i="1"/>
  <c r="P70" i="1"/>
  <c r="Q70" i="1" s="1"/>
  <c r="R70" i="1" s="1"/>
  <c r="Y70" i="1" s="1"/>
  <c r="O70" i="1"/>
  <c r="M70" i="1"/>
  <c r="X69" i="1"/>
  <c r="U69" i="1"/>
  <c r="O69" i="1"/>
  <c r="P69" i="1" s="1"/>
  <c r="Q69" i="1" s="1"/>
  <c r="R69" i="1" s="1"/>
  <c r="Y69" i="1" s="1"/>
  <c r="Z69" i="1" s="1"/>
  <c r="M69" i="1"/>
  <c r="Y68" i="1"/>
  <c r="AA68" i="1" s="1"/>
  <c r="AB68" i="1" s="1"/>
  <c r="X68" i="1"/>
  <c r="U68" i="1"/>
  <c r="Q68" i="1"/>
  <c r="R68" i="1" s="1"/>
  <c r="P68" i="1"/>
  <c r="O68" i="1"/>
  <c r="M68" i="1"/>
  <c r="X67" i="1"/>
  <c r="U67" i="1"/>
  <c r="O67" i="1"/>
  <c r="P67" i="1" s="1"/>
  <c r="Q67" i="1" s="1"/>
  <c r="R67" i="1" s="1"/>
  <c r="Y67" i="1" s="1"/>
  <c r="M67" i="1"/>
  <c r="X66" i="1"/>
  <c r="U66" i="1"/>
  <c r="P66" i="1"/>
  <c r="Q66" i="1" s="1"/>
  <c r="R66" i="1" s="1"/>
  <c r="Y66" i="1" s="1"/>
  <c r="AA66" i="1" s="1"/>
  <c r="AB66" i="1" s="1"/>
  <c r="O66" i="1"/>
  <c r="M66" i="1"/>
  <c r="X65" i="1"/>
  <c r="U65" i="1"/>
  <c r="O65" i="1"/>
  <c r="P65" i="1" s="1"/>
  <c r="Q65" i="1" s="1"/>
  <c r="R65" i="1" s="1"/>
  <c r="Y65" i="1" s="1"/>
  <c r="M65" i="1"/>
  <c r="X64" i="1"/>
  <c r="U64" i="1"/>
  <c r="O64" i="1"/>
  <c r="P64" i="1" s="1"/>
  <c r="Q64" i="1" s="1"/>
  <c r="R64" i="1" s="1"/>
  <c r="Y64" i="1" s="1"/>
  <c r="M64" i="1"/>
  <c r="AA63" i="1"/>
  <c r="AB63" i="1" s="1"/>
  <c r="Z63" i="1"/>
  <c r="X63" i="1"/>
  <c r="U63" i="1"/>
  <c r="R63" i="1"/>
  <c r="Y63" i="1" s="1"/>
  <c r="Q63" i="1"/>
  <c r="P63" i="1"/>
  <c r="O63" i="1"/>
  <c r="M63" i="1"/>
  <c r="X62" i="1"/>
  <c r="U62" i="1"/>
  <c r="Q62" i="1"/>
  <c r="R62" i="1" s="1"/>
  <c r="Y62" i="1" s="1"/>
  <c r="P62" i="1"/>
  <c r="O62" i="1"/>
  <c r="M62" i="1"/>
  <c r="X61" i="1"/>
  <c r="U61" i="1"/>
  <c r="O61" i="1"/>
  <c r="P61" i="1" s="1"/>
  <c r="Q61" i="1" s="1"/>
  <c r="R61" i="1" s="1"/>
  <c r="Y61" i="1" s="1"/>
  <c r="M61" i="1"/>
  <c r="X60" i="1"/>
  <c r="U60" i="1"/>
  <c r="R60" i="1"/>
  <c r="Y60" i="1" s="1"/>
  <c r="Q60" i="1"/>
  <c r="P60" i="1"/>
  <c r="O60" i="1"/>
  <c r="M60" i="1"/>
  <c r="X59" i="1"/>
  <c r="U59" i="1"/>
  <c r="O59" i="1"/>
  <c r="P59" i="1" s="1"/>
  <c r="Q59" i="1" s="1"/>
  <c r="R59" i="1" s="1"/>
  <c r="Y59" i="1" s="1"/>
  <c r="M59" i="1"/>
  <c r="X58" i="1"/>
  <c r="U58" i="1"/>
  <c r="R58" i="1"/>
  <c r="Y58" i="1" s="1"/>
  <c r="Z58" i="1" s="1"/>
  <c r="Q58" i="1"/>
  <c r="P58" i="1"/>
  <c r="O58" i="1"/>
  <c r="M58" i="1"/>
  <c r="X57" i="1"/>
  <c r="U57" i="1"/>
  <c r="P57" i="1"/>
  <c r="Q57" i="1" s="1"/>
  <c r="R57" i="1" s="1"/>
  <c r="Y57" i="1" s="1"/>
  <c r="AA57" i="1" s="1"/>
  <c r="AB57" i="1" s="1"/>
  <c r="O57" i="1"/>
  <c r="M57" i="1"/>
  <c r="X56" i="1"/>
  <c r="U56" i="1"/>
  <c r="O56" i="1"/>
  <c r="P56" i="1" s="1"/>
  <c r="Q56" i="1" s="1"/>
  <c r="R56" i="1" s="1"/>
  <c r="Y56" i="1" s="1"/>
  <c r="M56" i="1"/>
  <c r="X55" i="1"/>
  <c r="U55" i="1"/>
  <c r="O55" i="1"/>
  <c r="P55" i="1" s="1"/>
  <c r="Q55" i="1" s="1"/>
  <c r="R55" i="1" s="1"/>
  <c r="Y55" i="1" s="1"/>
  <c r="M55" i="1"/>
  <c r="X54" i="1"/>
  <c r="U54" i="1"/>
  <c r="O54" i="1"/>
  <c r="P54" i="1" s="1"/>
  <c r="Q54" i="1" s="1"/>
  <c r="R54" i="1" s="1"/>
  <c r="Y54" i="1" s="1"/>
  <c r="M54" i="1"/>
  <c r="X53" i="1"/>
  <c r="U53" i="1"/>
  <c r="O53" i="1"/>
  <c r="P53" i="1" s="1"/>
  <c r="Q53" i="1" s="1"/>
  <c r="R53" i="1" s="1"/>
  <c r="Y53" i="1" s="1"/>
  <c r="M53" i="1"/>
  <c r="AA52" i="1"/>
  <c r="AB52" i="1" s="1"/>
  <c r="Z52" i="1"/>
  <c r="X52" i="1"/>
  <c r="U52" i="1"/>
  <c r="R52" i="1"/>
  <c r="Y52" i="1" s="1"/>
  <c r="Q52" i="1"/>
  <c r="O52" i="1"/>
  <c r="P52" i="1" s="1"/>
  <c r="M52" i="1"/>
  <c r="X51" i="1"/>
  <c r="U51" i="1"/>
  <c r="P51" i="1"/>
  <c r="Q51" i="1" s="1"/>
  <c r="R51" i="1" s="1"/>
  <c r="Y51" i="1" s="1"/>
  <c r="O51" i="1"/>
  <c r="M51" i="1"/>
  <c r="Y50" i="1"/>
  <c r="Z50" i="1" s="1"/>
  <c r="X50" i="1"/>
  <c r="U50" i="1"/>
  <c r="O50" i="1"/>
  <c r="P50" i="1" s="1"/>
  <c r="Q50" i="1" s="1"/>
  <c r="R50" i="1" s="1"/>
  <c r="M50" i="1"/>
  <c r="X49" i="1"/>
  <c r="U49" i="1"/>
  <c r="R49" i="1"/>
  <c r="Y49" i="1" s="1"/>
  <c r="Q49" i="1"/>
  <c r="O49" i="1"/>
  <c r="P49" i="1" s="1"/>
  <c r="M49" i="1"/>
  <c r="X48" i="1"/>
  <c r="U48" i="1"/>
  <c r="O48" i="1"/>
  <c r="P48" i="1" s="1"/>
  <c r="Q48" i="1" s="1"/>
  <c r="R48" i="1" s="1"/>
  <c r="Y48" i="1" s="1"/>
  <c r="M48" i="1"/>
  <c r="X47" i="1"/>
  <c r="U47" i="1"/>
  <c r="O47" i="1"/>
  <c r="P47" i="1" s="1"/>
  <c r="Q47" i="1" s="1"/>
  <c r="R47" i="1" s="1"/>
  <c r="Y47" i="1" s="1"/>
  <c r="M47" i="1"/>
  <c r="X46" i="1"/>
  <c r="U46" i="1"/>
  <c r="P46" i="1"/>
  <c r="Q46" i="1" s="1"/>
  <c r="R46" i="1" s="1"/>
  <c r="O46" i="1"/>
  <c r="M46" i="1"/>
  <c r="X45" i="1"/>
  <c r="U45" i="1"/>
  <c r="R45" i="1"/>
  <c r="Y45" i="1" s="1"/>
  <c r="Z45" i="1" s="1"/>
  <c r="O45" i="1"/>
  <c r="P45" i="1" s="1"/>
  <c r="Q45" i="1" s="1"/>
  <c r="M45" i="1"/>
  <c r="X44" i="1"/>
  <c r="U44" i="1"/>
  <c r="O44" i="1"/>
  <c r="P44" i="1" s="1"/>
  <c r="Q44" i="1" s="1"/>
  <c r="R44" i="1" s="1"/>
  <c r="Y44" i="1" s="1"/>
  <c r="M44" i="1"/>
  <c r="X43" i="1"/>
  <c r="U43" i="1"/>
  <c r="Q43" i="1"/>
  <c r="R43" i="1" s="1"/>
  <c r="Y43" i="1" s="1"/>
  <c r="P43" i="1"/>
  <c r="O43" i="1"/>
  <c r="M43" i="1"/>
  <c r="X42" i="1"/>
  <c r="U42" i="1"/>
  <c r="P42" i="1"/>
  <c r="Q42" i="1" s="1"/>
  <c r="R42" i="1" s="1"/>
  <c r="Y42" i="1" s="1"/>
  <c r="O42" i="1"/>
  <c r="M42" i="1"/>
  <c r="AA41" i="1"/>
  <c r="AB41" i="1" s="1"/>
  <c r="X41" i="1"/>
  <c r="U41" i="1"/>
  <c r="R41" i="1"/>
  <c r="Y41" i="1" s="1"/>
  <c r="Z41" i="1" s="1"/>
  <c r="O41" i="1"/>
  <c r="P41" i="1" s="1"/>
  <c r="Q41" i="1" s="1"/>
  <c r="M41" i="1"/>
  <c r="X40" i="1"/>
  <c r="U40" i="1"/>
  <c r="O40" i="1"/>
  <c r="P40" i="1" s="1"/>
  <c r="Q40" i="1" s="1"/>
  <c r="R40" i="1" s="1"/>
  <c r="Y40" i="1" s="1"/>
  <c r="M40" i="1"/>
  <c r="X39" i="1"/>
  <c r="U39" i="1"/>
  <c r="P39" i="1"/>
  <c r="Q39" i="1" s="1"/>
  <c r="R39" i="1" s="1"/>
  <c r="Y39" i="1" s="1"/>
  <c r="O39" i="1"/>
  <c r="M39" i="1"/>
  <c r="X38" i="1"/>
  <c r="U38" i="1"/>
  <c r="O38" i="1"/>
  <c r="P38" i="1" s="1"/>
  <c r="Q38" i="1" s="1"/>
  <c r="R38" i="1" s="1"/>
  <c r="Y38" i="1" s="1"/>
  <c r="M38" i="1"/>
  <c r="X37" i="1"/>
  <c r="U37" i="1"/>
  <c r="P37" i="1"/>
  <c r="Q37" i="1" s="1"/>
  <c r="R37" i="1" s="1"/>
  <c r="Y37" i="1" s="1"/>
  <c r="O37" i="1"/>
  <c r="M37" i="1"/>
  <c r="X36" i="1"/>
  <c r="U36" i="1"/>
  <c r="P36" i="1"/>
  <c r="Q36" i="1" s="1"/>
  <c r="R36" i="1" s="1"/>
  <c r="Y36" i="1" s="1"/>
  <c r="O36" i="1"/>
  <c r="M36" i="1"/>
  <c r="X35" i="1"/>
  <c r="U35" i="1"/>
  <c r="Q35" i="1"/>
  <c r="R35" i="1" s="1"/>
  <c r="Y35" i="1" s="1"/>
  <c r="P35" i="1"/>
  <c r="O35" i="1"/>
  <c r="M35" i="1"/>
  <c r="X34" i="1"/>
  <c r="U34" i="1"/>
  <c r="O34" i="1"/>
  <c r="P34" i="1" s="1"/>
  <c r="Q34" i="1" s="1"/>
  <c r="R34" i="1" s="1"/>
  <c r="Y34" i="1" s="1"/>
  <c r="M34" i="1"/>
  <c r="X33" i="1"/>
  <c r="U33" i="1"/>
  <c r="R33" i="1"/>
  <c r="Y33" i="1" s="1"/>
  <c r="Q33" i="1"/>
  <c r="P33" i="1"/>
  <c r="O33" i="1"/>
  <c r="M33" i="1"/>
  <c r="X32" i="1"/>
  <c r="U32" i="1"/>
  <c r="P32" i="1"/>
  <c r="Q32" i="1" s="1"/>
  <c r="R32" i="1" s="1"/>
  <c r="Y32" i="1" s="1"/>
  <c r="O32" i="1"/>
  <c r="M32" i="1"/>
  <c r="X31" i="1"/>
  <c r="U31" i="1"/>
  <c r="Q31" i="1"/>
  <c r="R31" i="1" s="1"/>
  <c r="Y31" i="1" s="1"/>
  <c r="O31" i="1"/>
  <c r="P31" i="1" s="1"/>
  <c r="M31" i="1"/>
  <c r="X30" i="1"/>
  <c r="U30" i="1"/>
  <c r="P30" i="1"/>
  <c r="Q30" i="1" s="1"/>
  <c r="R30" i="1" s="1"/>
  <c r="Y30" i="1" s="1"/>
  <c r="O30" i="1"/>
  <c r="M30" i="1"/>
  <c r="X29" i="1"/>
  <c r="U29" i="1"/>
  <c r="O29" i="1"/>
  <c r="P29" i="1" s="1"/>
  <c r="Q29" i="1" s="1"/>
  <c r="R29" i="1" s="1"/>
  <c r="Y29" i="1" s="1"/>
  <c r="M29" i="1"/>
  <c r="X28" i="1"/>
  <c r="U28" i="1"/>
  <c r="R28" i="1"/>
  <c r="Y28" i="1" s="1"/>
  <c r="AA28" i="1" s="1"/>
  <c r="AB28" i="1" s="1"/>
  <c r="O28" i="1"/>
  <c r="P28" i="1" s="1"/>
  <c r="Q28" i="1" s="1"/>
  <c r="M28" i="1"/>
  <c r="X27" i="1"/>
  <c r="U27" i="1"/>
  <c r="P27" i="1"/>
  <c r="Q27" i="1" s="1"/>
  <c r="R27" i="1" s="1"/>
  <c r="Y27" i="1" s="1"/>
  <c r="O27" i="1"/>
  <c r="M27" i="1"/>
  <c r="X26" i="1"/>
  <c r="U26" i="1"/>
  <c r="Q26" i="1"/>
  <c r="R26" i="1" s="1"/>
  <c r="Y26" i="1" s="1"/>
  <c r="P26" i="1"/>
  <c r="O26" i="1"/>
  <c r="M26" i="1"/>
  <c r="X25" i="1"/>
  <c r="U25" i="1"/>
  <c r="O25" i="1"/>
  <c r="P25" i="1" s="1"/>
  <c r="Q25" i="1" s="1"/>
  <c r="R25" i="1" s="1"/>
  <c r="Y25" i="1" s="1"/>
  <c r="M25" i="1"/>
  <c r="Z24" i="1"/>
  <c r="X24" i="1"/>
  <c r="U24" i="1"/>
  <c r="R24" i="1"/>
  <c r="Y24" i="1" s="1"/>
  <c r="AA24" i="1" s="1"/>
  <c r="AB24" i="1" s="1"/>
  <c r="Q24" i="1"/>
  <c r="P24" i="1"/>
  <c r="O24" i="1"/>
  <c r="M24" i="1"/>
  <c r="X23" i="1"/>
  <c r="U23" i="1"/>
  <c r="O23" i="1"/>
  <c r="P23" i="1" s="1"/>
  <c r="Q23" i="1" s="1"/>
  <c r="R23" i="1" s="1"/>
  <c r="Y23" i="1" s="1"/>
  <c r="M23" i="1"/>
  <c r="X22" i="1"/>
  <c r="U22" i="1"/>
  <c r="P22" i="1"/>
  <c r="Q22" i="1" s="1"/>
  <c r="R22" i="1" s="1"/>
  <c r="Y22" i="1" s="1"/>
  <c r="O22" i="1"/>
  <c r="M22" i="1"/>
  <c r="X21" i="1"/>
  <c r="U21" i="1"/>
  <c r="P21" i="1"/>
  <c r="Q21" i="1" s="1"/>
  <c r="R21" i="1" s="1"/>
  <c r="Y21" i="1" s="1"/>
  <c r="O21" i="1"/>
  <c r="M21" i="1"/>
  <c r="X20" i="1"/>
  <c r="U20" i="1"/>
  <c r="O20" i="1"/>
  <c r="P20" i="1" s="1"/>
  <c r="Q20" i="1" s="1"/>
  <c r="R20" i="1" s="1"/>
  <c r="Y20" i="1" s="1"/>
  <c r="M20" i="1"/>
  <c r="X19" i="1"/>
  <c r="U19" i="1"/>
  <c r="O19" i="1"/>
  <c r="P19" i="1" s="1"/>
  <c r="Q19" i="1" s="1"/>
  <c r="R19" i="1" s="1"/>
  <c r="M19" i="1"/>
  <c r="X18" i="1"/>
  <c r="U18" i="1"/>
  <c r="P18" i="1"/>
  <c r="Q18" i="1" s="1"/>
  <c r="R18" i="1" s="1"/>
  <c r="Y18" i="1" s="1"/>
  <c r="O18" i="1"/>
  <c r="M18" i="1"/>
  <c r="X17" i="1"/>
  <c r="U17" i="1"/>
  <c r="O17" i="1"/>
  <c r="P17" i="1" s="1"/>
  <c r="Q17" i="1" s="1"/>
  <c r="R17" i="1" s="1"/>
  <c r="Y17" i="1" s="1"/>
  <c r="M17" i="1"/>
  <c r="X16" i="1"/>
  <c r="U16" i="1"/>
  <c r="O16" i="1"/>
  <c r="P16" i="1" s="1"/>
  <c r="Q16" i="1" s="1"/>
  <c r="R16" i="1" s="1"/>
  <c r="Y16" i="1" s="1"/>
  <c r="M16" i="1"/>
  <c r="X15" i="1"/>
  <c r="U15" i="1"/>
  <c r="R15" i="1"/>
  <c r="Y15" i="1" s="1"/>
  <c r="AA15" i="1" s="1"/>
  <c r="AB15" i="1" s="1"/>
  <c r="Q15" i="1"/>
  <c r="P15" i="1"/>
  <c r="O15" i="1"/>
  <c r="M15" i="1"/>
  <c r="X14" i="1"/>
  <c r="U14" i="1"/>
  <c r="Q14" i="1"/>
  <c r="R14" i="1" s="1"/>
  <c r="Y14" i="1" s="1"/>
  <c r="P14" i="1"/>
  <c r="O14" i="1"/>
  <c r="M14" i="1"/>
  <c r="X13" i="1"/>
  <c r="U13" i="1"/>
  <c r="O13" i="1"/>
  <c r="P13" i="1" s="1"/>
  <c r="Q13" i="1" s="1"/>
  <c r="R13" i="1" s="1"/>
  <c r="Y13" i="1" s="1"/>
  <c r="Z13" i="1" s="1"/>
  <c r="M13" i="1"/>
  <c r="X12" i="1"/>
  <c r="Y12" i="1" s="1"/>
  <c r="U12" i="1"/>
  <c r="P12" i="1"/>
  <c r="Q12" i="1" s="1"/>
  <c r="R12" i="1" s="1"/>
  <c r="O12" i="1"/>
  <c r="M12" i="1"/>
  <c r="X11" i="1"/>
  <c r="U11" i="1"/>
  <c r="O11" i="1"/>
  <c r="P11" i="1" s="1"/>
  <c r="Q11" i="1" s="1"/>
  <c r="R11" i="1" s="1"/>
  <c r="Y11" i="1" s="1"/>
  <c r="M11" i="1"/>
  <c r="X10" i="1"/>
  <c r="U10" i="1"/>
  <c r="P10" i="1"/>
  <c r="Q10" i="1" s="1"/>
  <c r="R10" i="1" s="1"/>
  <c r="Y10" i="1" s="1"/>
  <c r="O10" i="1"/>
  <c r="M10" i="1"/>
  <c r="X9" i="1"/>
  <c r="U9" i="1"/>
  <c r="O9" i="1"/>
  <c r="P9" i="1" s="1"/>
  <c r="Q9" i="1" s="1"/>
  <c r="R9" i="1" s="1"/>
  <c r="Y9" i="1" s="1"/>
  <c r="M9" i="1"/>
  <c r="X8" i="1"/>
  <c r="U8" i="1"/>
  <c r="O8" i="1"/>
  <c r="P8" i="1" s="1"/>
  <c r="Q8" i="1" s="1"/>
  <c r="R8" i="1" s="1"/>
  <c r="Y8" i="1" s="1"/>
  <c r="Z8" i="1" s="1"/>
  <c r="M8" i="1"/>
  <c r="X7" i="1"/>
  <c r="U7" i="1"/>
  <c r="M7" i="1"/>
  <c r="X6" i="1"/>
  <c r="U6" i="1"/>
  <c r="O6" i="1"/>
  <c r="P6" i="1" s="1"/>
  <c r="Q6" i="1" s="1"/>
  <c r="R6" i="1" s="1"/>
  <c r="Y6" i="1" s="1"/>
  <c r="M6" i="1"/>
  <c r="X5" i="1"/>
  <c r="U5" i="1"/>
  <c r="O5" i="1"/>
  <c r="P5" i="1" s="1"/>
  <c r="Q5" i="1" s="1"/>
  <c r="R5" i="1" s="1"/>
  <c r="Y5" i="1" s="1"/>
  <c r="M5" i="1"/>
  <c r="X4" i="1"/>
  <c r="U4" i="1"/>
  <c r="O4" i="1"/>
  <c r="P4" i="1" s="1"/>
  <c r="Q4" i="1" s="1"/>
  <c r="R4" i="1" s="1"/>
  <c r="Y4" i="1" s="1"/>
  <c r="M4" i="1"/>
  <c r="X3" i="1"/>
  <c r="U3" i="1"/>
  <c r="O3" i="1"/>
  <c r="M3" i="1"/>
  <c r="C98" i="2" l="1"/>
  <c r="C93" i="2"/>
  <c r="G96" i="2"/>
  <c r="G101" i="2"/>
  <c r="G94" i="2"/>
  <c r="G98" i="2"/>
  <c r="K83" i="2"/>
  <c r="K89" i="2" s="1"/>
  <c r="J88" i="2"/>
  <c r="C88" i="2"/>
  <c r="O66" i="2"/>
  <c r="I18" i="2"/>
  <c r="C84" i="2"/>
  <c r="C90" i="2" s="1"/>
  <c r="C83" i="2"/>
  <c r="C89" i="2" s="1"/>
  <c r="F88" i="2"/>
  <c r="F89" i="2"/>
  <c r="O2" i="2"/>
  <c r="F84" i="2"/>
  <c r="F90" i="2" s="1"/>
  <c r="P18" i="2"/>
  <c r="N18" i="2"/>
  <c r="I35" i="2"/>
  <c r="L35" i="2"/>
  <c r="M35" i="2"/>
  <c r="I19" i="2"/>
  <c r="F81" i="2" s="1"/>
  <c r="F87" i="2" s="1"/>
  <c r="L18" i="2"/>
  <c r="N19" i="2"/>
  <c r="N35" i="2"/>
  <c r="L36" i="2"/>
  <c r="P35" i="2"/>
  <c r="M19" i="2"/>
  <c r="M18" i="2"/>
  <c r="M36" i="2"/>
  <c r="P19" i="2"/>
  <c r="N36" i="2"/>
  <c r="P36" i="2"/>
  <c r="L19" i="2"/>
  <c r="I36" i="2"/>
  <c r="E96" i="2"/>
  <c r="O28" i="2"/>
  <c r="N17" i="2"/>
  <c r="I17" i="2"/>
  <c r="L17" i="2"/>
  <c r="M17" i="2"/>
  <c r="P17" i="2"/>
  <c r="C75" i="2"/>
  <c r="F75" i="2" s="1"/>
  <c r="O58" i="2"/>
  <c r="O67" i="2"/>
  <c r="O11" i="2"/>
  <c r="O23" i="2"/>
  <c r="O65" i="2"/>
  <c r="O56" i="2"/>
  <c r="O30" i="2"/>
  <c r="E93" i="2"/>
  <c r="O14" i="2"/>
  <c r="O39" i="2"/>
  <c r="O9" i="2"/>
  <c r="O21" i="2"/>
  <c r="O43" i="2"/>
  <c r="O54" i="2"/>
  <c r="E99" i="2"/>
  <c r="O37" i="2"/>
  <c r="E100" i="2"/>
  <c r="O15" i="2"/>
  <c r="O29" i="2"/>
  <c r="O40" i="2"/>
  <c r="O49" i="2"/>
  <c r="O62" i="2"/>
  <c r="O22" i="2"/>
  <c r="O13" i="2"/>
  <c r="O25" i="2"/>
  <c r="O27" i="2"/>
  <c r="O47" i="2"/>
  <c r="E101" i="2"/>
  <c r="O5" i="2"/>
  <c r="O48" i="2"/>
  <c r="O3" i="2"/>
  <c r="O46" i="2"/>
  <c r="O59" i="2"/>
  <c r="O33" i="2"/>
  <c r="O57" i="2"/>
  <c r="E95" i="2"/>
  <c r="O42" i="2"/>
  <c r="O44" i="2"/>
  <c r="O51" i="2"/>
  <c r="O55" i="2"/>
  <c r="O68" i="2"/>
  <c r="O8" i="2"/>
  <c r="O20" i="2"/>
  <c r="O31" i="2"/>
  <c r="E98" i="2"/>
  <c r="O7" i="2"/>
  <c r="O32" i="2"/>
  <c r="O63" i="2"/>
  <c r="O41" i="2"/>
  <c r="O50" i="2"/>
  <c r="O60" i="2"/>
  <c r="O4" i="2"/>
  <c r="O6" i="2"/>
  <c r="O26" i="2"/>
  <c r="O10" i="2"/>
  <c r="O12" i="2"/>
  <c r="O38" i="2"/>
  <c r="O16" i="2"/>
  <c r="O34" i="2"/>
  <c r="O45" i="2"/>
  <c r="AA67" i="1"/>
  <c r="AB67" i="1" s="1"/>
  <c r="Z67" i="1"/>
  <c r="AA109" i="1"/>
  <c r="AB109" i="1" s="1"/>
  <c r="Z109" i="1"/>
  <c r="AA142" i="1"/>
  <c r="AB142" i="1" s="1"/>
  <c r="Z142" i="1"/>
  <c r="AA168" i="1"/>
  <c r="AB168" i="1" s="1"/>
  <c r="Z168" i="1"/>
  <c r="AA247" i="1"/>
  <c r="AB247" i="1" s="1"/>
  <c r="Z247" i="1"/>
  <c r="AA295" i="1"/>
  <c r="AB295" i="1" s="1"/>
  <c r="Z295" i="1"/>
  <c r="AA62" i="1"/>
  <c r="AB62" i="1" s="1"/>
  <c r="Z62" i="1"/>
  <c r="Z106" i="1"/>
  <c r="AA106" i="1"/>
  <c r="AB106" i="1" s="1"/>
  <c r="AA4" i="1"/>
  <c r="AB4" i="1" s="1"/>
  <c r="Z4" i="1"/>
  <c r="Z22" i="1"/>
  <c r="AA22" i="1"/>
  <c r="AB22" i="1" s="1"/>
  <c r="AA29" i="1"/>
  <c r="AB29" i="1" s="1"/>
  <c r="Z29" i="1"/>
  <c r="AA84" i="1"/>
  <c r="AB84" i="1" s="1"/>
  <c r="Z84" i="1"/>
  <c r="AA96" i="1"/>
  <c r="AB96" i="1" s="1"/>
  <c r="Z96" i="1"/>
  <c r="AA262" i="1"/>
  <c r="AB262" i="1" s="1"/>
  <c r="Z262" i="1"/>
  <c r="AA92" i="1"/>
  <c r="AB92" i="1" s="1"/>
  <c r="Z92" i="1"/>
  <c r="AA126" i="1"/>
  <c r="AB126" i="1" s="1"/>
  <c r="Z126" i="1"/>
  <c r="AA5" i="1"/>
  <c r="AB5" i="1" s="1"/>
  <c r="Z5" i="1"/>
  <c r="AA23" i="1"/>
  <c r="AB23" i="1" s="1"/>
  <c r="Z23" i="1"/>
  <c r="AA25" i="1"/>
  <c r="AB25" i="1" s="1"/>
  <c r="Z25" i="1"/>
  <c r="AA44" i="1"/>
  <c r="AB44" i="1" s="1"/>
  <c r="Z44" i="1"/>
  <c r="AA49" i="1"/>
  <c r="AB49" i="1" s="1"/>
  <c r="Z49" i="1"/>
  <c r="Z131" i="1"/>
  <c r="AA131" i="1"/>
  <c r="AB131" i="1" s="1"/>
  <c r="AA202" i="1"/>
  <c r="AB202" i="1" s="1"/>
  <c r="Z202" i="1"/>
  <c r="AA354" i="1"/>
  <c r="AB354" i="1" s="1"/>
  <c r="Z354" i="1"/>
  <c r="Z17" i="1"/>
  <c r="AA17" i="1"/>
  <c r="AB17" i="1" s="1"/>
  <c r="Z56" i="1"/>
  <c r="AA56" i="1"/>
  <c r="AB56" i="1" s="1"/>
  <c r="AA87" i="1"/>
  <c r="AB87" i="1" s="1"/>
  <c r="Z87" i="1"/>
  <c r="Z10" i="1"/>
  <c r="AA10" i="1"/>
  <c r="AB10" i="1" s="1"/>
  <c r="AA32" i="1"/>
  <c r="AB32" i="1" s="1"/>
  <c r="Z32" i="1"/>
  <c r="AA39" i="1"/>
  <c r="AB39" i="1" s="1"/>
  <c r="Z39" i="1"/>
  <c r="Z166" i="1"/>
  <c r="AA166" i="1"/>
  <c r="AB166" i="1" s="1"/>
  <c r="Z175" i="1"/>
  <c r="AA175" i="1"/>
  <c r="AB175" i="1" s="1"/>
  <c r="Z61" i="1"/>
  <c r="AA61" i="1"/>
  <c r="AB61" i="1" s="1"/>
  <c r="AA78" i="1"/>
  <c r="AB78" i="1" s="1"/>
  <c r="Z78" i="1"/>
  <c r="Z110" i="1"/>
  <c r="AA110" i="1"/>
  <c r="AB110" i="1" s="1"/>
  <c r="Z118" i="1"/>
  <c r="AA118" i="1"/>
  <c r="AB118" i="1" s="1"/>
  <c r="Z136" i="1"/>
  <c r="AA136" i="1"/>
  <c r="AB136" i="1" s="1"/>
  <c r="AA157" i="1"/>
  <c r="AB157" i="1" s="1"/>
  <c r="Z157" i="1"/>
  <c r="AA173" i="1"/>
  <c r="AB173" i="1" s="1"/>
  <c r="Z173" i="1"/>
  <c r="AA224" i="1"/>
  <c r="AB224" i="1" s="1"/>
  <c r="Z224" i="1"/>
  <c r="Z475" i="1"/>
  <c r="AA475" i="1"/>
  <c r="AB475" i="1" s="1"/>
  <c r="AA77" i="1"/>
  <c r="AB77" i="1" s="1"/>
  <c r="Z77" i="1"/>
  <c r="AA120" i="1"/>
  <c r="AB120" i="1" s="1"/>
  <c r="Z120" i="1"/>
  <c r="AA180" i="1"/>
  <c r="AB180" i="1" s="1"/>
  <c r="Z180" i="1"/>
  <c r="AA229" i="1"/>
  <c r="AB229" i="1" s="1"/>
  <c r="Z229" i="1"/>
  <c r="AA250" i="1"/>
  <c r="AB250" i="1" s="1"/>
  <c r="Z250" i="1"/>
  <c r="AA54" i="1"/>
  <c r="AB54" i="1" s="1"/>
  <c r="Z54" i="1"/>
  <c r="AA59" i="1"/>
  <c r="AB59" i="1" s="1"/>
  <c r="Z59" i="1"/>
  <c r="Z100" i="1"/>
  <c r="AA100" i="1"/>
  <c r="AB100" i="1" s="1"/>
  <c r="AA152" i="1"/>
  <c r="AB152" i="1" s="1"/>
  <c r="Z152" i="1"/>
  <c r="AA200" i="1"/>
  <c r="AB200" i="1" s="1"/>
  <c r="Z200" i="1"/>
  <c r="AA230" i="1"/>
  <c r="AB230" i="1" s="1"/>
  <c r="Z230" i="1"/>
  <c r="AA12" i="1"/>
  <c r="AB12" i="1" s="1"/>
  <c r="Z12" i="1"/>
  <c r="AA20" i="1"/>
  <c r="AB20" i="1" s="1"/>
  <c r="Z20" i="1"/>
  <c r="Z34" i="1"/>
  <c r="AA34" i="1"/>
  <c r="AB34" i="1" s="1"/>
  <c r="AA51" i="1"/>
  <c r="AB51" i="1" s="1"/>
  <c r="Z51" i="1"/>
  <c r="AA27" i="1"/>
  <c r="AB27" i="1" s="1"/>
  <c r="Z27" i="1"/>
  <c r="AA37" i="1"/>
  <c r="AB37" i="1" s="1"/>
  <c r="Z37" i="1"/>
  <c r="AA11" i="1"/>
  <c r="AB11" i="1" s="1"/>
  <c r="Z11" i="1"/>
  <c r="Z21" i="1"/>
  <c r="AA21" i="1"/>
  <c r="AB21" i="1" s="1"/>
  <c r="AA40" i="1"/>
  <c r="AB40" i="1" s="1"/>
  <c r="Z40" i="1"/>
  <c r="AA83" i="1"/>
  <c r="AB83" i="1" s="1"/>
  <c r="Z83" i="1"/>
  <c r="AA105" i="1"/>
  <c r="AB105" i="1" s="1"/>
  <c r="Z105" i="1"/>
  <c r="AA121" i="1"/>
  <c r="AB121" i="1" s="1"/>
  <c r="Z121" i="1"/>
  <c r="AA6" i="1"/>
  <c r="AB6" i="1" s="1"/>
  <c r="Z6" i="1"/>
  <c r="AA35" i="1"/>
  <c r="AB35" i="1" s="1"/>
  <c r="Z35" i="1"/>
  <c r="AA73" i="1"/>
  <c r="AB73" i="1" s="1"/>
  <c r="Z73" i="1"/>
  <c r="Z88" i="1"/>
  <c r="AA88" i="1"/>
  <c r="AB88" i="1" s="1"/>
  <c r="AA127" i="1"/>
  <c r="AB127" i="1" s="1"/>
  <c r="Z127" i="1"/>
  <c r="AA207" i="1"/>
  <c r="AB207" i="1" s="1"/>
  <c r="Z207" i="1"/>
  <c r="AA314" i="1"/>
  <c r="AB314" i="1" s="1"/>
  <c r="Z314" i="1"/>
  <c r="AA72" i="1"/>
  <c r="AB72" i="1" s="1"/>
  <c r="Z72" i="1"/>
  <c r="AA16" i="1"/>
  <c r="AB16" i="1" s="1"/>
  <c r="Z16" i="1"/>
  <c r="AA76" i="1"/>
  <c r="AB76" i="1" s="1"/>
  <c r="Z76" i="1"/>
  <c r="AA91" i="1"/>
  <c r="AB91" i="1" s="1"/>
  <c r="Z91" i="1"/>
  <c r="AA108" i="1"/>
  <c r="AB108" i="1" s="1"/>
  <c r="Z108" i="1"/>
  <c r="AA124" i="1"/>
  <c r="AB124" i="1" s="1"/>
  <c r="Z124" i="1"/>
  <c r="AA139" i="1"/>
  <c r="AB139" i="1" s="1"/>
  <c r="Z139" i="1"/>
  <c r="AA312" i="1"/>
  <c r="AB312" i="1" s="1"/>
  <c r="Z312" i="1"/>
  <c r="AA104" i="1"/>
  <c r="AB104" i="1" s="1"/>
  <c r="Z104" i="1"/>
  <c r="AA97" i="1"/>
  <c r="AB97" i="1" s="1"/>
  <c r="Z97" i="1"/>
  <c r="AA9" i="1"/>
  <c r="AB9" i="1" s="1"/>
  <c r="Z9" i="1"/>
  <c r="AA14" i="1"/>
  <c r="AB14" i="1" s="1"/>
  <c r="Z14" i="1"/>
  <c r="AA38" i="1"/>
  <c r="AB38" i="1" s="1"/>
  <c r="Z38" i="1"/>
  <c r="AA48" i="1"/>
  <c r="Z48" i="1"/>
  <c r="AA55" i="1"/>
  <c r="AB55" i="1" s="1"/>
  <c r="Z55" i="1"/>
  <c r="AA71" i="1"/>
  <c r="AB71" i="1" s="1"/>
  <c r="Z71" i="1"/>
  <c r="AA114" i="1"/>
  <c r="AB114" i="1" s="1"/>
  <c r="Z114" i="1"/>
  <c r="AA259" i="1"/>
  <c r="AB259" i="1" s="1"/>
  <c r="Z259" i="1"/>
  <c r="AA286" i="1"/>
  <c r="AB286" i="1" s="1"/>
  <c r="Z286" i="1"/>
  <c r="AA316" i="1"/>
  <c r="AB316" i="1" s="1"/>
  <c r="Z316" i="1"/>
  <c r="AA373" i="1"/>
  <c r="AB373" i="1" s="1"/>
  <c r="Z373" i="1"/>
  <c r="AA649" i="1"/>
  <c r="AB649" i="1" s="1"/>
  <c r="Z649" i="1"/>
  <c r="AA497" i="1"/>
  <c r="AB497" i="1" s="1"/>
  <c r="Z497" i="1"/>
  <c r="AA212" i="1"/>
  <c r="AB212" i="1" s="1"/>
  <c r="Z212" i="1"/>
  <c r="AA479" i="1"/>
  <c r="AB479" i="1" s="1"/>
  <c r="Z479" i="1"/>
  <c r="Z701" i="1"/>
  <c r="AA701" i="1"/>
  <c r="AB701" i="1" s="1"/>
  <c r="Z763" i="1"/>
  <c r="AA763" i="1"/>
  <c r="AB763" i="1" s="1"/>
  <c r="AA30" i="1"/>
  <c r="AB30" i="1" s="1"/>
  <c r="Z30" i="1"/>
  <c r="Z154" i="1"/>
  <c r="AA154" i="1"/>
  <c r="AB154" i="1" s="1"/>
  <c r="Z713" i="1"/>
  <c r="AA713" i="1"/>
  <c r="AB713" i="1" s="1"/>
  <c r="Z741" i="1"/>
  <c r="AA741" i="1"/>
  <c r="AB741" i="1" s="1"/>
  <c r="AA788" i="1"/>
  <c r="AB788" i="1" s="1"/>
  <c r="Z788" i="1"/>
  <c r="AA53" i="1"/>
  <c r="AB53" i="1" s="1"/>
  <c r="Z53" i="1"/>
  <c r="AA94" i="1"/>
  <c r="AB94" i="1" s="1"/>
  <c r="Z112" i="1"/>
  <c r="AA112" i="1"/>
  <c r="AB112" i="1" s="1"/>
  <c r="Z122" i="1"/>
  <c r="AA125" i="1"/>
  <c r="AB125" i="1" s="1"/>
  <c r="Z125" i="1"/>
  <c r="AA135" i="1"/>
  <c r="AB135" i="1" s="1"/>
  <c r="Z135" i="1"/>
  <c r="AA137" i="1"/>
  <c r="AB137" i="1" s="1"/>
  <c r="Z137" i="1"/>
  <c r="AA165" i="1"/>
  <c r="AB165" i="1" s="1"/>
  <c r="Z165" i="1"/>
  <c r="AA197" i="1"/>
  <c r="AB197" i="1" s="1"/>
  <c r="Z197" i="1"/>
  <c r="AA217" i="1"/>
  <c r="AB217" i="1" s="1"/>
  <c r="Z217" i="1"/>
  <c r="AA254" i="1"/>
  <c r="AB254" i="1" s="1"/>
  <c r="AA269" i="1"/>
  <c r="AB269" i="1" s="1"/>
  <c r="Z269" i="1"/>
  <c r="AA289" i="1"/>
  <c r="AB289" i="1" s="1"/>
  <c r="Z289" i="1"/>
  <c r="Z344" i="1"/>
  <c r="AA344" i="1"/>
  <c r="AB344" i="1" s="1"/>
  <c r="AA571" i="1"/>
  <c r="AB571" i="1" s="1"/>
  <c r="Z571" i="1"/>
  <c r="Z145" i="1"/>
  <c r="AA190" i="1"/>
  <c r="AB190" i="1" s="1"/>
  <c r="Z190" i="1"/>
  <c r="Z57" i="1"/>
  <c r="AA64" i="1"/>
  <c r="AB64" i="1" s="1"/>
  <c r="Z64" i="1"/>
  <c r="Z98" i="1"/>
  <c r="AA159" i="1"/>
  <c r="AB159" i="1" s="1"/>
  <c r="Z159" i="1"/>
  <c r="AA185" i="1"/>
  <c r="AB185" i="1" s="1"/>
  <c r="Z185" i="1"/>
  <c r="AA208" i="1"/>
  <c r="AB208" i="1" s="1"/>
  <c r="Z208" i="1"/>
  <c r="Z239" i="1"/>
  <c r="AA239" i="1"/>
  <c r="AB239" i="1" s="1"/>
  <c r="AA272" i="1"/>
  <c r="AB272" i="1" s="1"/>
  <c r="Z272" i="1"/>
  <c r="AA26" i="1"/>
  <c r="AB26" i="1" s="1"/>
  <c r="Z26" i="1"/>
  <c r="AA184" i="1"/>
  <c r="AB184" i="1" s="1"/>
  <c r="Z184" i="1"/>
  <c r="AA116" i="1"/>
  <c r="AB116" i="1" s="1"/>
  <c r="Z116" i="1"/>
  <c r="Z177" i="1"/>
  <c r="AA177" i="1"/>
  <c r="AB177" i="1" s="1"/>
  <c r="AA75" i="1"/>
  <c r="AB75" i="1" s="1"/>
  <c r="Z75" i="1"/>
  <c r="AA219" i="1"/>
  <c r="AB219" i="1" s="1"/>
  <c r="Z219" i="1"/>
  <c r="AA42" i="1"/>
  <c r="AB42" i="1" s="1"/>
  <c r="Z42" i="1"/>
  <c r="Y46" i="1"/>
  <c r="Z66" i="1"/>
  <c r="AA81" i="1"/>
  <c r="AB81" i="1" s="1"/>
  <c r="Z81" i="1"/>
  <c r="Z102" i="1"/>
  <c r="AA129" i="1"/>
  <c r="AB129" i="1" s="1"/>
  <c r="Z129" i="1"/>
  <c r="Z146" i="1"/>
  <c r="AA146" i="1"/>
  <c r="AB146" i="1" s="1"/>
  <c r="Z163" i="1"/>
  <c r="AA163" i="1"/>
  <c r="AB163" i="1" s="1"/>
  <c r="AA178" i="1"/>
  <c r="AB178" i="1" s="1"/>
  <c r="Z178" i="1"/>
  <c r="AA195" i="1"/>
  <c r="AB195" i="1" s="1"/>
  <c r="Z195" i="1"/>
  <c r="AA234" i="1"/>
  <c r="AB234" i="1" s="1"/>
  <c r="Z234" i="1"/>
  <c r="Z237" i="1"/>
  <c r="AA237" i="1"/>
  <c r="AB237" i="1" s="1"/>
  <c r="AA242" i="1"/>
  <c r="AB242" i="1" s="1"/>
  <c r="Z242" i="1"/>
  <c r="AA267" i="1"/>
  <c r="AB267" i="1" s="1"/>
  <c r="Z267" i="1"/>
  <c r="AA342" i="1"/>
  <c r="AB342" i="1" s="1"/>
  <c r="Z342" i="1"/>
  <c r="Z368" i="1"/>
  <c r="AA368" i="1"/>
  <c r="AB368" i="1" s="1"/>
  <c r="AA456" i="1"/>
  <c r="AB456" i="1" s="1"/>
  <c r="Z456" i="1"/>
  <c r="AA468" i="1"/>
  <c r="AB468" i="1" s="1"/>
  <c r="Z468" i="1"/>
  <c r="AA473" i="1"/>
  <c r="AB473" i="1" s="1"/>
  <c r="Z473" i="1"/>
  <c r="AA43" i="1"/>
  <c r="AB43" i="1" s="1"/>
  <c r="Z43" i="1"/>
  <c r="AA149" i="1"/>
  <c r="AB149" i="1" s="1"/>
  <c r="Z149" i="1"/>
  <c r="AA187" i="1"/>
  <c r="AB187" i="1" s="1"/>
  <c r="Z187" i="1"/>
  <c r="AA36" i="1"/>
  <c r="AB36" i="1" s="1"/>
  <c r="Z36" i="1"/>
  <c r="Z147" i="1"/>
  <c r="AA274" i="1"/>
  <c r="AB274" i="1" s="1"/>
  <c r="Z274" i="1"/>
  <c r="Z319" i="1"/>
  <c r="AA319" i="1"/>
  <c r="AB319" i="1" s="1"/>
  <c r="AA346" i="1"/>
  <c r="AB346" i="1" s="1"/>
  <c r="Z346" i="1"/>
  <c r="AA7" i="1"/>
  <c r="AB7" i="1" s="1"/>
  <c r="Z18" i="1"/>
  <c r="Z31" i="1"/>
  <c r="AA31" i="1"/>
  <c r="AB31" i="1" s="1"/>
  <c r="Z70" i="1"/>
  <c r="AA70" i="1"/>
  <c r="AB70" i="1" s="1"/>
  <c r="Z79" i="1"/>
  <c r="AA144" i="1"/>
  <c r="AB144" i="1" s="1"/>
  <c r="Z144" i="1"/>
  <c r="AA169" i="1"/>
  <c r="AB169" i="1" s="1"/>
  <c r="AA183" i="1"/>
  <c r="AB183" i="1" s="1"/>
  <c r="Z183" i="1"/>
  <c r="AA206" i="1"/>
  <c r="AB206" i="1" s="1"/>
  <c r="Z206" i="1"/>
  <c r="Z213" i="1"/>
  <c r="AA225" i="1"/>
  <c r="AB225" i="1" s="1"/>
  <c r="Z225" i="1"/>
  <c r="Z232" i="1"/>
  <c r="AA232" i="1"/>
  <c r="AB232" i="1" s="1"/>
  <c r="AA253" i="1"/>
  <c r="AB253" i="1" s="1"/>
  <c r="Z253" i="1"/>
  <c r="AA275" i="1"/>
  <c r="AB275" i="1" s="1"/>
  <c r="Z275" i="1"/>
  <c r="AA282" i="1"/>
  <c r="AB282" i="1" s="1"/>
  <c r="Z282" i="1"/>
  <c r="AA290" i="1"/>
  <c r="AB290" i="1" s="1"/>
  <c r="Z290" i="1"/>
  <c r="AA305" i="1"/>
  <c r="AB305" i="1" s="1"/>
  <c r="Z305" i="1"/>
  <c r="AA421" i="1"/>
  <c r="AB421" i="1" s="1"/>
  <c r="Z421" i="1"/>
  <c r="AA433" i="1"/>
  <c r="AB433" i="1" s="1"/>
  <c r="Z433" i="1"/>
  <c r="AA47" i="1"/>
  <c r="AB47" i="1" s="1"/>
  <c r="Z47" i="1"/>
  <c r="AA90" i="1"/>
  <c r="AB90" i="1" s="1"/>
  <c r="Z90" i="1"/>
  <c r="Z134" i="1"/>
  <c r="AA205" i="1"/>
  <c r="AB205" i="1" s="1"/>
  <c r="Z205" i="1"/>
  <c r="Z28" i="1"/>
  <c r="AA45" i="1"/>
  <c r="AB45" i="1" s="1"/>
  <c r="AA69" i="1"/>
  <c r="AB69" i="1" s="1"/>
  <c r="Z132" i="1"/>
  <c r="AA201" i="1"/>
  <c r="AB201" i="1" s="1"/>
  <c r="Z201" i="1"/>
  <c r="AA13" i="1"/>
  <c r="AB13" i="1" s="1"/>
  <c r="AA18" i="1"/>
  <c r="AA33" i="1"/>
  <c r="Z33" i="1"/>
  <c r="AA119" i="1"/>
  <c r="AB119" i="1" s="1"/>
  <c r="Z119" i="1"/>
  <c r="AA161" i="1"/>
  <c r="AB161" i="1" s="1"/>
  <c r="Z191" i="1"/>
  <c r="AA191" i="1"/>
  <c r="AB191" i="1" s="1"/>
  <c r="AA193" i="1"/>
  <c r="AB193" i="1" s="1"/>
  <c r="Z193" i="1"/>
  <c r="AA211" i="1"/>
  <c r="AB211" i="1" s="1"/>
  <c r="Z211" i="1"/>
  <c r="AA222" i="1"/>
  <c r="AB222" i="1" s="1"/>
  <c r="AA235" i="1"/>
  <c r="AB235" i="1" s="1"/>
  <c r="Z235" i="1"/>
  <c r="AA248" i="1"/>
  <c r="AB248" i="1" s="1"/>
  <c r="Z248" i="1"/>
  <c r="AA323" i="1"/>
  <c r="AB323" i="1" s="1"/>
  <c r="Z323" i="1"/>
  <c r="Z350" i="1"/>
  <c r="AA350" i="1"/>
  <c r="AB350" i="1" s="1"/>
  <c r="AA390" i="1"/>
  <c r="AB390" i="1" s="1"/>
  <c r="Z390" i="1"/>
  <c r="AA409" i="1"/>
  <c r="AB409" i="1" s="1"/>
  <c r="Z409" i="1"/>
  <c r="AA60" i="1"/>
  <c r="AB60" i="1" s="1"/>
  <c r="Z60" i="1"/>
  <c r="Z82" i="1"/>
  <c r="AA82" i="1"/>
  <c r="AB82" i="1" s="1"/>
  <c r="AA151" i="1"/>
  <c r="AB151" i="1" s="1"/>
  <c r="Z151" i="1"/>
  <c r="Z256" i="1"/>
  <c r="AA256" i="1"/>
  <c r="AB256" i="1" s="1"/>
  <c r="AA194" i="1"/>
  <c r="AB194" i="1" s="1"/>
  <c r="Z194" i="1"/>
  <c r="AA218" i="1"/>
  <c r="AB218" i="1" s="1"/>
  <c r="Z218" i="1"/>
  <c r="AA221" i="1"/>
  <c r="AB221" i="1" s="1"/>
  <c r="Z221" i="1"/>
  <c r="AA241" i="1"/>
  <c r="AB241" i="1" s="1"/>
  <c r="Z241" i="1"/>
  <c r="AA50" i="1"/>
  <c r="AB50" i="1" s="1"/>
  <c r="Z68" i="1"/>
  <c r="AA85" i="1"/>
  <c r="AB85" i="1" s="1"/>
  <c r="Z89" i="1"/>
  <c r="AA113" i="1"/>
  <c r="AB113" i="1" s="1"/>
  <c r="Z113" i="1"/>
  <c r="AA117" i="1"/>
  <c r="AB117" i="1" s="1"/>
  <c r="Z117" i="1"/>
  <c r="AA153" i="1"/>
  <c r="AB153" i="1" s="1"/>
  <c r="Z153" i="1"/>
  <c r="AA174" i="1"/>
  <c r="AB174" i="1" s="1"/>
  <c r="Z174" i="1"/>
  <c r="AA220" i="1"/>
  <c r="AB220" i="1" s="1"/>
  <c r="Z220" i="1"/>
  <c r="AA265" i="1"/>
  <c r="AB265" i="1" s="1"/>
  <c r="Z265" i="1"/>
  <c r="AA270" i="1"/>
  <c r="AB270" i="1" s="1"/>
  <c r="Z270" i="1"/>
  <c r="AA300" i="1"/>
  <c r="AB300" i="1" s="1"/>
  <c r="Z300" i="1"/>
  <c r="AA340" i="1"/>
  <c r="AB340" i="1" s="1"/>
  <c r="Z340" i="1"/>
  <c r="AA348" i="1"/>
  <c r="AB348" i="1" s="1"/>
  <c r="Z348" i="1"/>
  <c r="AA358" i="1"/>
  <c r="AB358" i="1" s="1"/>
  <c r="Z358" i="1"/>
  <c r="Z383" i="1"/>
  <c r="AA383" i="1"/>
  <c r="AB383" i="1" s="1"/>
  <c r="AA404" i="1"/>
  <c r="AB404" i="1" s="1"/>
  <c r="Z404" i="1"/>
  <c r="AA489" i="1"/>
  <c r="AB489" i="1" s="1"/>
  <c r="Z489" i="1"/>
  <c r="Z158" i="1"/>
  <c r="AA158" i="1"/>
  <c r="AB158" i="1" s="1"/>
  <c r="AA226" i="1"/>
  <c r="AB226" i="1" s="1"/>
  <c r="Z226" i="1"/>
  <c r="Z324" i="1"/>
  <c r="AA324" i="1"/>
  <c r="AB324" i="1" s="1"/>
  <c r="AA589" i="1"/>
  <c r="AB589" i="1" s="1"/>
  <c r="Z589" i="1"/>
  <c r="AA756" i="1"/>
  <c r="AB756" i="1" s="1"/>
  <c r="Z756" i="1"/>
  <c r="AA711" i="1"/>
  <c r="AB711" i="1" s="1"/>
  <c r="Z711" i="1"/>
  <c r="AA95" i="1"/>
  <c r="AB95" i="1" s="1"/>
  <c r="Z95" i="1"/>
  <c r="Y3" i="1"/>
  <c r="AA65" i="1"/>
  <c r="AB65" i="1" s="1"/>
  <c r="Z65" i="1"/>
  <c r="AA93" i="1"/>
  <c r="AB93" i="1" s="1"/>
  <c r="AA99" i="1"/>
  <c r="AB99" i="1" s="1"/>
  <c r="Z99" i="1"/>
  <c r="AA103" i="1"/>
  <c r="AB103" i="1" s="1"/>
  <c r="Z103" i="1"/>
  <c r="AA107" i="1"/>
  <c r="AB107" i="1" s="1"/>
  <c r="Z107" i="1"/>
  <c r="Y111" i="1"/>
  <c r="AA115" i="1"/>
  <c r="AB115" i="1" s="1"/>
  <c r="Z150" i="1"/>
  <c r="Y164" i="1"/>
  <c r="AA181" i="1"/>
  <c r="AB181" i="1" s="1"/>
  <c r="Z181" i="1"/>
  <c r="Z243" i="1"/>
  <c r="AA243" i="1"/>
  <c r="AB243" i="1" s="1"/>
  <c r="AA251" i="1"/>
  <c r="AB251" i="1" s="1"/>
  <c r="Z251" i="1"/>
  <c r="AA263" i="1"/>
  <c r="AB263" i="1" s="1"/>
  <c r="Z263" i="1"/>
  <c r="Y285" i="1"/>
  <c r="Z288" i="1"/>
  <c r="AA288" i="1"/>
  <c r="AB288" i="1" s="1"/>
  <c r="AA336" i="1"/>
  <c r="AB336" i="1" s="1"/>
  <c r="Z336" i="1"/>
  <c r="AA86" i="1"/>
  <c r="AB86" i="1" s="1"/>
  <c r="Z86" i="1"/>
  <c r="AA216" i="1"/>
  <c r="AB216" i="1" s="1"/>
  <c r="Z216" i="1"/>
  <c r="AA351" i="1"/>
  <c r="AB351" i="1" s="1"/>
  <c r="Z351" i="1"/>
  <c r="AA156" i="1"/>
  <c r="AB156" i="1" s="1"/>
  <c r="Z156" i="1"/>
  <c r="AA160" i="1"/>
  <c r="AB160" i="1" s="1"/>
  <c r="Z160" i="1"/>
  <c r="AA236" i="1"/>
  <c r="AB236" i="1" s="1"/>
  <c r="Z236" i="1"/>
  <c r="Z751" i="1"/>
  <c r="AA751" i="1"/>
  <c r="AB751" i="1" s="1"/>
  <c r="AA8" i="1"/>
  <c r="AB8" i="1" s="1"/>
  <c r="Z15" i="1"/>
  <c r="Y19" i="1"/>
  <c r="AA74" i="1"/>
  <c r="AB74" i="1" s="1"/>
  <c r="Y128" i="1"/>
  <c r="AA130" i="1"/>
  <c r="AB130" i="1" s="1"/>
  <c r="Z130" i="1"/>
  <c r="AA155" i="1"/>
  <c r="AB155" i="1" s="1"/>
  <c r="AA162" i="1"/>
  <c r="AB162" i="1" s="1"/>
  <c r="Z162" i="1"/>
  <c r="Z179" i="1"/>
  <c r="AA179" i="1"/>
  <c r="AB179" i="1" s="1"/>
  <c r="AA189" i="1"/>
  <c r="AB189" i="1" s="1"/>
  <c r="Z189" i="1"/>
  <c r="Y196" i="1"/>
  <c r="AA233" i="1"/>
  <c r="AB233" i="1" s="1"/>
  <c r="Z233" i="1"/>
  <c r="AA246" i="1"/>
  <c r="AB246" i="1" s="1"/>
  <c r="Z246" i="1"/>
  <c r="AA276" i="1"/>
  <c r="AB276" i="1" s="1"/>
  <c r="Z276" i="1"/>
  <c r="AA283" i="1"/>
  <c r="AB283" i="1" s="1"/>
  <c r="Z283" i="1"/>
  <c r="AA306" i="1"/>
  <c r="AB306" i="1" s="1"/>
  <c r="Z306" i="1"/>
  <c r="AA318" i="1"/>
  <c r="AB318" i="1" s="1"/>
  <c r="Z318" i="1"/>
  <c r="AA329" i="1"/>
  <c r="AB329" i="1" s="1"/>
  <c r="Z329" i="1"/>
  <c r="Z338" i="1"/>
  <c r="AA338" i="1"/>
  <c r="AB338" i="1" s="1"/>
  <c r="AA450" i="1"/>
  <c r="AB450" i="1" s="1"/>
  <c r="Z450" i="1"/>
  <c r="Z133" i="1"/>
  <c r="Z261" i="1"/>
  <c r="AA261" i="1"/>
  <c r="AB261" i="1" s="1"/>
  <c r="AA303" i="1"/>
  <c r="AB303" i="1" s="1"/>
  <c r="Z303" i="1"/>
  <c r="AA310" i="1"/>
  <c r="AB310" i="1" s="1"/>
  <c r="Z310" i="1"/>
  <c r="AA334" i="1"/>
  <c r="AB334" i="1" s="1"/>
  <c r="Z334" i="1"/>
  <c r="AA361" i="1"/>
  <c r="AB361" i="1" s="1"/>
  <c r="Z361" i="1"/>
  <c r="AA370" i="1"/>
  <c r="AB370" i="1" s="1"/>
  <c r="Z370" i="1"/>
  <c r="AA379" i="1"/>
  <c r="AB379" i="1" s="1"/>
  <c r="Z379" i="1"/>
  <c r="AA426" i="1"/>
  <c r="AB426" i="1" s="1"/>
  <c r="Z426" i="1"/>
  <c r="Z381" i="1"/>
  <c r="AA381" i="1"/>
  <c r="AB381" i="1" s="1"/>
  <c r="AA414" i="1"/>
  <c r="AB414" i="1" s="1"/>
  <c r="Z414" i="1"/>
  <c r="AA573" i="1"/>
  <c r="AB573" i="1" s="1"/>
  <c r="Z573" i="1"/>
  <c r="AA317" i="1"/>
  <c r="AB317" i="1" s="1"/>
  <c r="Z317" i="1"/>
  <c r="AA322" i="1"/>
  <c r="AB322" i="1" s="1"/>
  <c r="Z322" i="1"/>
  <c r="Z227" i="1"/>
  <c r="AA227" i="1"/>
  <c r="AB227" i="1" s="1"/>
  <c r="AA327" i="1"/>
  <c r="AB327" i="1" s="1"/>
  <c r="Z327" i="1"/>
  <c r="AA345" i="1"/>
  <c r="AB345" i="1" s="1"/>
  <c r="Z345" i="1"/>
  <c r="Z375" i="1"/>
  <c r="AA375" i="1"/>
  <c r="AB375" i="1" s="1"/>
  <c r="AA466" i="1"/>
  <c r="AB466" i="1" s="1"/>
  <c r="Z466" i="1"/>
  <c r="AA514" i="1"/>
  <c r="AB514" i="1" s="1"/>
  <c r="Z514" i="1"/>
  <c r="Z519" i="1"/>
  <c r="AA519" i="1"/>
  <c r="AB519" i="1" s="1"/>
  <c r="AA621" i="1"/>
  <c r="AB621" i="1" s="1"/>
  <c r="Z621" i="1"/>
  <c r="Z635" i="1"/>
  <c r="AA635" i="1"/>
  <c r="AB635" i="1" s="1"/>
  <c r="AA281" i="1"/>
  <c r="AB281" i="1" s="1"/>
  <c r="Z281" i="1"/>
  <c r="AA352" i="1"/>
  <c r="AB352" i="1" s="1"/>
  <c r="Z352" i="1"/>
  <c r="AA133" i="1"/>
  <c r="AB133" i="1" s="1"/>
  <c r="AA172" i="1"/>
  <c r="AB172" i="1" s="1"/>
  <c r="Z172" i="1"/>
  <c r="AA257" i="1"/>
  <c r="AB257" i="1" s="1"/>
  <c r="Z257" i="1"/>
  <c r="AA291" i="1"/>
  <c r="AB291" i="1" s="1"/>
  <c r="Z291" i="1"/>
  <c r="Z330" i="1"/>
  <c r="AA330" i="1"/>
  <c r="AB330" i="1" s="1"/>
  <c r="AA445" i="1"/>
  <c r="AB445" i="1" s="1"/>
  <c r="Z445" i="1"/>
  <c r="AA526" i="1"/>
  <c r="AB526" i="1" s="1"/>
  <c r="Z526" i="1"/>
  <c r="Z308" i="1"/>
  <c r="AA308" i="1"/>
  <c r="AB308" i="1" s="1"/>
  <c r="Z141" i="1"/>
  <c r="AA204" i="1"/>
  <c r="AB204" i="1" s="1"/>
  <c r="Z204" i="1"/>
  <c r="AA264" i="1"/>
  <c r="AB264" i="1" s="1"/>
  <c r="Z264" i="1"/>
  <c r="AA266" i="1"/>
  <c r="AB266" i="1" s="1"/>
  <c r="Z266" i="1"/>
  <c r="AA284" i="1"/>
  <c r="AB284" i="1" s="1"/>
  <c r="Z284" i="1"/>
  <c r="Z296" i="1"/>
  <c r="AA296" i="1"/>
  <c r="AB296" i="1" s="1"/>
  <c r="AA301" i="1"/>
  <c r="AB301" i="1" s="1"/>
  <c r="Z301" i="1"/>
  <c r="AA311" i="1"/>
  <c r="AB311" i="1" s="1"/>
  <c r="Z311" i="1"/>
  <c r="AA313" i="1"/>
  <c r="AB313" i="1" s="1"/>
  <c r="Z313" i="1"/>
  <c r="Z320" i="1"/>
  <c r="AA320" i="1"/>
  <c r="AB320" i="1" s="1"/>
  <c r="AA371" i="1"/>
  <c r="AB371" i="1" s="1"/>
  <c r="Z371" i="1"/>
  <c r="Z398" i="1"/>
  <c r="AA398" i="1"/>
  <c r="AB398" i="1" s="1"/>
  <c r="Z400" i="1"/>
  <c r="Z493" i="1"/>
  <c r="AA493" i="1"/>
  <c r="AB493" i="1" s="1"/>
  <c r="Z167" i="1"/>
  <c r="AA167" i="1"/>
  <c r="AB167" i="1" s="1"/>
  <c r="AA188" i="1"/>
  <c r="AB188" i="1" s="1"/>
  <c r="Z188" i="1"/>
  <c r="AA192" i="1"/>
  <c r="AB192" i="1" s="1"/>
  <c r="Z192" i="1"/>
  <c r="Z249" i="1"/>
  <c r="AA249" i="1"/>
  <c r="AB249" i="1" s="1"/>
  <c r="AA294" i="1"/>
  <c r="AB294" i="1" s="1"/>
  <c r="Z294" i="1"/>
  <c r="AA304" i="1"/>
  <c r="AB304" i="1" s="1"/>
  <c r="Z304" i="1"/>
  <c r="Z341" i="1"/>
  <c r="AA341" i="1"/>
  <c r="AB341" i="1" s="1"/>
  <c r="AA353" i="1"/>
  <c r="AB353" i="1" s="1"/>
  <c r="Z353" i="1"/>
  <c r="AA363" i="1"/>
  <c r="AB363" i="1" s="1"/>
  <c r="Z363" i="1"/>
  <c r="AA380" i="1"/>
  <c r="AB380" i="1" s="1"/>
  <c r="Z380" i="1"/>
  <c r="AA405" i="1"/>
  <c r="AB405" i="1" s="1"/>
  <c r="Z405" i="1"/>
  <c r="AA448" i="1"/>
  <c r="AB448" i="1" s="1"/>
  <c r="Z448" i="1"/>
  <c r="AA524" i="1"/>
  <c r="AB524" i="1" s="1"/>
  <c r="Z524" i="1"/>
  <c r="Z138" i="1"/>
  <c r="AA223" i="1"/>
  <c r="AB223" i="1" s="1"/>
  <c r="Z231" i="1"/>
  <c r="AA245" i="1"/>
  <c r="AB245" i="1" s="1"/>
  <c r="Z245" i="1"/>
  <c r="AA273" i="1"/>
  <c r="AB273" i="1" s="1"/>
  <c r="Z273" i="1"/>
  <c r="AA287" i="1"/>
  <c r="AB287" i="1" s="1"/>
  <c r="Z287" i="1"/>
  <c r="AA328" i="1"/>
  <c r="AB328" i="1" s="1"/>
  <c r="Z328" i="1"/>
  <c r="AA378" i="1"/>
  <c r="AB378" i="1" s="1"/>
  <c r="Z378" i="1"/>
  <c r="AA387" i="1"/>
  <c r="AB387" i="1" s="1"/>
  <c r="Z387" i="1"/>
  <c r="AA141" i="1"/>
  <c r="AB141" i="1" s="1"/>
  <c r="Z186" i="1"/>
  <c r="AA203" i="1"/>
  <c r="AB203" i="1" s="1"/>
  <c r="AA228" i="1"/>
  <c r="AB228" i="1" s="1"/>
  <c r="Z228" i="1"/>
  <c r="Y240" i="1"/>
  <c r="AA252" i="1"/>
  <c r="AB252" i="1" s="1"/>
  <c r="Z252" i="1"/>
  <c r="Z255" i="1"/>
  <c r="AA271" i="1"/>
  <c r="AB271" i="1" s="1"/>
  <c r="Z271" i="1"/>
  <c r="AA299" i="1"/>
  <c r="AB299" i="1" s="1"/>
  <c r="Z299" i="1"/>
  <c r="AA309" i="1"/>
  <c r="AB309" i="1" s="1"/>
  <c r="Z309" i="1"/>
  <c r="Z325" i="1"/>
  <c r="AA333" i="1"/>
  <c r="AB333" i="1" s="1"/>
  <c r="Z333" i="1"/>
  <c r="Z335" i="1"/>
  <c r="AA335" i="1"/>
  <c r="AB335" i="1" s="1"/>
  <c r="AA360" i="1"/>
  <c r="AB360" i="1" s="1"/>
  <c r="Z360" i="1"/>
  <c r="AA394" i="1"/>
  <c r="AB394" i="1" s="1"/>
  <c r="Z394" i="1"/>
  <c r="Z401" i="1"/>
  <c r="AA401" i="1"/>
  <c r="AB401" i="1" s="1"/>
  <c r="Z429" i="1"/>
  <c r="AA429" i="1"/>
  <c r="AB429" i="1" s="1"/>
  <c r="AA437" i="1"/>
  <c r="AB437" i="1" s="1"/>
  <c r="Z437" i="1"/>
  <c r="AA439" i="1"/>
  <c r="AB439" i="1" s="1"/>
  <c r="Z439" i="1"/>
  <c r="AA441" i="1"/>
  <c r="AB441" i="1" s="1"/>
  <c r="Z441" i="1"/>
  <c r="AA460" i="1"/>
  <c r="AB460" i="1" s="1"/>
  <c r="Z460" i="1"/>
  <c r="AA472" i="1"/>
  <c r="AB472" i="1" s="1"/>
  <c r="Z472" i="1"/>
  <c r="AA58" i="1"/>
  <c r="AB58" i="1" s="1"/>
  <c r="AA143" i="1"/>
  <c r="AB143" i="1" s="1"/>
  <c r="Z171" i="1"/>
  <c r="AA182" i="1"/>
  <c r="AB182" i="1" s="1"/>
  <c r="AA210" i="1"/>
  <c r="AB210" i="1" s="1"/>
  <c r="Z214" i="1"/>
  <c r="AA258" i="1"/>
  <c r="AB258" i="1" s="1"/>
  <c r="Z258" i="1"/>
  <c r="AA297" i="1"/>
  <c r="AB297" i="1" s="1"/>
  <c r="Z297" i="1"/>
  <c r="Y302" i="1"/>
  <c r="AA307" i="1"/>
  <c r="AB307" i="1" s="1"/>
  <c r="Z307" i="1"/>
  <c r="AA372" i="1"/>
  <c r="AB372" i="1" s="1"/>
  <c r="Z372" i="1"/>
  <c r="AA385" i="1"/>
  <c r="AB385" i="1" s="1"/>
  <c r="Z385" i="1"/>
  <c r="AA399" i="1"/>
  <c r="AB399" i="1" s="1"/>
  <c r="Z399" i="1"/>
  <c r="Z356" i="1"/>
  <c r="AA356" i="1"/>
  <c r="AB356" i="1" s="1"/>
  <c r="Y362" i="1"/>
  <c r="AA366" i="1"/>
  <c r="AB366" i="1" s="1"/>
  <c r="Z366" i="1"/>
  <c r="AA403" i="1"/>
  <c r="AB403" i="1" s="1"/>
  <c r="Z403" i="1"/>
  <c r="AA416" i="1"/>
  <c r="AB416" i="1" s="1"/>
  <c r="Z416" i="1"/>
  <c r="AA432" i="1"/>
  <c r="AB432" i="1" s="1"/>
  <c r="Z432" i="1"/>
  <c r="AA443" i="1"/>
  <c r="AB443" i="1" s="1"/>
  <c r="Z443" i="1"/>
  <c r="Y452" i="1"/>
  <c r="AA498" i="1"/>
  <c r="AB498" i="1" s="1"/>
  <c r="Z498" i="1"/>
  <c r="AA569" i="1"/>
  <c r="AB569" i="1" s="1"/>
  <c r="Z569" i="1"/>
  <c r="AA720" i="1"/>
  <c r="AB720" i="1" s="1"/>
  <c r="Z720" i="1"/>
  <c r="AA638" i="1"/>
  <c r="AB638" i="1" s="1"/>
  <c r="Z638" i="1"/>
  <c r="AA293" i="1"/>
  <c r="AB293" i="1" s="1"/>
  <c r="Z293" i="1"/>
  <c r="Z332" i="1"/>
  <c r="AA332" i="1"/>
  <c r="AB332" i="1" s="1"/>
  <c r="Z337" i="1"/>
  <c r="AA364" i="1"/>
  <c r="AB364" i="1" s="1"/>
  <c r="Z364" i="1"/>
  <c r="AA392" i="1"/>
  <c r="AB392" i="1" s="1"/>
  <c r="Z392" i="1"/>
  <c r="Z490" i="1"/>
  <c r="AA490" i="1"/>
  <c r="AB490" i="1" s="1"/>
  <c r="AA494" i="1"/>
  <c r="AB494" i="1" s="1"/>
  <c r="Z494" i="1"/>
  <c r="AA501" i="1"/>
  <c r="AB501" i="1" s="1"/>
  <c r="Z501" i="1"/>
  <c r="Z508" i="1"/>
  <c r="AA508" i="1"/>
  <c r="AB508" i="1" s="1"/>
  <c r="AA579" i="1"/>
  <c r="AB579" i="1" s="1"/>
  <c r="Z579" i="1"/>
  <c r="AA593" i="1"/>
  <c r="AB593" i="1" s="1"/>
  <c r="Z593" i="1"/>
  <c r="AA626" i="1"/>
  <c r="AB626" i="1" s="1"/>
  <c r="Z626" i="1"/>
  <c r="AA631" i="1"/>
  <c r="AB631" i="1" s="1"/>
  <c r="Z631" i="1"/>
  <c r="AA408" i="1"/>
  <c r="AB408" i="1" s="1"/>
  <c r="Z408" i="1"/>
  <c r="Z412" i="1"/>
  <c r="AA428" i="1"/>
  <c r="AB428" i="1" s="1"/>
  <c r="Z428" i="1"/>
  <c r="AA435" i="1"/>
  <c r="AB435" i="1" s="1"/>
  <c r="Z435" i="1"/>
  <c r="Z464" i="1"/>
  <c r="AA464" i="1"/>
  <c r="AB464" i="1" s="1"/>
  <c r="AA506" i="1"/>
  <c r="AB506" i="1" s="1"/>
  <c r="Z506" i="1"/>
  <c r="AA562" i="1"/>
  <c r="AB562" i="1" s="1"/>
  <c r="Z562" i="1"/>
  <c r="AA605" i="1"/>
  <c r="AB605" i="1" s="1"/>
  <c r="Z605" i="1"/>
  <c r="AA684" i="1"/>
  <c r="AB684" i="1" s="1"/>
  <c r="Z684" i="1"/>
  <c r="AA339" i="1"/>
  <c r="AB339" i="1" s="1"/>
  <c r="Z339" i="1"/>
  <c r="AA349" i="1"/>
  <c r="AB349" i="1" s="1"/>
  <c r="Z349" i="1"/>
  <c r="AA367" i="1"/>
  <c r="AB367" i="1" s="1"/>
  <c r="Z367" i="1"/>
  <c r="AA444" i="1"/>
  <c r="AB444" i="1" s="1"/>
  <c r="Z444" i="1"/>
  <c r="AA488" i="1"/>
  <c r="AB488" i="1" s="1"/>
  <c r="Z488" i="1"/>
  <c r="AA546" i="1"/>
  <c r="AB546" i="1" s="1"/>
  <c r="Z546" i="1"/>
  <c r="AA558" i="1"/>
  <c r="AB558" i="1" s="1"/>
  <c r="Z558" i="1"/>
  <c r="Z326" i="1"/>
  <c r="AA357" i="1"/>
  <c r="AB357" i="1" s="1"/>
  <c r="Z357" i="1"/>
  <c r="Z386" i="1"/>
  <c r="AA386" i="1"/>
  <c r="AB386" i="1" s="1"/>
  <c r="AA388" i="1"/>
  <c r="AB388" i="1" s="1"/>
  <c r="Z388" i="1"/>
  <c r="AA397" i="1"/>
  <c r="AB397" i="1" s="1"/>
  <c r="Z397" i="1"/>
  <c r="AA406" i="1"/>
  <c r="AB406" i="1" s="1"/>
  <c r="Z406" i="1"/>
  <c r="AA410" i="1"/>
  <c r="AB410" i="1" s="1"/>
  <c r="AA415" i="1"/>
  <c r="AB415" i="1" s="1"/>
  <c r="Z415" i="1"/>
  <c r="AA438" i="1"/>
  <c r="AB438" i="1" s="1"/>
  <c r="Z438" i="1"/>
  <c r="AA449" i="1"/>
  <c r="AB449" i="1" s="1"/>
  <c r="Z449" i="1"/>
  <c r="AA451" i="1"/>
  <c r="AB451" i="1" s="1"/>
  <c r="Z451" i="1"/>
  <c r="Z458" i="1"/>
  <c r="AA458" i="1"/>
  <c r="AB458" i="1" s="1"/>
  <c r="AA483" i="1"/>
  <c r="AB483" i="1" s="1"/>
  <c r="Z483" i="1"/>
  <c r="Z485" i="1"/>
  <c r="Z504" i="1"/>
  <c r="AA504" i="1"/>
  <c r="AB504" i="1" s="1"/>
  <c r="Z279" i="1"/>
  <c r="AA321" i="1"/>
  <c r="AB321" i="1" s="1"/>
  <c r="Z321" i="1"/>
  <c r="AA382" i="1"/>
  <c r="AB382" i="1" s="1"/>
  <c r="Z382" i="1"/>
  <c r="AA402" i="1"/>
  <c r="AB402" i="1" s="1"/>
  <c r="Z402" i="1"/>
  <c r="AA413" i="1"/>
  <c r="AB413" i="1" s="1"/>
  <c r="Z413" i="1"/>
  <c r="Z422" i="1"/>
  <c r="AA422" i="1"/>
  <c r="AB422" i="1" s="1"/>
  <c r="Z462" i="1"/>
  <c r="AA476" i="1"/>
  <c r="AB476" i="1" s="1"/>
  <c r="Z476" i="1"/>
  <c r="AA502" i="1"/>
  <c r="AB502" i="1" s="1"/>
  <c r="Z502" i="1"/>
  <c r="AA549" i="1"/>
  <c r="AB549" i="1" s="1"/>
  <c r="Z549" i="1"/>
  <c r="AA608" i="1"/>
  <c r="AB608" i="1" s="1"/>
  <c r="Z608" i="1"/>
  <c r="Z199" i="1"/>
  <c r="AA347" i="1"/>
  <c r="AB347" i="1" s="1"/>
  <c r="Z355" i="1"/>
  <c r="AA359" i="1"/>
  <c r="AB359" i="1" s="1"/>
  <c r="AA374" i="1"/>
  <c r="AB374" i="1" s="1"/>
  <c r="Z374" i="1"/>
  <c r="AA391" i="1"/>
  <c r="AB391" i="1" s="1"/>
  <c r="Z391" i="1"/>
  <c r="AA411" i="1"/>
  <c r="AB411" i="1" s="1"/>
  <c r="Z411" i="1"/>
  <c r="Z417" i="1"/>
  <c r="AA431" i="1"/>
  <c r="AB431" i="1" s="1"/>
  <c r="Z431" i="1"/>
  <c r="AA499" i="1"/>
  <c r="AB499" i="1" s="1"/>
  <c r="Z537" i="1"/>
  <c r="AA537" i="1"/>
  <c r="AB537" i="1" s="1"/>
  <c r="AA540" i="1"/>
  <c r="AB540" i="1" s="1"/>
  <c r="Z540" i="1"/>
  <c r="AA580" i="1"/>
  <c r="AB580" i="1" s="1"/>
  <c r="Z580" i="1"/>
  <c r="AA601" i="1"/>
  <c r="AB601" i="1" s="1"/>
  <c r="Z601" i="1"/>
  <c r="AA215" i="1"/>
  <c r="AB215" i="1" s="1"/>
  <c r="AA420" i="1"/>
  <c r="AB420" i="1" s="1"/>
  <c r="Z420" i="1"/>
  <c r="AA447" i="1"/>
  <c r="AB447" i="1" s="1"/>
  <c r="Z447" i="1"/>
  <c r="AA454" i="1"/>
  <c r="AB454" i="1" s="1"/>
  <c r="Z454" i="1"/>
  <c r="AA528" i="1"/>
  <c r="AB528" i="1" s="1"/>
  <c r="Z528" i="1"/>
  <c r="AA532" i="1"/>
  <c r="AB532" i="1" s="1"/>
  <c r="AA535" i="1"/>
  <c r="AB535" i="1" s="1"/>
  <c r="Z535" i="1"/>
  <c r="AA587" i="1"/>
  <c r="AB587" i="1" s="1"/>
  <c r="Z587" i="1"/>
  <c r="AA618" i="1"/>
  <c r="AB618" i="1" s="1"/>
  <c r="Z618" i="1"/>
  <c r="AA477" i="1"/>
  <c r="AB477" i="1" s="1"/>
  <c r="Z477" i="1"/>
  <c r="AA512" i="1"/>
  <c r="AB512" i="1" s="1"/>
  <c r="Z512" i="1"/>
  <c r="AA517" i="1"/>
  <c r="AB517" i="1" s="1"/>
  <c r="Z517" i="1"/>
  <c r="AA542" i="1"/>
  <c r="AB542" i="1" s="1"/>
  <c r="Z542" i="1"/>
  <c r="AA567" i="1"/>
  <c r="AB567" i="1" s="1"/>
  <c r="Z567" i="1"/>
  <c r="AA585" i="1"/>
  <c r="AB585" i="1" s="1"/>
  <c r="Z585" i="1"/>
  <c r="AA592" i="1"/>
  <c r="AB592" i="1" s="1"/>
  <c r="Z592" i="1"/>
  <c r="AA636" i="1"/>
  <c r="AB636" i="1" s="1"/>
  <c r="Z636" i="1"/>
  <c r="AA654" i="1"/>
  <c r="AB654" i="1" s="1"/>
  <c r="Z654" i="1"/>
  <c r="Z783" i="1"/>
  <c r="AA783" i="1"/>
  <c r="AB783" i="1" s="1"/>
  <c r="AA565" i="1"/>
  <c r="AB565" i="1" s="1"/>
  <c r="Z565" i="1"/>
  <c r="AA570" i="1"/>
  <c r="AB570" i="1" s="1"/>
  <c r="Z570" i="1"/>
  <c r="AA583" i="1"/>
  <c r="AB583" i="1" s="1"/>
  <c r="Z583" i="1"/>
  <c r="AA599" i="1"/>
  <c r="AB599" i="1" s="1"/>
  <c r="Z599" i="1"/>
  <c r="Z643" i="1"/>
  <c r="AA643" i="1"/>
  <c r="AB643" i="1" s="1"/>
  <c r="AA694" i="1"/>
  <c r="AB694" i="1" s="1"/>
  <c r="Z694" i="1"/>
  <c r="Z739" i="1"/>
  <c r="AA739" i="1"/>
  <c r="AB739" i="1" s="1"/>
  <c r="AA436" i="1"/>
  <c r="AB436" i="1" s="1"/>
  <c r="Z436" i="1"/>
  <c r="Y470" i="1"/>
  <c r="AA529" i="1"/>
  <c r="AB529" i="1" s="1"/>
  <c r="Z529" i="1"/>
  <c r="AA531" i="1"/>
  <c r="AB531" i="1" s="1"/>
  <c r="Z531" i="1"/>
  <c r="AA634" i="1"/>
  <c r="AB634" i="1" s="1"/>
  <c r="Z634" i="1"/>
  <c r="AA704" i="1"/>
  <c r="AB704" i="1" s="1"/>
  <c r="Z704" i="1"/>
  <c r="Z418" i="1"/>
  <c r="Z424" i="1"/>
  <c r="AA459" i="1"/>
  <c r="AB459" i="1" s="1"/>
  <c r="Z459" i="1"/>
  <c r="Z474" i="1"/>
  <c r="Z481" i="1"/>
  <c r="AA496" i="1"/>
  <c r="AB496" i="1" s="1"/>
  <c r="Z496" i="1"/>
  <c r="AA515" i="1"/>
  <c r="AB515" i="1" s="1"/>
  <c r="Z515" i="1"/>
  <c r="AA522" i="1"/>
  <c r="AB522" i="1" s="1"/>
  <c r="Z522" i="1"/>
  <c r="AA538" i="1"/>
  <c r="AB538" i="1" s="1"/>
  <c r="Z538" i="1"/>
  <c r="AA552" i="1"/>
  <c r="AB552" i="1" s="1"/>
  <c r="Z552" i="1"/>
  <c r="Z576" i="1"/>
  <c r="AA581" i="1"/>
  <c r="AB581" i="1" s="1"/>
  <c r="Z581" i="1"/>
  <c r="AA620" i="1"/>
  <c r="AB620" i="1" s="1"/>
  <c r="Z620" i="1"/>
  <c r="AA627" i="1"/>
  <c r="AB627" i="1" s="1"/>
  <c r="Z627" i="1"/>
  <c r="AA699" i="1"/>
  <c r="AB699" i="1" s="1"/>
  <c r="Z699" i="1"/>
  <c r="AA455" i="1"/>
  <c r="AB455" i="1" s="1"/>
  <c r="Z455" i="1"/>
  <c r="AA461" i="1"/>
  <c r="AB461" i="1" s="1"/>
  <c r="Z461" i="1"/>
  <c r="AA492" i="1"/>
  <c r="AB492" i="1" s="1"/>
  <c r="Z492" i="1"/>
  <c r="AA500" i="1"/>
  <c r="AB500" i="1" s="1"/>
  <c r="Z500" i="1"/>
  <c r="AA536" i="1"/>
  <c r="AB536" i="1" s="1"/>
  <c r="Z536" i="1"/>
  <c r="AA568" i="1"/>
  <c r="AB568" i="1" s="1"/>
  <c r="Z568" i="1"/>
  <c r="AA574" i="1"/>
  <c r="AB574" i="1" s="1"/>
  <c r="Z574" i="1"/>
  <c r="AA588" i="1"/>
  <c r="AB588" i="1" s="1"/>
  <c r="Z588" i="1"/>
  <c r="Z590" i="1"/>
  <c r="AA590" i="1"/>
  <c r="AB590" i="1" s="1"/>
  <c r="AA541" i="1"/>
  <c r="AB541" i="1" s="1"/>
  <c r="Z541" i="1"/>
  <c r="AA545" i="1"/>
  <c r="AB545" i="1" s="1"/>
  <c r="Z545" i="1"/>
  <c r="AA563" i="1"/>
  <c r="AB563" i="1" s="1"/>
  <c r="Z595" i="1"/>
  <c r="AA595" i="1"/>
  <c r="AB595" i="1" s="1"/>
  <c r="Z623" i="1"/>
  <c r="AA623" i="1"/>
  <c r="AB623" i="1" s="1"/>
  <c r="AA657" i="1"/>
  <c r="AB657" i="1" s="1"/>
  <c r="Z657" i="1"/>
  <c r="Z662" i="1"/>
  <c r="AA662" i="1"/>
  <c r="AB662" i="1" s="1"/>
  <c r="AA680" i="1"/>
  <c r="AB680" i="1" s="1"/>
  <c r="Z680" i="1"/>
  <c r="Z682" i="1"/>
  <c r="AA377" i="1"/>
  <c r="AB377" i="1" s="1"/>
  <c r="Z389" i="1"/>
  <c r="AA423" i="1"/>
  <c r="AB423" i="1" s="1"/>
  <c r="Z423" i="1"/>
  <c r="AA478" i="1"/>
  <c r="AB478" i="1" s="1"/>
  <c r="Z478" i="1"/>
  <c r="AA507" i="1"/>
  <c r="AB507" i="1" s="1"/>
  <c r="Z507" i="1"/>
  <c r="AA513" i="1"/>
  <c r="AB513" i="1" s="1"/>
  <c r="Z513" i="1"/>
  <c r="AA675" i="1"/>
  <c r="AB675" i="1" s="1"/>
  <c r="Z675" i="1"/>
  <c r="AA705" i="1"/>
  <c r="AB705" i="1" s="1"/>
  <c r="Z705" i="1"/>
  <c r="Z369" i="1"/>
  <c r="AA396" i="1"/>
  <c r="AB396" i="1" s="1"/>
  <c r="AA419" i="1"/>
  <c r="AB419" i="1" s="1"/>
  <c r="Z419" i="1"/>
  <c r="AA425" i="1"/>
  <c r="AB425" i="1" s="1"/>
  <c r="Z425" i="1"/>
  <c r="Y427" i="1"/>
  <c r="AA434" i="1"/>
  <c r="AB434" i="1" s="1"/>
  <c r="AA442" i="1"/>
  <c r="AB442" i="1" s="1"/>
  <c r="Z442" i="1"/>
  <c r="Z457" i="1"/>
  <c r="Z463" i="1"/>
  <c r="Y467" i="1"/>
  <c r="AA471" i="1"/>
  <c r="AB471" i="1" s="1"/>
  <c r="Z471" i="1"/>
  <c r="Z482" i="1"/>
  <c r="AA482" i="1"/>
  <c r="AB482" i="1" s="1"/>
  <c r="Z484" i="1"/>
  <c r="AA523" i="1"/>
  <c r="AB523" i="1" s="1"/>
  <c r="Z523" i="1"/>
  <c r="AA525" i="1"/>
  <c r="AB525" i="1" s="1"/>
  <c r="Z525" i="1"/>
  <c r="AA534" i="1"/>
  <c r="AB534" i="1" s="1"/>
  <c r="Z534" i="1"/>
  <c r="AA548" i="1"/>
  <c r="AB548" i="1" s="1"/>
  <c r="Z548" i="1"/>
  <c r="AA553" i="1"/>
  <c r="AB553" i="1" s="1"/>
  <c r="Z553" i="1"/>
  <c r="AA555" i="1"/>
  <c r="AB555" i="1" s="1"/>
  <c r="Z555" i="1"/>
  <c r="AA557" i="1"/>
  <c r="AB557" i="1" s="1"/>
  <c r="Z557" i="1"/>
  <c r="Z566" i="1"/>
  <c r="AA566" i="1"/>
  <c r="AB566" i="1" s="1"/>
  <c r="AA584" i="1"/>
  <c r="AB584" i="1" s="1"/>
  <c r="Z584" i="1"/>
  <c r="AA607" i="1"/>
  <c r="AB607" i="1" s="1"/>
  <c r="Z607" i="1"/>
  <c r="AA609" i="1"/>
  <c r="AB609" i="1" s="1"/>
  <c r="Z609" i="1"/>
  <c r="AA616" i="1"/>
  <c r="AB616" i="1" s="1"/>
  <c r="AA651" i="1"/>
  <c r="AB651" i="1" s="1"/>
  <c r="Z651" i="1"/>
  <c r="Y505" i="1"/>
  <c r="AA516" i="1"/>
  <c r="AB516" i="1" s="1"/>
  <c r="Z516" i="1"/>
  <c r="AA530" i="1"/>
  <c r="AB530" i="1" s="1"/>
  <c r="Z530" i="1"/>
  <c r="Z572" i="1"/>
  <c r="AA591" i="1"/>
  <c r="AB591" i="1" s="1"/>
  <c r="Z591" i="1"/>
  <c r="Z614" i="1"/>
  <c r="AA628" i="1"/>
  <c r="AB628" i="1" s="1"/>
  <c r="Z628" i="1"/>
  <c r="AA660" i="1"/>
  <c r="AB660" i="1" s="1"/>
  <c r="Z660" i="1"/>
  <c r="AA561" i="1"/>
  <c r="AB561" i="1" s="1"/>
  <c r="Z561" i="1"/>
  <c r="Y575" i="1"/>
  <c r="AA754" i="1"/>
  <c r="AB754" i="1" s="1"/>
  <c r="Z754" i="1"/>
  <c r="AA521" i="1"/>
  <c r="AB521" i="1" s="1"/>
  <c r="Z521" i="1"/>
  <c r="AA577" i="1"/>
  <c r="AB577" i="1" s="1"/>
  <c r="AA663" i="1"/>
  <c r="AB663" i="1" s="1"/>
  <c r="Z663" i="1"/>
  <c r="Z697" i="1"/>
  <c r="AA697" i="1"/>
  <c r="AB697" i="1" s="1"/>
  <c r="AA714" i="1"/>
  <c r="AB714" i="1" s="1"/>
  <c r="Z714" i="1"/>
  <c r="Z721" i="1"/>
  <c r="AA721" i="1"/>
  <c r="AB721" i="1" s="1"/>
  <c r="AA752" i="1"/>
  <c r="AB752" i="1" s="1"/>
  <c r="Z752" i="1"/>
  <c r="AA778" i="1"/>
  <c r="AB778" i="1" s="1"/>
  <c r="Z778" i="1"/>
  <c r="AA556" i="1"/>
  <c r="AB556" i="1" s="1"/>
  <c r="Z556" i="1"/>
  <c r="AA610" i="1"/>
  <c r="AB610" i="1" s="1"/>
  <c r="Z610" i="1"/>
  <c r="AA617" i="1"/>
  <c r="AB617" i="1" s="1"/>
  <c r="Z617" i="1"/>
  <c r="AA650" i="1"/>
  <c r="AB650" i="1" s="1"/>
  <c r="Z650" i="1"/>
  <c r="AA671" i="1"/>
  <c r="AB671" i="1" s="1"/>
  <c r="Z671" i="1"/>
  <c r="AA688" i="1"/>
  <c r="AB688" i="1" s="1"/>
  <c r="Z688" i="1"/>
  <c r="Z692" i="1"/>
  <c r="AA695" i="1"/>
  <c r="AB695" i="1" s="1"/>
  <c r="Z695" i="1"/>
  <c r="Z709" i="1"/>
  <c r="AA709" i="1"/>
  <c r="AB709" i="1" s="1"/>
  <c r="Z725" i="1"/>
  <c r="AA725" i="1"/>
  <c r="AB725" i="1" s="1"/>
  <c r="AA730" i="1"/>
  <c r="AB730" i="1" s="1"/>
  <c r="Z730" i="1"/>
  <c r="Z737" i="1"/>
  <c r="AA737" i="1"/>
  <c r="AB737" i="1" s="1"/>
  <c r="Z769" i="1"/>
  <c r="AA769" i="1"/>
  <c r="AB769" i="1" s="1"/>
  <c r="AA776" i="1"/>
  <c r="AB776" i="1" s="1"/>
  <c r="Z776" i="1"/>
  <c r="Z550" i="1"/>
  <c r="AA615" i="1"/>
  <c r="AB615" i="1" s="1"/>
  <c r="Z615" i="1"/>
  <c r="AA728" i="1"/>
  <c r="AB728" i="1" s="1"/>
  <c r="Z728" i="1"/>
  <c r="AA774" i="1"/>
  <c r="AB774" i="1" s="1"/>
  <c r="Z774" i="1"/>
  <c r="Z510" i="1"/>
  <c r="Z527" i="1"/>
  <c r="AA539" i="1"/>
  <c r="AB539" i="1" s="1"/>
  <c r="Z539" i="1"/>
  <c r="AA602" i="1"/>
  <c r="AB602" i="1" s="1"/>
  <c r="Z602" i="1"/>
  <c r="Z604" i="1"/>
  <c r="AA604" i="1"/>
  <c r="AB604" i="1" s="1"/>
  <c r="Z630" i="1"/>
  <c r="AA630" i="1"/>
  <c r="AB630" i="1" s="1"/>
  <c r="AA681" i="1"/>
  <c r="AB681" i="1" s="1"/>
  <c r="Z681" i="1"/>
  <c r="AA762" i="1"/>
  <c r="AB762" i="1" s="1"/>
  <c r="Z762" i="1"/>
  <c r="AA767" i="1"/>
  <c r="AB767" i="1" s="1"/>
  <c r="Z767" i="1"/>
  <c r="Z544" i="1"/>
  <c r="AA554" i="1"/>
  <c r="AB554" i="1" s="1"/>
  <c r="AA613" i="1"/>
  <c r="AB613" i="1" s="1"/>
  <c r="Z613" i="1"/>
  <c r="AB619" i="1"/>
  <c r="AA642" i="1"/>
  <c r="AB642" i="1" s="1"/>
  <c r="Z642" i="1"/>
  <c r="AA664" i="1"/>
  <c r="AB664" i="1" s="1"/>
  <c r="Z664" i="1"/>
  <c r="AA758" i="1"/>
  <c r="AB758" i="1" s="1"/>
  <c r="Z758" i="1"/>
  <c r="AA772" i="1"/>
  <c r="AB772" i="1" s="1"/>
  <c r="Z772" i="1"/>
  <c r="AA551" i="1"/>
  <c r="AB551" i="1" s="1"/>
  <c r="Z551" i="1"/>
  <c r="Z564" i="1"/>
  <c r="AA596" i="1"/>
  <c r="AB596" i="1" s="1"/>
  <c r="Z596" i="1"/>
  <c r="Z600" i="1"/>
  <c r="AA606" i="1"/>
  <c r="AB606" i="1" s="1"/>
  <c r="Z606" i="1"/>
  <c r="Z619" i="1"/>
  <c r="Z679" i="1"/>
  <c r="AA679" i="1"/>
  <c r="AB679" i="1" s="1"/>
  <c r="Y686" i="1"/>
  <c r="Z691" i="1"/>
  <c r="AA691" i="1"/>
  <c r="AB691" i="1" s="1"/>
  <c r="AA533" i="1"/>
  <c r="AB533" i="1" s="1"/>
  <c r="AA582" i="1"/>
  <c r="AB582" i="1" s="1"/>
  <c r="Y611" i="1"/>
  <c r="Z652" i="1"/>
  <c r="Z703" i="1"/>
  <c r="AA703" i="1"/>
  <c r="AB703" i="1" s="1"/>
  <c r="AA724" i="1"/>
  <c r="AB724" i="1" s="1"/>
  <c r="Z724" i="1"/>
  <c r="Z785" i="1"/>
  <c r="AA785" i="1"/>
  <c r="AB785" i="1" s="1"/>
  <c r="Z673" i="1"/>
  <c r="AA673" i="1"/>
  <c r="AB673" i="1" s="1"/>
  <c r="AA765" i="1"/>
  <c r="AB765" i="1" s="1"/>
  <c r="Z765" i="1"/>
  <c r="AA710" i="1"/>
  <c r="AB710" i="1" s="1"/>
  <c r="Z710" i="1"/>
  <c r="AA716" i="1"/>
  <c r="AB716" i="1" s="1"/>
  <c r="Z716" i="1"/>
  <c r="AA632" i="1"/>
  <c r="AB632" i="1" s="1"/>
  <c r="AA656" i="1"/>
  <c r="AB656" i="1" s="1"/>
  <c r="Z656" i="1"/>
  <c r="AA687" i="1"/>
  <c r="AB687" i="1" s="1"/>
  <c r="Z687" i="1"/>
  <c r="AA718" i="1"/>
  <c r="AB718" i="1" s="1"/>
  <c r="Z722" i="1"/>
  <c r="AA726" i="1"/>
  <c r="AB726" i="1" s="1"/>
  <c r="Z726" i="1"/>
  <c r="AA742" i="1"/>
  <c r="AB742" i="1" s="1"/>
  <c r="Z742" i="1"/>
  <c r="AA747" i="1"/>
  <c r="AB747" i="1" s="1"/>
  <c r="Z747" i="1"/>
  <c r="AA759" i="1"/>
  <c r="AB759" i="1" s="1"/>
  <c r="Z759" i="1"/>
  <c r="AA786" i="1"/>
  <c r="AB786" i="1" s="1"/>
  <c r="Z786" i="1"/>
  <c r="Y646" i="1"/>
  <c r="AA648" i="1"/>
  <c r="AB648" i="1" s="1"/>
  <c r="Z648" i="1"/>
  <c r="AA674" i="1"/>
  <c r="AB674" i="1" s="1"/>
  <c r="Z674" i="1"/>
  <c r="AA676" i="1"/>
  <c r="AB676" i="1" s="1"/>
  <c r="Z676" i="1"/>
  <c r="AA625" i="1"/>
  <c r="AB625" i="1" s="1"/>
  <c r="Z625" i="1"/>
  <c r="AA658" i="1"/>
  <c r="AB658" i="1" s="1"/>
  <c r="Z658" i="1"/>
  <c r="AA665" i="1"/>
  <c r="AB665" i="1" s="1"/>
  <c r="Z665" i="1"/>
  <c r="AA693" i="1"/>
  <c r="AB693" i="1" s="1"/>
  <c r="Z693" i="1"/>
  <c r="Z706" i="1"/>
  <c r="AA706" i="1"/>
  <c r="AB706" i="1" s="1"/>
  <c r="Z733" i="1"/>
  <c r="AA733" i="1"/>
  <c r="AB733" i="1" s="1"/>
  <c r="Z745" i="1"/>
  <c r="AA745" i="1"/>
  <c r="AB745" i="1" s="1"/>
  <c r="Z779" i="1"/>
  <c r="AA779" i="1"/>
  <c r="AB779" i="1" s="1"/>
  <c r="AA640" i="1"/>
  <c r="AB640" i="1" s="1"/>
  <c r="Z689" i="1"/>
  <c r="Z731" i="1"/>
  <c r="AA735" i="1"/>
  <c r="AB735" i="1" s="1"/>
  <c r="AA740" i="1"/>
  <c r="AB740" i="1" s="1"/>
  <c r="Z740" i="1"/>
  <c r="AA644" i="1"/>
  <c r="AB644" i="1" s="1"/>
  <c r="Z685" i="1"/>
  <c r="AA685" i="1"/>
  <c r="AB685" i="1" s="1"/>
  <c r="AA702" i="1"/>
  <c r="AB702" i="1" s="1"/>
  <c r="Z702" i="1"/>
  <c r="AA717" i="1"/>
  <c r="AB717" i="1" s="1"/>
  <c r="Z717" i="1"/>
  <c r="Z727" i="1"/>
  <c r="AA727" i="1"/>
  <c r="AB727" i="1" s="1"/>
  <c r="AA738" i="1"/>
  <c r="AB738" i="1" s="1"/>
  <c r="Z738" i="1"/>
  <c r="AA743" i="1"/>
  <c r="AB743" i="1" s="1"/>
  <c r="Z743" i="1"/>
  <c r="AA750" i="1"/>
  <c r="AB750" i="1" s="1"/>
  <c r="Z750" i="1"/>
  <c r="AA764" i="1"/>
  <c r="AB764" i="1" s="1"/>
  <c r="Z764" i="1"/>
  <c r="Z770" i="1"/>
  <c r="AA782" i="1"/>
  <c r="AB782" i="1" s="1"/>
  <c r="Z782" i="1"/>
  <c r="Z787" i="1"/>
  <c r="AA787" i="1"/>
  <c r="AB787" i="1" s="1"/>
  <c r="Y655" i="1"/>
  <c r="AA659" i="1"/>
  <c r="AB659" i="1" s="1"/>
  <c r="Z659" i="1"/>
  <c r="Y661" i="1"/>
  <c r="AA670" i="1"/>
  <c r="AB670" i="1" s="1"/>
  <c r="Z670" i="1"/>
  <c r="AA696" i="1"/>
  <c r="AB696" i="1" s="1"/>
  <c r="Z696" i="1"/>
  <c r="Y736" i="1"/>
  <c r="Z773" i="1"/>
  <c r="AA773" i="1"/>
  <c r="AB773" i="1" s="1"/>
  <c r="Y622" i="1"/>
  <c r="AA633" i="1"/>
  <c r="AB633" i="1" s="1"/>
  <c r="Z633" i="1"/>
  <c r="Y641" i="1"/>
  <c r="AA653" i="1"/>
  <c r="AB653" i="1" s="1"/>
  <c r="Z653" i="1"/>
  <c r="AA666" i="1"/>
  <c r="AB666" i="1" s="1"/>
  <c r="Z666" i="1"/>
  <c r="AA672" i="1"/>
  <c r="AB672" i="1" s="1"/>
  <c r="Z690" i="1"/>
  <c r="AA690" i="1"/>
  <c r="AB690" i="1" s="1"/>
  <c r="AA707" i="1"/>
  <c r="AB707" i="1" s="1"/>
  <c r="Z707" i="1"/>
  <c r="AA753" i="1"/>
  <c r="AB753" i="1" s="1"/>
  <c r="Z753" i="1"/>
  <c r="AA757" i="1"/>
  <c r="AB757" i="1" s="1"/>
  <c r="AA784" i="1"/>
  <c r="AB784" i="1" s="1"/>
  <c r="Z784" i="1"/>
  <c r="Y678" i="1"/>
  <c r="Y775" i="1"/>
  <c r="AA698" i="1"/>
  <c r="AB698" i="1" s="1"/>
  <c r="Z698" i="1"/>
  <c r="AA708" i="1"/>
  <c r="AB708" i="1" s="1"/>
  <c r="Z708" i="1"/>
  <c r="AA729" i="1"/>
  <c r="AB729" i="1" s="1"/>
  <c r="Z729" i="1"/>
  <c r="Z700" i="1"/>
  <c r="AA755" i="1"/>
  <c r="AB755" i="1" s="1"/>
  <c r="Z755" i="1"/>
  <c r="AA768" i="1"/>
  <c r="AB768" i="1" s="1"/>
  <c r="Z768" i="1"/>
  <c r="Z777" i="1"/>
  <c r="Z781" i="1"/>
  <c r="AA781" i="1"/>
  <c r="AB781" i="1" s="1"/>
  <c r="Y667" i="1"/>
  <c r="Y746" i="1"/>
  <c r="Z766" i="1"/>
  <c r="Y712" i="1"/>
  <c r="AA744" i="1"/>
  <c r="AB744" i="1" s="1"/>
  <c r="Z744" i="1"/>
  <c r="F77" i="2"/>
  <c r="O64" i="2"/>
  <c r="Y780" i="1"/>
  <c r="F76" i="2"/>
  <c r="F78" i="2"/>
  <c r="O61" i="2"/>
  <c r="O24" i="2"/>
  <c r="J75" i="2" l="1"/>
  <c r="K75" i="2" s="1"/>
  <c r="J81" i="2"/>
  <c r="C99" i="2"/>
  <c r="C94" i="2"/>
  <c r="F100" i="2"/>
  <c r="F95" i="2"/>
  <c r="F93" i="2"/>
  <c r="F98" i="2"/>
  <c r="B88" i="2"/>
  <c r="B82" i="2"/>
  <c r="B89" i="2"/>
  <c r="B83" i="2"/>
  <c r="B81" i="2"/>
  <c r="F96" i="2"/>
  <c r="F101" i="2"/>
  <c r="B84" i="2"/>
  <c r="B90" i="2"/>
  <c r="F99" i="2"/>
  <c r="F94" i="2"/>
  <c r="O19" i="2"/>
  <c r="O35" i="2"/>
  <c r="O36" i="2"/>
  <c r="O18" i="2"/>
  <c r="O17" i="2"/>
  <c r="B75" i="2"/>
  <c r="K76" i="2"/>
  <c r="B76" i="2"/>
  <c r="B77" i="2"/>
  <c r="B87" i="2"/>
  <c r="B78" i="2"/>
  <c r="AA746" i="1"/>
  <c r="AB746" i="1" s="1"/>
  <c r="Z746" i="1"/>
  <c r="AA641" i="1"/>
  <c r="AB641" i="1" s="1"/>
  <c r="Z641" i="1"/>
  <c r="Z470" i="1"/>
  <c r="AA470" i="1"/>
  <c r="AB470" i="1" s="1"/>
  <c r="AA622" i="1"/>
  <c r="AB622" i="1" s="1"/>
  <c r="Z622" i="1"/>
  <c r="Z362" i="1"/>
  <c r="AA362" i="1"/>
  <c r="AB362" i="1" s="1"/>
  <c r="AA164" i="1"/>
  <c r="AB164" i="1" s="1"/>
  <c r="Z164" i="1"/>
  <c r="AA452" i="1"/>
  <c r="AB452" i="1" s="1"/>
  <c r="Z452" i="1"/>
  <c r="AA3" i="1"/>
  <c r="Z3" i="1"/>
  <c r="AA655" i="1"/>
  <c r="AB655" i="1" s="1"/>
  <c r="Z655" i="1"/>
  <c r="AA575" i="1"/>
  <c r="AB575" i="1" s="1"/>
  <c r="Z575" i="1"/>
  <c r="AA285" i="1"/>
  <c r="AB285" i="1" s="1"/>
  <c r="Z285" i="1"/>
  <c r="Z111" i="1"/>
  <c r="AA111" i="1"/>
  <c r="AB111" i="1" s="1"/>
  <c r="AB33" i="1"/>
  <c r="AA712" i="1"/>
  <c r="AB712" i="1" s="1"/>
  <c r="Z712" i="1"/>
  <c r="AA467" i="1"/>
  <c r="AB467" i="1" s="1"/>
  <c r="Z467" i="1"/>
  <c r="Z128" i="1"/>
  <c r="AA128" i="1"/>
  <c r="AB128" i="1" s="1"/>
  <c r="K77" i="2"/>
  <c r="Z46" i="1"/>
  <c r="AA46" i="1"/>
  <c r="AB46" i="1" s="1"/>
  <c r="Z736" i="1"/>
  <c r="AA736" i="1"/>
  <c r="AB736" i="1" s="1"/>
  <c r="AA646" i="1"/>
  <c r="AB646" i="1" s="1"/>
  <c r="Z646" i="1"/>
  <c r="AA678" i="1"/>
  <c r="AB678" i="1" s="1"/>
  <c r="Z678" i="1"/>
  <c r="AB18" i="1"/>
  <c r="L78" i="2"/>
  <c r="AB48" i="1"/>
  <c r="AA611" i="1"/>
  <c r="AB611" i="1" s="1"/>
  <c r="Z611" i="1"/>
  <c r="AA302" i="1"/>
  <c r="AB302" i="1" s="1"/>
  <c r="Z302" i="1"/>
  <c r="AA667" i="1"/>
  <c r="AB667" i="1" s="1"/>
  <c r="Z667" i="1"/>
  <c r="AA780" i="1"/>
  <c r="AB780" i="1" s="1"/>
  <c r="Z780" i="1"/>
  <c r="AA505" i="1"/>
  <c r="AB505" i="1" s="1"/>
  <c r="Z505" i="1"/>
  <c r="Z775" i="1"/>
  <c r="AA775" i="1"/>
  <c r="AB775" i="1" s="1"/>
  <c r="AA686" i="1"/>
  <c r="AB686" i="1" s="1"/>
  <c r="Z686" i="1"/>
  <c r="AA427" i="1"/>
  <c r="AB427" i="1" s="1"/>
  <c r="Z427" i="1"/>
  <c r="AA661" i="1"/>
  <c r="AB661" i="1" s="1"/>
  <c r="Z661" i="1"/>
  <c r="AA240" i="1"/>
  <c r="AB240" i="1" s="1"/>
  <c r="Z240" i="1"/>
  <c r="AA196" i="1"/>
  <c r="AB196" i="1" s="1"/>
  <c r="Z196" i="1"/>
  <c r="AA19" i="1"/>
  <c r="AB19" i="1" s="1"/>
  <c r="Z19" i="1"/>
  <c r="K78" i="2"/>
  <c r="J87" i="2" l="1"/>
  <c r="J98" i="2" s="1"/>
  <c r="K81" i="2"/>
  <c r="K87" i="2" s="1"/>
  <c r="K98" i="2" s="1"/>
  <c r="B98" i="2"/>
  <c r="B99" i="2"/>
  <c r="B94" i="2"/>
  <c r="B101" i="2"/>
  <c r="B96" i="2"/>
  <c r="B100" i="2"/>
  <c r="B95" i="2"/>
  <c r="B93" i="2"/>
  <c r="L76" i="2"/>
  <c r="L77" i="2"/>
  <c r="L75" i="2"/>
  <c r="AB3" i="1"/>
  <c r="J93" i="2" l="1"/>
  <c r="K9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tc={CD4149C2-01E3-E54A-B50E-37A2521D2E1E}</author>
  </authors>
  <commentList>
    <comment ref="D81" authorId="0" shapeId="0" xr:uid="{CD4149C2-01E3-E54A-B50E-37A2521D2E1E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Assuming n=10 genotypes, stderr = sigma/n</t>
      </text>
    </comment>
  </commentList>
</comments>
</file>

<file path=xl/sharedStrings.xml><?xml version="1.0" encoding="utf-8"?>
<sst xmlns="http://schemas.openxmlformats.org/spreadsheetml/2006/main" count="2632" uniqueCount="127">
  <si>
    <t>hydraulics</t>
  </si>
  <si>
    <t>population</t>
  </si>
  <si>
    <t>elevation</t>
  </si>
  <si>
    <t>genotype</t>
  </si>
  <si>
    <t>Replicate #</t>
  </si>
  <si>
    <t>i_cs</t>
  </si>
  <si>
    <t>i_bs</t>
  </si>
  <si>
    <t>CCR-COL</t>
  </si>
  <si>
    <t>JLA-JAK</t>
  </si>
  <si>
    <t>NRV-NEW</t>
  </si>
  <si>
    <t>TSZ-SAN</t>
  </si>
  <si>
    <t>SLA (mm2 mg-1)</t>
  </si>
  <si>
    <t>Rooting depth (cm)</t>
  </si>
  <si>
    <t>Tree height (m)*</t>
  </si>
  <si>
    <r>
      <t>Pre drought BA (mm</t>
    </r>
    <r>
      <rPr>
        <sz val="12"/>
        <color rgb="FF000000"/>
        <rFont val="Calibri (Body)"/>
        <family val="2"/>
      </rPr>
      <t>2</t>
    </r>
    <r>
      <rPr>
        <sz val="12"/>
        <color rgb="FF000000"/>
        <rFont val="Calibri"/>
        <family val="2"/>
        <scheme val="minor"/>
      </rPr>
      <t>)</t>
    </r>
  </si>
  <si>
    <t>Pre drought BA (m^2)</t>
  </si>
  <si>
    <r>
      <t>Post drought BA (mm</t>
    </r>
    <r>
      <rPr>
        <sz val="12"/>
        <color rgb="FF000000"/>
        <rFont val="Calibri (Body)"/>
        <family val="2"/>
      </rPr>
      <t>2</t>
    </r>
    <r>
      <rPr>
        <sz val="12"/>
        <color rgb="FF000000"/>
        <rFont val="Calibri"/>
        <family val="2"/>
        <scheme val="minor"/>
      </rPr>
      <t>)</t>
    </r>
  </si>
  <si>
    <r>
      <t>Ground area (mm</t>
    </r>
    <r>
      <rPr>
        <sz val="12"/>
        <color rgb="FF000000"/>
        <rFont val="Calibri (Body)"/>
        <family val="2"/>
      </rPr>
      <t>2</t>
    </r>
    <r>
      <rPr>
        <sz val="12"/>
        <color rgb="FF000000"/>
        <rFont val="Calibri"/>
        <family val="2"/>
        <scheme val="minor"/>
      </rPr>
      <t>)</t>
    </r>
  </si>
  <si>
    <t>Ground area (m^2)</t>
  </si>
  <si>
    <t>Ground area (ha)</t>
  </si>
  <si>
    <r>
      <t>Pre drought A</t>
    </r>
    <r>
      <rPr>
        <sz val="12"/>
        <color rgb="FF000000"/>
        <rFont val="Calibri (Body)"/>
        <family val="2"/>
      </rPr>
      <t>b</t>
    </r>
    <r>
      <rPr>
        <sz val="12"/>
        <color rgb="FF000000"/>
        <rFont val="Calibri"/>
        <family val="2"/>
        <scheme val="minor"/>
      </rPr>
      <t>:A</t>
    </r>
    <r>
      <rPr>
        <sz val="12"/>
        <color rgb="FF000000"/>
        <rFont val="Calibri (Body)"/>
        <family val="2"/>
      </rPr>
      <t>g</t>
    </r>
    <r>
      <rPr>
        <sz val="12"/>
        <color rgb="FF000000"/>
        <rFont val="Calibri (Body)"/>
        <family val="2"/>
      </rPr>
      <t>-1</t>
    </r>
    <r>
      <rPr>
        <sz val="12"/>
        <color rgb="FF000000"/>
        <rFont val="Calibri"/>
        <family val="2"/>
        <scheme val="minor"/>
      </rPr>
      <t xml:space="preserve"> (mm</t>
    </r>
    <r>
      <rPr>
        <sz val="12"/>
        <color rgb="FF000000"/>
        <rFont val="Calibri (Body)"/>
        <family val="2"/>
      </rPr>
      <t>2</t>
    </r>
    <r>
      <rPr>
        <sz val="12"/>
        <color rgb="FF000000"/>
        <rFont val="Calibri"/>
        <family val="2"/>
        <scheme val="minor"/>
      </rPr>
      <t xml:space="preserve"> mm</t>
    </r>
    <r>
      <rPr>
        <sz val="12"/>
        <color rgb="FF000000"/>
        <rFont val="Calibri (Body)"/>
        <family val="2"/>
      </rPr>
      <t>-2</t>
    </r>
    <r>
      <rPr>
        <sz val="12"/>
        <color rgb="FF000000"/>
        <rFont val="Calibri"/>
        <family val="2"/>
        <scheme val="minor"/>
      </rPr>
      <t>)</t>
    </r>
  </si>
  <si>
    <r>
      <t>Pre drought A</t>
    </r>
    <r>
      <rPr>
        <sz val="12"/>
        <color rgb="FF000000"/>
        <rFont val="Calibri (Body)"/>
        <family val="2"/>
      </rPr>
      <t>b</t>
    </r>
    <r>
      <rPr>
        <sz val="12"/>
        <color rgb="FF000000"/>
        <rFont val="Calibri"/>
        <family val="2"/>
        <scheme val="minor"/>
      </rPr>
      <t>:A</t>
    </r>
    <r>
      <rPr>
        <sz val="12"/>
        <color rgb="FF000000"/>
        <rFont val="Calibri (Body)"/>
        <family val="2"/>
      </rPr>
      <t>g</t>
    </r>
    <r>
      <rPr>
        <sz val="12"/>
        <color rgb="FF000000"/>
        <rFont val="Calibri (Body)"/>
        <family val="2"/>
      </rPr>
      <t>-1</t>
    </r>
    <r>
      <rPr>
        <sz val="12"/>
        <color rgb="FF000000"/>
        <rFont val="Calibri"/>
        <family val="2"/>
        <scheme val="minor"/>
      </rPr>
      <t xml:space="preserve"> (m</t>
    </r>
    <r>
      <rPr>
        <sz val="12"/>
        <color rgb="FF000000"/>
        <rFont val="Calibri (Body)"/>
        <family val="2"/>
      </rPr>
      <t>2</t>
    </r>
    <r>
      <rPr>
        <sz val="12"/>
        <color rgb="FF000000"/>
        <rFont val="Calibri"/>
        <family val="2"/>
        <scheme val="minor"/>
      </rPr>
      <t xml:space="preserve"> ha</t>
    </r>
    <r>
      <rPr>
        <sz val="12"/>
        <color rgb="FF000000"/>
        <rFont val="Calibri (Body)"/>
        <family val="2"/>
      </rPr>
      <t>-1</t>
    </r>
    <r>
      <rPr>
        <sz val="12"/>
        <color rgb="FF000000"/>
        <rFont val="Calibri"/>
        <family val="2"/>
        <scheme val="minor"/>
      </rPr>
      <t>)</t>
    </r>
  </si>
  <si>
    <r>
      <t>Post drought A</t>
    </r>
    <r>
      <rPr>
        <sz val="12"/>
        <color rgb="FF000000"/>
        <rFont val="Calibri (Body)"/>
        <family val="2"/>
      </rPr>
      <t>b</t>
    </r>
    <r>
      <rPr>
        <sz val="12"/>
        <color rgb="FF000000"/>
        <rFont val="Calibri"/>
        <family val="2"/>
        <scheme val="minor"/>
      </rPr>
      <t>:A</t>
    </r>
    <r>
      <rPr>
        <sz val="12"/>
        <color rgb="FF000000"/>
        <rFont val="Calibri (Body)"/>
        <family val="2"/>
      </rPr>
      <t>g</t>
    </r>
    <r>
      <rPr>
        <sz val="12"/>
        <color rgb="FF000000"/>
        <rFont val="Calibri (Body)"/>
        <family val="2"/>
      </rPr>
      <t>-1</t>
    </r>
    <r>
      <rPr>
        <sz val="12"/>
        <color rgb="FF000000"/>
        <rFont val="Calibri"/>
        <family val="2"/>
        <scheme val="minor"/>
      </rPr>
      <t xml:space="preserve"> (mm</t>
    </r>
    <r>
      <rPr>
        <sz val="12"/>
        <color rgb="FF000000"/>
        <rFont val="Calibri (Body)"/>
        <family val="2"/>
      </rPr>
      <t>2</t>
    </r>
    <r>
      <rPr>
        <sz val="12"/>
        <color rgb="FF000000"/>
        <rFont val="Calibri"/>
        <family val="2"/>
        <scheme val="minor"/>
      </rPr>
      <t xml:space="preserve"> mm</t>
    </r>
    <r>
      <rPr>
        <sz val="12"/>
        <color rgb="FF000000"/>
        <rFont val="Calibri (Body)"/>
        <family val="2"/>
      </rPr>
      <t>-2</t>
    </r>
    <r>
      <rPr>
        <sz val="12"/>
        <color rgb="FF000000"/>
        <rFont val="Calibri"/>
        <family val="2"/>
        <scheme val="minor"/>
      </rPr>
      <t>)</t>
    </r>
  </si>
  <si>
    <t>Mean leaf width (cm)</t>
  </si>
  <si>
    <r>
      <t>Predrought A</t>
    </r>
    <r>
      <rPr>
        <sz val="12"/>
        <color rgb="FF000000"/>
        <rFont val="Calibri (Body)"/>
        <family val="2"/>
      </rPr>
      <t>net</t>
    </r>
    <r>
      <rPr>
        <sz val="12"/>
        <color rgb="FF000000"/>
        <rFont val="Calibri"/>
        <family val="2"/>
        <scheme val="minor"/>
      </rPr>
      <t xml:space="preserve"> </t>
    </r>
    <r>
      <rPr>
        <i/>
        <sz val="12"/>
        <color rgb="FF000000"/>
        <rFont val="Calibri"/>
        <family val="2"/>
        <scheme val="minor"/>
      </rPr>
      <t>u</t>
    </r>
    <r>
      <rPr>
        <sz val="12"/>
        <color rgb="FF000000"/>
        <rFont val="Calibri"/>
        <family val="2"/>
        <scheme val="minor"/>
      </rPr>
      <t>mol m</t>
    </r>
    <r>
      <rPr>
        <sz val="12"/>
        <color rgb="FF000000"/>
        <rFont val="Calibri (Body)"/>
        <family val="2"/>
      </rPr>
      <t>-2</t>
    </r>
    <r>
      <rPr>
        <sz val="12"/>
        <color rgb="FF000000"/>
        <rFont val="Calibri"/>
        <family val="2"/>
        <scheme val="minor"/>
      </rPr>
      <t xml:space="preserve"> s</t>
    </r>
    <r>
      <rPr>
        <sz val="12"/>
        <color rgb="FF000000"/>
        <rFont val="Calibri (Body)"/>
        <family val="2"/>
      </rPr>
      <t>-1</t>
    </r>
  </si>
  <si>
    <r>
      <t>Postdrought A</t>
    </r>
    <r>
      <rPr>
        <sz val="12"/>
        <color rgb="FF000000"/>
        <rFont val="Calibri (Body)"/>
        <family val="2"/>
      </rPr>
      <t>net</t>
    </r>
    <r>
      <rPr>
        <sz val="12"/>
        <color rgb="FF000000"/>
        <rFont val="Calibri"/>
        <family val="2"/>
        <scheme val="minor"/>
      </rPr>
      <t xml:space="preserve"> </t>
    </r>
    <r>
      <rPr>
        <i/>
        <sz val="12"/>
        <color rgb="FF000000"/>
        <rFont val="Calibri"/>
        <family val="2"/>
        <scheme val="minor"/>
      </rPr>
      <t>u</t>
    </r>
    <r>
      <rPr>
        <sz val="12"/>
        <color rgb="FF000000"/>
        <rFont val="Calibri"/>
        <family val="2"/>
        <scheme val="minor"/>
      </rPr>
      <t>mol m</t>
    </r>
    <r>
      <rPr>
        <sz val="12"/>
        <color rgb="FF000000"/>
        <rFont val="Calibri (Body)"/>
        <family val="2"/>
      </rPr>
      <t>-2</t>
    </r>
    <r>
      <rPr>
        <sz val="12"/>
        <color rgb="FF000000"/>
        <rFont val="Calibri"/>
        <family val="2"/>
        <scheme val="minor"/>
      </rPr>
      <t xml:space="preserve"> s</t>
    </r>
    <r>
      <rPr>
        <sz val="12"/>
        <color rgb="FF000000"/>
        <rFont val="Calibri (Body)"/>
        <family val="2"/>
      </rPr>
      <t>-1</t>
    </r>
  </si>
  <si>
    <t>Pre drought Vcmax</t>
  </si>
  <si>
    <t>Post drought Vcmax</t>
  </si>
  <si>
    <t>Pre drought jmax</t>
  </si>
  <si>
    <t>Post drought jmax</t>
  </si>
  <si>
    <r>
      <t>A</t>
    </r>
    <r>
      <rPr>
        <sz val="12"/>
        <color rgb="FF000000"/>
        <rFont val="Calibri (Body)"/>
        <family val="2"/>
      </rPr>
      <t>r</t>
    </r>
    <r>
      <rPr>
        <sz val="12"/>
        <color rgb="FF000000"/>
        <rFont val="Calibri"/>
        <family val="2"/>
        <scheme val="minor"/>
      </rPr>
      <t xml:space="preserve"> (m</t>
    </r>
    <r>
      <rPr>
        <sz val="12"/>
        <color rgb="FF000000"/>
        <rFont val="Calibri (Body)"/>
        <family val="2"/>
      </rPr>
      <t>2</t>
    </r>
    <r>
      <rPr>
        <sz val="12"/>
        <color rgb="FF000000"/>
        <rFont val="Calibri"/>
        <family val="2"/>
        <scheme val="minor"/>
      </rPr>
      <t>)</t>
    </r>
  </si>
  <si>
    <r>
      <t>A</t>
    </r>
    <r>
      <rPr>
        <sz val="12"/>
        <color rgb="FF000000"/>
        <rFont val="Calibri (Body)"/>
        <family val="2"/>
      </rPr>
      <t>l</t>
    </r>
    <r>
      <rPr>
        <sz val="12"/>
        <color rgb="FF000000"/>
        <rFont val="Calibri"/>
        <family val="2"/>
        <scheme val="minor"/>
      </rPr>
      <t>:A</t>
    </r>
    <r>
      <rPr>
        <sz val="12"/>
        <color rgb="FF000000"/>
        <rFont val="Calibri (Body)"/>
        <family val="2"/>
      </rPr>
      <t>r</t>
    </r>
    <r>
      <rPr>
        <sz val="12"/>
        <color rgb="FF000000"/>
        <rFont val="Calibri"/>
        <family val="2"/>
        <scheme val="minor"/>
      </rPr>
      <t xml:space="preserve"> (m</t>
    </r>
    <r>
      <rPr>
        <sz val="12"/>
        <color rgb="FF000000"/>
        <rFont val="Calibri (Body)"/>
        <family val="2"/>
      </rPr>
      <t>2</t>
    </r>
    <r>
      <rPr>
        <sz val="12"/>
        <color rgb="FF000000"/>
        <rFont val="Calibri"/>
        <family val="2"/>
        <scheme val="minor"/>
      </rPr>
      <t xml:space="preserve"> m</t>
    </r>
    <r>
      <rPr>
        <sz val="12"/>
        <color rgb="FF000000"/>
        <rFont val="Calibri (Body)"/>
        <family val="2"/>
      </rPr>
      <t>-2</t>
    </r>
    <r>
      <rPr>
        <sz val="12"/>
        <color rgb="FF000000"/>
        <rFont val="Calibri"/>
        <family val="2"/>
        <scheme val="minor"/>
      </rPr>
      <t>)</t>
    </r>
  </si>
  <si>
    <t>A_l (m^2)</t>
  </si>
  <si>
    <t>* measured on Aug 22, 2023.</t>
  </si>
  <si>
    <t>** Mean surface area inside of the pot, based on mean soil height.</t>
  </si>
  <si>
    <t>Pop</t>
  </si>
  <si>
    <t>Avg BaPerGa (m2 ha-1)</t>
  </si>
  <si>
    <t xml:space="preserve">Canopy Leaf Area (m^2) </t>
  </si>
  <si>
    <t>Leaf Area Index (m2 m-2)</t>
  </si>
  <si>
    <t>Avg Tree height (m)</t>
  </si>
  <si>
    <t>Avg LaPerBa (m2 m-2)</t>
  </si>
  <si>
    <t>Avg Leaf Width (m)</t>
  </si>
  <si>
    <t>Avg LSC (mmol s-1 MPa-1 m-2 per LA)</t>
  </si>
  <si>
    <t>Avg Vmax (units??)</t>
  </si>
  <si>
    <t>Avg Jmax (units??)</t>
  </si>
  <si>
    <t>Stem Lumen Area (um2)</t>
  </si>
  <si>
    <t>conduitDiam (um)</t>
  </si>
  <si>
    <t>treeToPhotoLAI</t>
  </si>
  <si>
    <r>
      <t>Kmax (Kg hr</t>
    </r>
    <r>
      <rPr>
        <sz val="12"/>
        <color rgb="FF000000"/>
        <rFont val="Calibri (Body)"/>
        <family val="2"/>
      </rPr>
      <t>-1</t>
    </r>
    <r>
      <rPr>
        <sz val="12"/>
        <color rgb="FF000000"/>
        <rFont val="Calibri"/>
        <family val="2"/>
        <scheme val="minor"/>
      </rPr>
      <t xml:space="preserve"> MPa</t>
    </r>
    <r>
      <rPr>
        <sz val="12"/>
        <color rgb="FF000000"/>
        <rFont val="Calibri (Body)"/>
        <family val="2"/>
      </rPr>
      <t>-1</t>
    </r>
    <r>
      <rPr>
        <sz val="12"/>
        <color rgb="FF000000"/>
        <rFont val="Calibri"/>
        <family val="2"/>
        <scheme val="minor"/>
      </rPr>
      <t xml:space="preserve"> m</t>
    </r>
    <r>
      <rPr>
        <sz val="12"/>
        <color rgb="FF000000"/>
        <rFont val="Calibri (Body)"/>
        <family val="2"/>
      </rPr>
      <t>-2</t>
    </r>
    <r>
      <rPr>
        <sz val="12"/>
        <color rgb="FF000000"/>
        <rFont val="Calibri"/>
        <family val="2"/>
        <scheme val="minor"/>
      </rPr>
      <t>) per LA</t>
    </r>
  </si>
  <si>
    <t>Kmax per BA</t>
  </si>
  <si>
    <r>
      <t>These values are in M</t>
    </r>
    <r>
      <rPr>
        <sz val="12"/>
        <color rgb="FF000000"/>
        <rFont val="Calibri (Body)"/>
        <family val="2"/>
      </rPr>
      <t>2</t>
    </r>
    <r>
      <rPr>
        <sz val="12"/>
        <color rgb="FF000000"/>
        <rFont val="Calibri"/>
        <family val="2"/>
        <scheme val="minor"/>
      </rPr>
      <t xml:space="preserve"> of leaf area, not basal area</t>
    </r>
  </si>
  <si>
    <t>am.pm</t>
  </si>
  <si>
    <t>date</t>
  </si>
  <si>
    <t>treatment</t>
  </si>
  <si>
    <t>rh (%)</t>
  </si>
  <si>
    <r>
      <t>Tair (</t>
    </r>
    <r>
      <rPr>
        <sz val="12"/>
        <color rgb="FF000000"/>
        <rFont val="Calibri (Body)"/>
        <family val="2"/>
      </rPr>
      <t>o</t>
    </r>
    <r>
      <rPr>
        <sz val="12"/>
        <color rgb="FF000000"/>
        <rFont val="Calibri"/>
        <family val="2"/>
        <scheme val="minor"/>
      </rPr>
      <t>C)</t>
    </r>
  </si>
  <si>
    <r>
      <t>Tleaf (</t>
    </r>
    <r>
      <rPr>
        <sz val="12"/>
        <color rgb="FF000000"/>
        <rFont val="Calibri (Body)"/>
        <family val="2"/>
      </rPr>
      <t>o</t>
    </r>
    <r>
      <rPr>
        <sz val="12"/>
        <color rgb="FF000000"/>
        <rFont val="Calibri"/>
        <family val="2"/>
        <scheme val="minor"/>
      </rPr>
      <t>C)</t>
    </r>
  </si>
  <si>
    <t>vpd (kPa)</t>
  </si>
  <si>
    <r>
      <t>gsw.(mol m</t>
    </r>
    <r>
      <rPr>
        <sz val="12"/>
        <color rgb="FF000000"/>
        <rFont val="Calibri (Body)"/>
        <family val="2"/>
      </rPr>
      <t>-2</t>
    </r>
    <r>
      <rPr>
        <sz val="12"/>
        <color rgb="FF000000"/>
        <rFont val="Calibri"/>
        <family val="2"/>
        <scheme val="minor"/>
      </rPr>
      <t xml:space="preserve"> s</t>
    </r>
    <r>
      <rPr>
        <sz val="12"/>
        <color rgb="FF000000"/>
        <rFont val="Calibri (Body)"/>
        <family val="2"/>
      </rPr>
      <t>-1</t>
    </r>
    <r>
      <rPr>
        <sz val="12"/>
        <color rgb="FF000000"/>
        <rFont val="Calibri"/>
        <family val="2"/>
        <scheme val="minor"/>
      </rPr>
      <t>)</t>
    </r>
  </si>
  <si>
    <r>
      <t>gsw.(mmol m</t>
    </r>
    <r>
      <rPr>
        <sz val="12"/>
        <color rgb="FF000000"/>
        <rFont val="Calibri (Body)"/>
        <family val="2"/>
      </rPr>
      <t>-2</t>
    </r>
    <r>
      <rPr>
        <sz val="12"/>
        <color rgb="FF000000"/>
        <rFont val="Calibri"/>
        <family val="2"/>
        <scheme val="minor"/>
      </rPr>
      <t xml:space="preserve"> s</t>
    </r>
    <r>
      <rPr>
        <sz val="12"/>
        <color rgb="FF000000"/>
        <rFont val="Calibri (Body)"/>
        <family val="2"/>
      </rPr>
      <t>-1</t>
    </r>
    <r>
      <rPr>
        <sz val="12"/>
        <color rgb="FF000000"/>
        <rFont val="Calibri"/>
        <family val="2"/>
        <scheme val="minor"/>
      </rPr>
      <t>)</t>
    </r>
  </si>
  <si>
    <r>
      <t>E.(mmol m</t>
    </r>
    <r>
      <rPr>
        <sz val="12"/>
        <color rgb="FF000000"/>
        <rFont val="Calibri (Body)"/>
        <family val="2"/>
      </rPr>
      <t>-2</t>
    </r>
    <r>
      <rPr>
        <sz val="12"/>
        <color rgb="FF000000"/>
        <rFont val="Calibri"/>
        <family val="2"/>
        <scheme val="minor"/>
      </rPr>
      <t xml:space="preserve"> s</t>
    </r>
    <r>
      <rPr>
        <sz val="12"/>
        <color rgb="FF000000"/>
        <rFont val="Calibri (Body)"/>
        <family val="2"/>
      </rPr>
      <t>-1</t>
    </r>
    <r>
      <rPr>
        <sz val="12"/>
        <color rgb="FF000000"/>
        <rFont val="Calibri"/>
        <family val="2"/>
        <scheme val="minor"/>
      </rPr>
      <t>)</t>
    </r>
  </si>
  <si>
    <r>
      <t>E (mol m</t>
    </r>
    <r>
      <rPr>
        <sz val="12"/>
        <color rgb="FF000000"/>
        <rFont val="Calibri (Body)"/>
        <family val="2"/>
      </rPr>
      <t>-2</t>
    </r>
    <r>
      <rPr>
        <sz val="12"/>
        <color rgb="FF000000"/>
        <rFont val="Calibri"/>
        <family val="2"/>
        <scheme val="minor"/>
      </rPr>
      <t xml:space="preserve"> s</t>
    </r>
    <r>
      <rPr>
        <sz val="12"/>
        <color rgb="FF000000"/>
        <rFont val="Calibri (Body)"/>
        <family val="2"/>
      </rPr>
      <t>-1</t>
    </r>
    <r>
      <rPr>
        <sz val="12"/>
        <color rgb="FF000000"/>
        <rFont val="Calibri"/>
        <family val="2"/>
        <scheme val="minor"/>
      </rPr>
      <t>)</t>
    </r>
  </si>
  <si>
    <t>E (g m-2 s-1)</t>
  </si>
  <si>
    <r>
      <t>E (kg m</t>
    </r>
    <r>
      <rPr>
        <sz val="12"/>
        <color rgb="FF000000"/>
        <rFont val="Calibri (Body)"/>
        <family val="2"/>
      </rPr>
      <t>-2</t>
    </r>
    <r>
      <rPr>
        <sz val="12"/>
        <color rgb="FF000000"/>
        <rFont val="Calibri"/>
        <family val="2"/>
        <scheme val="minor"/>
      </rPr>
      <t xml:space="preserve"> s</t>
    </r>
    <r>
      <rPr>
        <sz val="12"/>
        <color rgb="FF000000"/>
        <rFont val="Calibri (Body)"/>
        <family val="2"/>
      </rPr>
      <t>-1</t>
    </r>
    <r>
      <rPr>
        <sz val="12"/>
        <color rgb="FF000000"/>
        <rFont val="Calibri"/>
        <family val="2"/>
        <scheme val="minor"/>
      </rPr>
      <t>)</t>
    </r>
  </si>
  <si>
    <r>
      <t>E (kg m</t>
    </r>
    <r>
      <rPr>
        <sz val="12"/>
        <color rgb="FF000000"/>
        <rFont val="Calibri (Body)"/>
        <family val="2"/>
      </rPr>
      <t>-2</t>
    </r>
    <r>
      <rPr>
        <sz val="12"/>
        <color rgb="FF000000"/>
        <rFont val="Calibri"/>
        <family val="2"/>
        <scheme val="minor"/>
      </rPr>
      <t xml:space="preserve"> hr</t>
    </r>
    <r>
      <rPr>
        <sz val="12"/>
        <color rgb="FF000000"/>
        <rFont val="Calibri (Body)"/>
        <family val="2"/>
      </rPr>
      <t>-1</t>
    </r>
    <r>
      <rPr>
        <sz val="12"/>
        <color rgb="FF000000"/>
        <rFont val="Calibri"/>
        <family val="2"/>
        <scheme val="minor"/>
      </rPr>
      <t>)</t>
    </r>
  </si>
  <si>
    <r>
      <t>Total leaf area (m</t>
    </r>
    <r>
      <rPr>
        <sz val="12"/>
        <color rgb="FF000000"/>
        <rFont val="Calibri (Body)"/>
        <family val="2"/>
      </rPr>
      <t>2</t>
    </r>
    <r>
      <rPr>
        <sz val="12"/>
        <color rgb="FF000000"/>
        <rFont val="Calibri"/>
        <family val="2"/>
        <scheme val="minor"/>
      </rPr>
      <t>)</t>
    </r>
  </si>
  <si>
    <r>
      <t>A</t>
    </r>
    <r>
      <rPr>
        <sz val="12"/>
        <color rgb="FF000000"/>
        <rFont val="Calibri (Body)"/>
        <family val="2"/>
      </rPr>
      <t>l</t>
    </r>
    <r>
      <rPr>
        <sz val="12"/>
        <color rgb="FF000000"/>
        <rFont val="Calibri"/>
        <family val="2"/>
        <scheme val="minor"/>
      </rPr>
      <t>:A</t>
    </r>
    <r>
      <rPr>
        <sz val="12"/>
        <color rgb="FF000000"/>
        <rFont val="Calibri (Body)"/>
        <family val="2"/>
      </rPr>
      <t>b</t>
    </r>
    <r>
      <rPr>
        <sz val="12"/>
        <color rgb="FF000000"/>
        <rFont val="Calibri"/>
        <family val="2"/>
        <scheme val="minor"/>
      </rPr>
      <t xml:space="preserve"> (m</t>
    </r>
    <r>
      <rPr>
        <sz val="12"/>
        <color rgb="FF000000"/>
        <rFont val="Calibri (Body)"/>
        <family val="2"/>
      </rPr>
      <t>2</t>
    </r>
    <r>
      <rPr>
        <sz val="12"/>
        <color rgb="FF000000"/>
        <rFont val="Calibri"/>
        <family val="2"/>
        <scheme val="minor"/>
      </rPr>
      <t xml:space="preserve"> cm</t>
    </r>
    <r>
      <rPr>
        <sz val="12"/>
        <color rgb="FF000000"/>
        <rFont val="Calibri (Body)"/>
        <family val="2"/>
      </rPr>
      <t>-2</t>
    </r>
    <r>
      <rPr>
        <sz val="12"/>
        <color rgb="FF000000"/>
        <rFont val="Calibri"/>
        <family val="2"/>
        <scheme val="minor"/>
      </rPr>
      <t>)</t>
    </r>
  </si>
  <si>
    <r>
      <t>A</t>
    </r>
    <r>
      <rPr>
        <sz val="12"/>
        <color rgb="FF000000"/>
        <rFont val="Calibri (Body)"/>
        <family val="2"/>
      </rPr>
      <t>l</t>
    </r>
    <r>
      <rPr>
        <sz val="12"/>
        <color rgb="FF000000"/>
        <rFont val="Calibri"/>
        <family val="2"/>
        <scheme val="minor"/>
      </rPr>
      <t>:A</t>
    </r>
    <r>
      <rPr>
        <sz val="12"/>
        <color rgb="FF000000"/>
        <rFont val="Calibri (Body)"/>
        <family val="2"/>
      </rPr>
      <t>b</t>
    </r>
    <r>
      <rPr>
        <sz val="12"/>
        <color rgb="FF000000"/>
        <rFont val="Calibri"/>
        <family val="2"/>
        <scheme val="minor"/>
      </rPr>
      <t xml:space="preserve"> (m</t>
    </r>
    <r>
      <rPr>
        <sz val="12"/>
        <color rgb="FF000000"/>
        <rFont val="Calibri (Body)"/>
        <family val="2"/>
      </rPr>
      <t>2</t>
    </r>
    <r>
      <rPr>
        <sz val="12"/>
        <color rgb="FF000000"/>
        <rFont val="Calibri"/>
        <family val="2"/>
        <scheme val="minor"/>
      </rPr>
      <t xml:space="preserve"> m</t>
    </r>
    <r>
      <rPr>
        <sz val="12"/>
        <color rgb="FF000000"/>
        <rFont val="Calibri (Body)"/>
        <family val="2"/>
      </rPr>
      <t>-2</t>
    </r>
    <r>
      <rPr>
        <sz val="12"/>
        <color rgb="FF000000"/>
        <rFont val="Calibri"/>
        <family val="2"/>
        <scheme val="minor"/>
      </rPr>
      <t>)</t>
    </r>
  </si>
  <si>
    <t>Ypd (MPa)</t>
  </si>
  <si>
    <t>Ymd (MPa)</t>
  </si>
  <si>
    <t>Delta Y (MPa)</t>
  </si>
  <si>
    <r>
      <t>K (Kg hr</t>
    </r>
    <r>
      <rPr>
        <sz val="12"/>
        <color rgb="FF000000"/>
        <rFont val="Calibri (Body)"/>
        <family val="2"/>
      </rPr>
      <t>-1</t>
    </r>
    <r>
      <rPr>
        <sz val="12"/>
        <color rgb="FF000000"/>
        <rFont val="Calibri"/>
        <family val="2"/>
        <scheme val="minor"/>
      </rPr>
      <t xml:space="preserve"> MPa</t>
    </r>
    <r>
      <rPr>
        <sz val="12"/>
        <color rgb="FF000000"/>
        <rFont val="Calibri (Body)"/>
        <family val="2"/>
      </rPr>
      <t>-1</t>
    </r>
    <r>
      <rPr>
        <sz val="12"/>
        <color rgb="FF000000"/>
        <rFont val="Calibri"/>
        <family val="2"/>
        <scheme val="minor"/>
      </rPr>
      <t xml:space="preserve"> m</t>
    </r>
    <r>
      <rPr>
        <sz val="12"/>
        <color rgb="FF000000"/>
        <rFont val="Calibri (Body)"/>
        <family val="2"/>
      </rPr>
      <t>-2</t>
    </r>
    <r>
      <rPr>
        <sz val="12"/>
        <color rgb="FF000000"/>
        <rFont val="Calibri"/>
        <family val="2"/>
        <scheme val="minor"/>
      </rPr>
      <t xml:space="preserve">) </t>
    </r>
  </si>
  <si>
    <r>
      <t>K (Kg hr</t>
    </r>
    <r>
      <rPr>
        <sz val="12"/>
        <color rgb="FF000000"/>
        <rFont val="Calibri (Body)"/>
        <family val="2"/>
      </rPr>
      <t>-1</t>
    </r>
    <r>
      <rPr>
        <sz val="12"/>
        <color rgb="FF000000"/>
        <rFont val="Calibri"/>
        <family val="2"/>
        <scheme val="minor"/>
      </rPr>
      <t xml:space="preserve"> MPa</t>
    </r>
    <r>
      <rPr>
        <sz val="12"/>
        <color rgb="FF000000"/>
        <rFont val="Calibri (Body)"/>
        <family val="2"/>
      </rPr>
      <t>-1</t>
    </r>
    <r>
      <rPr>
        <sz val="12"/>
        <color rgb="FF000000"/>
        <rFont val="Calibri"/>
        <family val="2"/>
        <scheme val="minor"/>
      </rPr>
      <t xml:space="preserve"> m</t>
    </r>
    <r>
      <rPr>
        <sz val="12"/>
        <color rgb="FF000000"/>
        <rFont val="Calibri (Body)"/>
        <family val="2"/>
      </rPr>
      <t>-2</t>
    </r>
    <r>
      <rPr>
        <sz val="12"/>
        <color rgb="FF000000"/>
        <rFont val="Calibri"/>
        <family val="2"/>
        <scheme val="minor"/>
      </rPr>
      <t>) per BA</t>
    </r>
  </si>
  <si>
    <t>K (mmol s-1 MPa-1 m-2) per LA</t>
  </si>
  <si>
    <t>K (mmol s-1 MPa-1 m-2) per BA</t>
  </si>
  <si>
    <t>am</t>
  </si>
  <si>
    <t>predrought</t>
  </si>
  <si>
    <t>pm</t>
  </si>
  <si>
    <t>drought</t>
  </si>
  <si>
    <t>postdrought</t>
  </si>
  <si>
    <t>Avg Tree height (m) STDERR</t>
  </si>
  <si>
    <t>BaPerGa STDERR</t>
  </si>
  <si>
    <t>BaPerGa</t>
  </si>
  <si>
    <t>Upper</t>
  </si>
  <si>
    <t>Lower</t>
  </si>
  <si>
    <t>Height</t>
  </si>
  <si>
    <t>STDERR</t>
  </si>
  <si>
    <t>MEAN</t>
  </si>
  <si>
    <t>VAR</t>
  </si>
  <si>
    <t>LAI STDERR</t>
  </si>
  <si>
    <t>Canopy Leaf Area STDERR</t>
  </si>
  <si>
    <t>LaPerBa STDERR</t>
  </si>
  <si>
    <t>BaPerGA VAR</t>
  </si>
  <si>
    <t>LAI VAR</t>
  </si>
  <si>
    <t>Tree height VAR</t>
  </si>
  <si>
    <t>Canopy LA VAR</t>
  </si>
  <si>
    <t>LaPerBa VAR</t>
  </si>
  <si>
    <t>Vmax VAR</t>
  </si>
  <si>
    <t>Jmax VAR</t>
  </si>
  <si>
    <t>Leaf Width VAR</t>
  </si>
  <si>
    <t>Leaf Width STDERR</t>
  </si>
  <si>
    <t>Vmax STDERR</t>
  </si>
  <si>
    <t>Jmax STDERR</t>
  </si>
  <si>
    <t>Kmax</t>
  </si>
  <si>
    <t>Kmax VAR</t>
  </si>
  <si>
    <t>Kmax STDERR</t>
  </si>
  <si>
    <t>Kmax per BA VAR</t>
  </si>
  <si>
    <t>Kmax per BA STDERR</t>
  </si>
  <si>
    <t>LaPerBa</t>
  </si>
  <si>
    <t>Canopy Leaf Area</t>
  </si>
  <si>
    <t>LAI</t>
  </si>
  <si>
    <t>Leaf width</t>
  </si>
  <si>
    <t>Vmax</t>
  </si>
  <si>
    <t>Jmax</t>
  </si>
  <si>
    <t>Population</t>
  </si>
  <si>
    <t>estimate_P12</t>
  </si>
  <si>
    <t>estimate_P50</t>
  </si>
  <si>
    <t>conf.low_P12</t>
  </si>
  <si>
    <t>conf.low_P50</t>
  </si>
  <si>
    <t>conf.high_P12</t>
  </si>
  <si>
    <t>conf.high_P50</t>
  </si>
  <si>
    <t>c</t>
  </si>
  <si>
    <t>b</t>
  </si>
  <si>
    <t>conf.low_c</t>
  </si>
  <si>
    <t>conf.low_b</t>
  </si>
  <si>
    <t>conf.high_c</t>
  </si>
  <si>
    <t>conf.high_b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</si>
</sst>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000"/>
    <numFmt numFmtId="165" formatCode="#,##0.00000"/>
    <numFmt numFmtId="166" formatCode="#,##0.000000"/>
    <numFmt numFmtId="167" formatCode="#,##0.000"/>
    <numFmt numFmtId="168" formatCode="#,##0.0"/>
    <numFmt numFmtId="169" formatCode="#,##0.000000000"/>
    <numFmt numFmtId="170" formatCode="#,##0.0000000"/>
    <numFmt numFmtId="171" formatCode="#,##0.0000000000"/>
    <numFmt numFmtId="172" formatCode="#,##0.000000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 (Body)"/>
      <family val="2"/>
    </font>
    <font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Aptos Narrow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4" fontId="0" fillId="0" borderId="0" xfId="0" applyNumberFormat="1" applyAlignment="1">
      <alignment horizontal="center"/>
    </xf>
    <xf numFmtId="4" fontId="0" fillId="0" borderId="0" xfId="0" applyNumberFormat="1"/>
    <xf numFmtId="4" fontId="1" fillId="0" borderId="1" xfId="0" applyNumberFormat="1" applyFont="1" applyBorder="1" applyAlignment="1">
      <alignment horizontal="right"/>
    </xf>
    <xf numFmtId="165" fontId="0" fillId="0" borderId="0" xfId="0" applyNumberFormat="1"/>
    <xf numFmtId="166" fontId="0" fillId="0" borderId="0" xfId="0" applyNumberFormat="1"/>
    <xf numFmtId="3" fontId="0" fillId="0" borderId="0" xfId="0" applyNumberFormat="1"/>
    <xf numFmtId="165" fontId="1" fillId="0" borderId="1" xfId="0" applyNumberFormat="1" applyFont="1" applyBorder="1" applyAlignment="1">
      <alignment horizontal="left" wrapText="1"/>
    </xf>
    <xf numFmtId="4" fontId="1" fillId="0" borderId="1" xfId="0" applyNumberFormat="1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166" fontId="1" fillId="0" borderId="1" xfId="0" applyNumberFormat="1" applyFont="1" applyBorder="1" applyAlignment="1">
      <alignment horizontal="center" wrapText="1"/>
    </xf>
    <xf numFmtId="3" fontId="1" fillId="0" borderId="1" xfId="0" applyNumberFormat="1" applyFont="1" applyBorder="1" applyAlignment="1">
      <alignment horizontal="center" wrapText="1"/>
    </xf>
    <xf numFmtId="3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14" fontId="0" fillId="0" borderId="0" xfId="0" applyNumberFormat="1"/>
    <xf numFmtId="167" fontId="1" fillId="0" borderId="1" xfId="0" applyNumberFormat="1" applyFont="1" applyBorder="1" applyAlignment="1">
      <alignment horizontal="center"/>
    </xf>
    <xf numFmtId="167" fontId="0" fillId="0" borderId="0" xfId="0" applyNumberFormat="1" applyAlignment="1">
      <alignment horizontal="center"/>
    </xf>
    <xf numFmtId="4" fontId="0" fillId="0" borderId="0" xfId="0" applyNumberFormat="1" applyAlignment="1">
      <alignment horizontal="right"/>
    </xf>
    <xf numFmtId="14" fontId="1" fillId="0" borderId="1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center"/>
    </xf>
    <xf numFmtId="168" fontId="1" fillId="0" borderId="1" xfId="0" applyNumberFormat="1" applyFont="1" applyBorder="1" applyAlignment="1">
      <alignment horizontal="center"/>
    </xf>
    <xf numFmtId="166" fontId="0" fillId="0" borderId="0" xfId="0" applyNumberForma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9" fontId="1" fillId="0" borderId="1" xfId="0" applyNumberFormat="1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164" fontId="0" fillId="0" borderId="0" xfId="0" applyNumberFormat="1"/>
    <xf numFmtId="167" fontId="0" fillId="0" borderId="0" xfId="0" applyNumberFormat="1"/>
    <xf numFmtId="167" fontId="2" fillId="0" borderId="1" xfId="0" applyNumberFormat="1" applyFont="1" applyBorder="1" applyAlignment="1">
      <alignment horizontal="center"/>
    </xf>
    <xf numFmtId="167" fontId="1" fillId="0" borderId="1" xfId="0" applyNumberFormat="1" applyFont="1" applyBorder="1" applyAlignment="1">
      <alignment horizontal="right"/>
    </xf>
    <xf numFmtId="170" fontId="0" fillId="0" borderId="0" xfId="0" applyNumberFormat="1"/>
    <xf numFmtId="169" fontId="0" fillId="0" borderId="0" xfId="0" applyNumberFormat="1"/>
    <xf numFmtId="171" fontId="0" fillId="0" borderId="0" xfId="0" applyNumberFormat="1"/>
    <xf numFmtId="172" fontId="0" fillId="0" borderId="0" xfId="0" applyNumberFormat="1"/>
    <xf numFmtId="167" fontId="6" fillId="0" borderId="1" xfId="0" applyNumberFormat="1" applyFont="1" applyBorder="1"/>
    <xf numFmtId="167" fontId="6" fillId="0" borderId="1" xfId="0" applyNumberFormat="1" applyFont="1" applyBorder="1" applyAlignment="1">
      <alignment horizontal="center"/>
    </xf>
    <xf numFmtId="166" fontId="6" fillId="0" borderId="1" xfId="0" applyNumberFormat="1" applyFont="1" applyBorder="1" applyAlignment="1">
      <alignment horizontal="center"/>
    </xf>
    <xf numFmtId="165" fontId="6" fillId="0" borderId="1" xfId="0" applyNumberFormat="1" applyFont="1" applyBorder="1"/>
    <xf numFmtId="169" fontId="6" fillId="0" borderId="1" xfId="0" applyNumberFormat="1" applyFont="1" applyBorder="1" applyAlignment="1">
      <alignment horizontal="center"/>
    </xf>
    <xf numFmtId="169" fontId="6" fillId="0" borderId="1" xfId="0" applyNumberFormat="1" applyFont="1" applyBorder="1"/>
    <xf numFmtId="169" fontId="1" fillId="0" borderId="1" xfId="0" applyNumberFormat="1" applyFont="1" applyBorder="1" applyAlignment="1">
      <alignment horizontal="center" wrapText="1"/>
    </xf>
    <xf numFmtId="169" fontId="1" fillId="0" borderId="1" xfId="0" applyNumberFormat="1" applyFont="1" applyBorder="1" applyAlignment="1">
      <alignment horizontal="right"/>
    </xf>
    <xf numFmtId="0" fontId="7" fillId="0" borderId="0" xfId="0" applyFont="1"/>
    <xf numFmtId="2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167" fontId="1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annikkat, Colin" id="{92C59D25-DCC2-CD42-92B5-5CBF6E9D4423}" userId="S::pannikkc@oregonstate.edu::8b16e42b-e52c-45e3-85dd-91f37108d39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81" dT="2025-09-02T22:38:05.68" personId="{92C59D25-DCC2-CD42-92B5-5CBF6E9D4423}" id="{CD4149C2-01E3-E54A-B50E-37A2521D2E1E}">
    <text>Assuming n=10 genotypes, stderr = sigma/n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B788"/>
  <sheetViews>
    <sheetView workbookViewId="0">
      <selection activeCell="F10" sqref="F10"/>
    </sheetView>
  </sheetViews>
  <sheetFormatPr baseColWidth="10" defaultColWidth="8.83203125" defaultRowHeight="15" x14ac:dyDescent="0.2"/>
  <cols>
    <col min="1" max="1" width="12.5" bestFit="1" customWidth="1"/>
    <col min="2" max="4" width="12.5" style="21" bestFit="1" customWidth="1"/>
    <col min="5" max="5" width="12.5" bestFit="1" customWidth="1"/>
    <col min="6" max="6" width="12.5" style="22" bestFit="1" customWidth="1"/>
    <col min="7" max="7" width="12.5" bestFit="1" customWidth="1"/>
    <col min="8" max="11" width="10.83203125" style="9" bestFit="1" customWidth="1"/>
    <col min="12" max="12" width="17.1640625" style="9" bestFit="1" customWidth="1"/>
    <col min="13" max="13" width="17.1640625" style="1" bestFit="1" customWidth="1"/>
    <col min="14" max="14" width="18.33203125" style="9" bestFit="1" customWidth="1"/>
    <col min="15" max="15" width="16.83203125" style="24" bestFit="1" customWidth="1"/>
    <col min="16" max="16" width="13.33203125" style="24" bestFit="1" customWidth="1"/>
    <col min="17" max="17" width="14.6640625" style="29" bestFit="1" customWidth="1"/>
    <col min="18" max="18" width="14.83203125" style="24" bestFit="1" customWidth="1"/>
    <col min="19" max="19" width="18.6640625" style="9" bestFit="1" customWidth="1"/>
    <col min="20" max="20" width="15.1640625" style="9" bestFit="1" customWidth="1"/>
    <col min="21" max="21" width="14.83203125" style="1" bestFit="1" customWidth="1"/>
    <col min="22" max="23" width="10.83203125" style="9" bestFit="1" customWidth="1"/>
    <col min="24" max="24" width="13" style="9" bestFit="1" customWidth="1"/>
    <col min="25" max="25" width="18.6640625" style="24" bestFit="1" customWidth="1"/>
    <col min="26" max="26" width="29.6640625" style="24" bestFit="1" customWidth="1"/>
    <col min="27" max="27" width="32" style="25" bestFit="1" customWidth="1"/>
    <col min="28" max="28" width="30" style="25" bestFit="1" customWidth="1"/>
  </cols>
  <sheetData>
    <row r="1" spans="1:28" ht="17.25" customHeight="1" x14ac:dyDescent="0.2">
      <c r="N1" s="51" t="s">
        <v>50</v>
      </c>
      <c r="O1" s="52"/>
      <c r="P1" s="52"/>
      <c r="Q1" s="53"/>
      <c r="R1" s="52"/>
    </row>
    <row r="2" spans="1:28" ht="17.25" customHeight="1" x14ac:dyDescent="0.2">
      <c r="A2" t="s">
        <v>1</v>
      </c>
      <c r="B2" s="21" t="s">
        <v>2</v>
      </c>
      <c r="C2" s="21" t="s">
        <v>3</v>
      </c>
      <c r="D2" s="21" t="s">
        <v>4</v>
      </c>
      <c r="E2" t="s">
        <v>51</v>
      </c>
      <c r="F2" s="22" t="s">
        <v>52</v>
      </c>
      <c r="G2" t="s">
        <v>53</v>
      </c>
      <c r="H2" s="5" t="s">
        <v>54</v>
      </c>
      <c r="I2" s="5" t="s">
        <v>55</v>
      </c>
      <c r="J2" s="5" t="s">
        <v>56</v>
      </c>
      <c r="K2" s="5" t="s">
        <v>57</v>
      </c>
      <c r="L2" s="5" t="s">
        <v>58</v>
      </c>
      <c r="M2" s="3" t="s">
        <v>59</v>
      </c>
      <c r="N2" s="5" t="s">
        <v>60</v>
      </c>
      <c r="O2" s="23" t="s">
        <v>61</v>
      </c>
      <c r="P2" s="23" t="s">
        <v>62</v>
      </c>
      <c r="Q2" s="7" t="s">
        <v>63</v>
      </c>
      <c r="R2" s="23" t="s">
        <v>64</v>
      </c>
      <c r="S2" s="5" t="s">
        <v>65</v>
      </c>
      <c r="T2" s="5" t="s">
        <v>66</v>
      </c>
      <c r="U2" s="3" t="s">
        <v>67</v>
      </c>
      <c r="V2" s="5" t="s">
        <v>68</v>
      </c>
      <c r="W2" s="5" t="s">
        <v>69</v>
      </c>
      <c r="X2" s="5" t="s">
        <v>70</v>
      </c>
      <c r="Y2" s="23" t="s">
        <v>71</v>
      </c>
      <c r="Z2" s="23" t="s">
        <v>72</v>
      </c>
      <c r="AA2" s="5" t="s">
        <v>73</v>
      </c>
      <c r="AB2" s="5" t="s">
        <v>74</v>
      </c>
    </row>
    <row r="3" spans="1:28" ht="17.25" customHeight="1" x14ac:dyDescent="0.2">
      <c r="A3" t="s">
        <v>7</v>
      </c>
      <c r="B3" s="20">
        <v>72</v>
      </c>
      <c r="C3" s="20">
        <v>156</v>
      </c>
      <c r="D3" s="20">
        <v>43</v>
      </c>
      <c r="E3" t="s">
        <v>75</v>
      </c>
      <c r="F3" s="26">
        <v>45127</v>
      </c>
      <c r="G3" t="s">
        <v>76</v>
      </c>
      <c r="H3" s="5">
        <v>25.5</v>
      </c>
      <c r="I3" s="5">
        <v>38.26</v>
      </c>
      <c r="J3" s="5">
        <v>33.03</v>
      </c>
      <c r="K3" s="5">
        <v>3.33</v>
      </c>
      <c r="L3" s="5">
        <v>0.24</v>
      </c>
      <c r="M3" s="3">
        <f t="shared" ref="M3:M66" si="0">L3*1000</f>
        <v>240</v>
      </c>
      <c r="N3" s="5">
        <v>7.42</v>
      </c>
      <c r="O3" s="23">
        <f t="shared" ref="O3:O34" si="1">N3/1000</f>
        <v>7.4199999999999995E-3</v>
      </c>
      <c r="P3" s="23">
        <f t="shared" ref="P3:P34" si="2">O3*18</f>
        <v>0.13355999999999998</v>
      </c>
      <c r="Q3" s="7">
        <f t="shared" ref="Q3:Q34" si="3">P3/1000</f>
        <v>1.3355999999999999E-4</v>
      </c>
      <c r="R3" s="23">
        <f t="shared" ref="R3:R34" si="4">Q3*3600</f>
        <v>0.48081599999999997</v>
      </c>
      <c r="S3" s="5">
        <v>18.53</v>
      </c>
      <c r="T3" s="5">
        <v>3.87</v>
      </c>
      <c r="U3" s="3">
        <f t="shared" ref="U3:U34" si="5">T3*10000</f>
        <v>38700</v>
      </c>
      <c r="V3" s="8">
        <v>-0.41</v>
      </c>
      <c r="W3" s="8">
        <v>-2.5299999999999998</v>
      </c>
      <c r="X3" s="5">
        <f t="shared" ref="X3:X34" si="6">V3-W3</f>
        <v>2.1199999999999997</v>
      </c>
      <c r="Y3" s="23">
        <f t="shared" ref="Y3:Y34" si="7">R3/X3</f>
        <v>0.22680000000000003</v>
      </c>
      <c r="Z3" s="23">
        <f t="shared" ref="Z3:Z66" si="8">Y3*U3</f>
        <v>8777.1600000000017</v>
      </c>
      <c r="AA3" s="11">
        <f t="shared" ref="AA3:AA66" si="9">Y3 * 1000 * 1000 / 18.01528 / 3600</f>
        <v>3.4970314088928953</v>
      </c>
      <c r="AB3" s="11">
        <f t="shared" ref="AB3:AB66" si="10">AA3*U3</f>
        <v>135335.11552415506</v>
      </c>
    </row>
    <row r="4" spans="1:28" ht="17.25" customHeight="1" x14ac:dyDescent="0.2">
      <c r="A4" t="s">
        <v>7</v>
      </c>
      <c r="B4" s="20">
        <v>72</v>
      </c>
      <c r="C4" s="20">
        <v>156</v>
      </c>
      <c r="D4" s="20">
        <v>44</v>
      </c>
      <c r="E4" t="s">
        <v>75</v>
      </c>
      <c r="F4" s="26">
        <v>45128</v>
      </c>
      <c r="G4" t="s">
        <v>76</v>
      </c>
      <c r="H4" s="5">
        <v>32.18</v>
      </c>
      <c r="I4" s="5">
        <v>36.76</v>
      </c>
      <c r="J4" s="5">
        <v>33.22</v>
      </c>
      <c r="K4" s="5">
        <v>3.11</v>
      </c>
      <c r="L4" s="5">
        <v>0.24</v>
      </c>
      <c r="M4" s="3">
        <f t="shared" si="0"/>
        <v>240</v>
      </c>
      <c r="N4" s="5">
        <v>6.72</v>
      </c>
      <c r="O4" s="23">
        <f t="shared" si="1"/>
        <v>6.7199999999999994E-3</v>
      </c>
      <c r="P4" s="23">
        <f t="shared" si="2"/>
        <v>0.12095999999999998</v>
      </c>
      <c r="Q4" s="7">
        <f t="shared" si="3"/>
        <v>1.2095999999999998E-4</v>
      </c>
      <c r="R4" s="23">
        <f t="shared" si="4"/>
        <v>0.43545599999999995</v>
      </c>
      <c r="S4" s="5">
        <v>5.08</v>
      </c>
      <c r="T4" s="5">
        <v>1.59</v>
      </c>
      <c r="U4" s="3">
        <f t="shared" si="5"/>
        <v>15900</v>
      </c>
      <c r="V4" s="8">
        <v>-0.57999999999999996</v>
      </c>
      <c r="W4" s="8">
        <v>-2.34</v>
      </c>
      <c r="X4" s="5">
        <f t="shared" si="6"/>
        <v>1.7599999999999998</v>
      </c>
      <c r="Y4" s="23">
        <f t="shared" si="7"/>
        <v>0.24741818181818181</v>
      </c>
      <c r="Z4" s="23">
        <f t="shared" si="8"/>
        <v>3933.949090909091</v>
      </c>
      <c r="AA4" s="11">
        <f t="shared" si="9"/>
        <v>3.8149433551558851</v>
      </c>
      <c r="AB4" s="11">
        <f t="shared" si="10"/>
        <v>60657.599346978575</v>
      </c>
    </row>
    <row r="5" spans="1:28" ht="17.25" customHeight="1" x14ac:dyDescent="0.2">
      <c r="A5" t="s">
        <v>7</v>
      </c>
      <c r="B5" s="20">
        <v>72</v>
      </c>
      <c r="C5" s="20">
        <v>156</v>
      </c>
      <c r="D5" s="20">
        <v>45</v>
      </c>
      <c r="E5" t="s">
        <v>75</v>
      </c>
      <c r="F5" s="26">
        <v>45127</v>
      </c>
      <c r="G5" t="s">
        <v>76</v>
      </c>
      <c r="H5" s="3">
        <v>21</v>
      </c>
      <c r="I5" s="5">
        <v>40.22</v>
      </c>
      <c r="J5" s="5">
        <v>33.770000000000003</v>
      </c>
      <c r="K5" s="5">
        <v>3.69</v>
      </c>
      <c r="L5" s="5">
        <v>0.36</v>
      </c>
      <c r="M5" s="3">
        <f t="shared" si="0"/>
        <v>360</v>
      </c>
      <c r="N5" s="5">
        <v>12.54</v>
      </c>
      <c r="O5" s="23">
        <f t="shared" si="1"/>
        <v>1.2539999999999999E-2</v>
      </c>
      <c r="P5" s="23">
        <f t="shared" si="2"/>
        <v>0.22571999999999998</v>
      </c>
      <c r="Q5" s="7">
        <f t="shared" si="3"/>
        <v>2.2571999999999997E-4</v>
      </c>
      <c r="R5" s="23">
        <f t="shared" si="4"/>
        <v>0.81259199999999987</v>
      </c>
      <c r="S5" s="5">
        <v>13.38</v>
      </c>
      <c r="T5" s="5">
        <v>3.64</v>
      </c>
      <c r="U5" s="3">
        <f t="shared" si="5"/>
        <v>36400</v>
      </c>
      <c r="V5" s="8">
        <v>-0.49</v>
      </c>
      <c r="W5" s="8">
        <v>-1.96</v>
      </c>
      <c r="X5" s="5">
        <f t="shared" si="6"/>
        <v>1.47</v>
      </c>
      <c r="Y5" s="23">
        <f t="shared" si="7"/>
        <v>0.55278367346938773</v>
      </c>
      <c r="Z5" s="23">
        <f t="shared" si="8"/>
        <v>20121.325714285715</v>
      </c>
      <c r="AA5" s="11">
        <f t="shared" si="9"/>
        <v>8.5233768449984257</v>
      </c>
      <c r="AB5" s="11">
        <f t="shared" si="10"/>
        <v>310250.91715794272</v>
      </c>
    </row>
    <row r="6" spans="1:28" ht="17.25" customHeight="1" x14ac:dyDescent="0.2">
      <c r="A6" t="s">
        <v>7</v>
      </c>
      <c r="B6" s="20">
        <v>72</v>
      </c>
      <c r="C6" s="20">
        <v>149</v>
      </c>
      <c r="D6" s="20">
        <v>46</v>
      </c>
      <c r="E6" t="s">
        <v>75</v>
      </c>
      <c r="F6" s="26">
        <v>45127</v>
      </c>
      <c r="G6" t="s">
        <v>76</v>
      </c>
      <c r="H6" s="5">
        <v>23.12</v>
      </c>
      <c r="I6" s="5">
        <v>38.65</v>
      </c>
      <c r="J6" s="5">
        <v>33.68</v>
      </c>
      <c r="K6" s="5">
        <v>3.64</v>
      </c>
      <c r="L6" s="5">
        <v>0.28999999999999998</v>
      </c>
      <c r="M6" s="3">
        <f t="shared" si="0"/>
        <v>290</v>
      </c>
      <c r="N6" s="5">
        <v>9.89</v>
      </c>
      <c r="O6" s="23">
        <f t="shared" si="1"/>
        <v>9.8900000000000012E-3</v>
      </c>
      <c r="P6" s="23">
        <f t="shared" si="2"/>
        <v>0.17802000000000001</v>
      </c>
      <c r="Q6" s="7">
        <f t="shared" si="3"/>
        <v>1.7802000000000001E-4</v>
      </c>
      <c r="R6" s="23">
        <f t="shared" si="4"/>
        <v>0.640872</v>
      </c>
      <c r="S6" s="5">
        <v>10.99</v>
      </c>
      <c r="T6" s="5">
        <v>2.0499999999999998</v>
      </c>
      <c r="U6" s="3">
        <f t="shared" si="5"/>
        <v>20500</v>
      </c>
      <c r="V6" s="8">
        <v>-0.5</v>
      </c>
      <c r="W6" s="8">
        <v>-2.96</v>
      </c>
      <c r="X6" s="5">
        <f t="shared" si="6"/>
        <v>2.46</v>
      </c>
      <c r="Y6" s="23">
        <f t="shared" si="7"/>
        <v>0.26051707317073169</v>
      </c>
      <c r="Z6" s="23">
        <f t="shared" si="8"/>
        <v>5340.5999999999995</v>
      </c>
      <c r="AA6" s="11">
        <f t="shared" si="9"/>
        <v>4.01691528849602</v>
      </c>
      <c r="AB6" s="11">
        <f t="shared" si="10"/>
        <v>82346.76341416841</v>
      </c>
    </row>
    <row r="7" spans="1:28" ht="17.25" customHeight="1" x14ac:dyDescent="0.2">
      <c r="A7" t="s">
        <v>7</v>
      </c>
      <c r="B7" s="20">
        <v>72</v>
      </c>
      <c r="C7" s="20">
        <v>149</v>
      </c>
      <c r="D7" s="20">
        <v>47</v>
      </c>
      <c r="E7" t="s">
        <v>75</v>
      </c>
      <c r="F7" s="26">
        <v>45128</v>
      </c>
      <c r="G7" t="s">
        <v>76</v>
      </c>
      <c r="H7" s="5">
        <v>35.369999999999997</v>
      </c>
      <c r="I7" s="5">
        <v>34.49</v>
      </c>
      <c r="J7" s="5">
        <v>31.41</v>
      </c>
      <c r="K7" s="5">
        <v>2.67</v>
      </c>
      <c r="L7" s="5">
        <v>0.3</v>
      </c>
      <c r="M7" s="3">
        <f t="shared" si="0"/>
        <v>300</v>
      </c>
      <c r="N7" s="5">
        <v>7.64</v>
      </c>
      <c r="O7" s="23">
        <f t="shared" si="1"/>
        <v>7.6400000000000001E-3</v>
      </c>
      <c r="P7" s="23">
        <f t="shared" si="2"/>
        <v>0.13752</v>
      </c>
      <c r="Q7" s="7">
        <f t="shared" si="3"/>
        <v>1.3752E-4</v>
      </c>
      <c r="R7" s="23">
        <f t="shared" si="4"/>
        <v>0.49507200000000001</v>
      </c>
      <c r="S7" s="5">
        <v>10.98</v>
      </c>
      <c r="T7" s="5">
        <v>2.5099999999999998</v>
      </c>
      <c r="U7" s="5">
        <f t="shared" si="5"/>
        <v>25099.999999999996</v>
      </c>
      <c r="V7" s="8">
        <v>-0.57999999999999996</v>
      </c>
      <c r="W7" s="8">
        <v>-2.41</v>
      </c>
      <c r="X7" s="5">
        <f t="shared" si="6"/>
        <v>1.83</v>
      </c>
      <c r="Y7" s="23">
        <f t="shared" si="7"/>
        <v>0.27053114754098362</v>
      </c>
      <c r="Z7" s="23">
        <f t="shared" si="8"/>
        <v>6790.3318032786874</v>
      </c>
      <c r="AA7" s="11">
        <f t="shared" si="9"/>
        <v>4.1713223987418768</v>
      </c>
      <c r="AB7" s="11">
        <f t="shared" si="10"/>
        <v>104700.1922084211</v>
      </c>
    </row>
    <row r="8" spans="1:28" ht="17.25" customHeight="1" x14ac:dyDescent="0.2">
      <c r="A8" t="s">
        <v>7</v>
      </c>
      <c r="B8" s="20">
        <v>72</v>
      </c>
      <c r="C8" s="20">
        <v>149</v>
      </c>
      <c r="D8" s="20">
        <v>48</v>
      </c>
      <c r="E8" t="s">
        <v>75</v>
      </c>
      <c r="F8" s="26">
        <v>45128</v>
      </c>
      <c r="G8" t="s">
        <v>76</v>
      </c>
      <c r="H8" s="5">
        <v>33.08</v>
      </c>
      <c r="I8" s="5">
        <v>36.29</v>
      </c>
      <c r="J8" s="5">
        <v>33.43</v>
      </c>
      <c r="K8" s="5">
        <v>3.16</v>
      </c>
      <c r="L8" s="5">
        <v>0.19</v>
      </c>
      <c r="M8" s="3">
        <f t="shared" si="0"/>
        <v>190</v>
      </c>
      <c r="N8" s="5">
        <v>5.5</v>
      </c>
      <c r="O8" s="23">
        <f t="shared" si="1"/>
        <v>5.4999999999999997E-3</v>
      </c>
      <c r="P8" s="23">
        <f t="shared" si="2"/>
        <v>9.8999999999999991E-2</v>
      </c>
      <c r="Q8" s="7">
        <f t="shared" si="3"/>
        <v>9.8999999999999994E-5</v>
      </c>
      <c r="R8" s="23">
        <f t="shared" si="4"/>
        <v>0.35639999999999999</v>
      </c>
      <c r="S8" s="5">
        <v>17.25</v>
      </c>
      <c r="T8" s="5">
        <v>2.85</v>
      </c>
      <c r="U8" s="3">
        <f t="shared" si="5"/>
        <v>28500</v>
      </c>
      <c r="V8" s="8">
        <v>-0.81</v>
      </c>
      <c r="W8" s="8">
        <v>-2.7</v>
      </c>
      <c r="X8" s="5">
        <f t="shared" si="6"/>
        <v>1.8900000000000001</v>
      </c>
      <c r="Y8" s="23">
        <f t="shared" si="7"/>
        <v>0.18857142857142856</v>
      </c>
      <c r="Z8" s="23">
        <f t="shared" si="8"/>
        <v>5374.2857142857138</v>
      </c>
      <c r="AA8" s="11">
        <f t="shared" si="9"/>
        <v>2.9075846937129133</v>
      </c>
      <c r="AB8" s="11">
        <f t="shared" si="10"/>
        <v>82866.163770818035</v>
      </c>
    </row>
    <row r="9" spans="1:28" ht="17.25" customHeight="1" x14ac:dyDescent="0.2">
      <c r="A9" t="s">
        <v>7</v>
      </c>
      <c r="B9" s="20">
        <v>72</v>
      </c>
      <c r="C9" s="20">
        <v>152</v>
      </c>
      <c r="D9" s="20">
        <v>49</v>
      </c>
      <c r="E9" t="s">
        <v>75</v>
      </c>
      <c r="F9" s="26">
        <v>45128</v>
      </c>
      <c r="G9" t="s">
        <v>76</v>
      </c>
      <c r="H9" s="5">
        <v>37.770000000000003</v>
      </c>
      <c r="I9" s="5">
        <v>32.81</v>
      </c>
      <c r="J9" s="5">
        <v>29.61</v>
      </c>
      <c r="K9" s="5">
        <v>2.27</v>
      </c>
      <c r="L9" s="5">
        <v>0.43</v>
      </c>
      <c r="M9" s="3">
        <f t="shared" si="0"/>
        <v>430</v>
      </c>
      <c r="N9" s="5">
        <v>9.19</v>
      </c>
      <c r="O9" s="23">
        <f t="shared" si="1"/>
        <v>9.1900000000000003E-3</v>
      </c>
      <c r="P9" s="23">
        <f t="shared" si="2"/>
        <v>0.16542000000000001</v>
      </c>
      <c r="Q9" s="7">
        <f t="shared" si="3"/>
        <v>1.6542E-4</v>
      </c>
      <c r="R9" s="23">
        <f t="shared" si="4"/>
        <v>0.59551200000000004</v>
      </c>
      <c r="S9" s="5">
        <v>16.68</v>
      </c>
      <c r="T9" s="5">
        <v>2.78</v>
      </c>
      <c r="U9" s="5">
        <f t="shared" si="5"/>
        <v>27799.999999999996</v>
      </c>
      <c r="V9" s="8">
        <v>-0.61</v>
      </c>
      <c r="W9" s="8">
        <v>-2.57</v>
      </c>
      <c r="X9" s="5">
        <f t="shared" si="6"/>
        <v>1.96</v>
      </c>
      <c r="Y9" s="23">
        <f t="shared" si="7"/>
        <v>0.30383265306122453</v>
      </c>
      <c r="Z9" s="23">
        <f t="shared" si="8"/>
        <v>8446.5477551020413</v>
      </c>
      <c r="AA9" s="11">
        <f t="shared" si="9"/>
        <v>4.6847986366947092</v>
      </c>
      <c r="AB9" s="11">
        <f t="shared" si="10"/>
        <v>130237.4021001129</v>
      </c>
    </row>
    <row r="10" spans="1:28" ht="17.25" customHeight="1" x14ac:dyDescent="0.2">
      <c r="A10" t="s">
        <v>7</v>
      </c>
      <c r="B10" s="20">
        <v>72</v>
      </c>
      <c r="C10" s="20">
        <v>152</v>
      </c>
      <c r="D10" s="20">
        <v>50</v>
      </c>
      <c r="E10" t="s">
        <v>75</v>
      </c>
      <c r="F10" s="26">
        <v>45128</v>
      </c>
      <c r="G10" t="s">
        <v>76</v>
      </c>
      <c r="H10" s="5">
        <v>33.39</v>
      </c>
      <c r="I10" s="5">
        <v>36.270000000000003</v>
      </c>
      <c r="J10" s="5">
        <v>31.57</v>
      </c>
      <c r="K10" s="5">
        <v>2.63</v>
      </c>
      <c r="L10" s="5">
        <v>0.41</v>
      </c>
      <c r="M10" s="3">
        <f t="shared" si="0"/>
        <v>410</v>
      </c>
      <c r="N10" s="5">
        <v>10.16</v>
      </c>
      <c r="O10" s="23">
        <f t="shared" si="1"/>
        <v>1.0160000000000001E-2</v>
      </c>
      <c r="P10" s="23">
        <f t="shared" si="2"/>
        <v>0.18288000000000001</v>
      </c>
      <c r="Q10" s="7">
        <f t="shared" si="3"/>
        <v>1.8288000000000001E-4</v>
      </c>
      <c r="R10" s="23">
        <f t="shared" si="4"/>
        <v>0.65836800000000006</v>
      </c>
      <c r="S10" s="5">
        <v>29.47</v>
      </c>
      <c r="T10" s="5">
        <v>3.96</v>
      </c>
      <c r="U10" s="3">
        <f t="shared" si="5"/>
        <v>39600</v>
      </c>
      <c r="V10" s="8">
        <v>-0.92</v>
      </c>
      <c r="W10" s="8">
        <v>-2.25</v>
      </c>
      <c r="X10" s="5">
        <f t="shared" si="6"/>
        <v>1.33</v>
      </c>
      <c r="Y10" s="23">
        <f t="shared" si="7"/>
        <v>0.49501353383458646</v>
      </c>
      <c r="Z10" s="23">
        <f t="shared" si="8"/>
        <v>19602.535939849622</v>
      </c>
      <c r="AA10" s="11">
        <f t="shared" si="9"/>
        <v>7.6326184993236987</v>
      </c>
      <c r="AB10" s="11">
        <f t="shared" si="10"/>
        <v>302251.69257321849</v>
      </c>
    </row>
    <row r="11" spans="1:28" ht="17.25" customHeight="1" x14ac:dyDescent="0.2">
      <c r="A11" t="s">
        <v>7</v>
      </c>
      <c r="B11" s="20">
        <v>72</v>
      </c>
      <c r="C11" s="20">
        <v>152</v>
      </c>
      <c r="D11" s="20">
        <v>51</v>
      </c>
      <c r="E11" t="s">
        <v>75</v>
      </c>
      <c r="F11" s="26">
        <v>45128</v>
      </c>
      <c r="G11" t="s">
        <v>76</v>
      </c>
      <c r="H11" s="5">
        <v>32.14</v>
      </c>
      <c r="I11" s="5">
        <v>36.799999999999997</v>
      </c>
      <c r="J11" s="5">
        <v>32.39</v>
      </c>
      <c r="K11" s="5">
        <v>2.87</v>
      </c>
      <c r="L11" s="5">
        <v>0.39</v>
      </c>
      <c r="M11" s="3">
        <f t="shared" si="0"/>
        <v>390</v>
      </c>
      <c r="N11" s="5">
        <v>10.54</v>
      </c>
      <c r="O11" s="23">
        <f t="shared" si="1"/>
        <v>1.0539999999999999E-2</v>
      </c>
      <c r="P11" s="23">
        <f t="shared" si="2"/>
        <v>0.18971999999999997</v>
      </c>
      <c r="Q11" s="7">
        <f t="shared" si="3"/>
        <v>1.8971999999999997E-4</v>
      </c>
      <c r="R11" s="23">
        <f t="shared" si="4"/>
        <v>0.68299199999999982</v>
      </c>
      <c r="S11" s="5">
        <v>11.56</v>
      </c>
      <c r="T11" s="5">
        <v>1.91</v>
      </c>
      <c r="U11" s="3">
        <f t="shared" si="5"/>
        <v>19100</v>
      </c>
      <c r="V11" s="8">
        <v>-0.85</v>
      </c>
      <c r="W11" s="8">
        <v>-2.76</v>
      </c>
      <c r="X11" s="5">
        <f t="shared" si="6"/>
        <v>1.9099999999999997</v>
      </c>
      <c r="Y11" s="23">
        <f t="shared" si="7"/>
        <v>0.35758743455497377</v>
      </c>
      <c r="Z11" s="23">
        <f t="shared" si="8"/>
        <v>6829.9199999999992</v>
      </c>
      <c r="AA11" s="11">
        <f t="shared" si="9"/>
        <v>5.5136441360854311</v>
      </c>
      <c r="AB11" s="11">
        <f t="shared" si="10"/>
        <v>105310.60299923173</v>
      </c>
    </row>
    <row r="12" spans="1:28" ht="17.25" customHeight="1" x14ac:dyDescent="0.2">
      <c r="A12" t="s">
        <v>7</v>
      </c>
      <c r="B12" s="20">
        <v>72</v>
      </c>
      <c r="C12" s="20">
        <v>155</v>
      </c>
      <c r="D12" s="20">
        <v>58</v>
      </c>
      <c r="E12" t="s">
        <v>75</v>
      </c>
      <c r="F12" s="26">
        <v>45128</v>
      </c>
      <c r="G12" t="s">
        <v>76</v>
      </c>
      <c r="H12" s="5">
        <v>35.9</v>
      </c>
      <c r="I12" s="5">
        <v>34.130000000000003</v>
      </c>
      <c r="J12" s="5">
        <v>31.69</v>
      </c>
      <c r="K12" s="5">
        <v>2.75</v>
      </c>
      <c r="L12" s="5">
        <v>0.24</v>
      </c>
      <c r="M12" s="3">
        <f t="shared" si="0"/>
        <v>240</v>
      </c>
      <c r="N12" s="5">
        <v>6.17</v>
      </c>
      <c r="O12" s="23">
        <f t="shared" si="1"/>
        <v>6.1700000000000001E-3</v>
      </c>
      <c r="P12" s="23">
        <f t="shared" si="2"/>
        <v>0.11106000000000001</v>
      </c>
      <c r="Q12" s="7">
        <f t="shared" si="3"/>
        <v>1.1106000000000001E-4</v>
      </c>
      <c r="R12" s="23">
        <f t="shared" si="4"/>
        <v>0.39981600000000006</v>
      </c>
      <c r="S12" s="5">
        <v>25.14</v>
      </c>
      <c r="T12" s="5">
        <v>4.53</v>
      </c>
      <c r="U12" s="3">
        <f t="shared" si="5"/>
        <v>45300</v>
      </c>
      <c r="V12" s="8">
        <v>-0.83</v>
      </c>
      <c r="W12" s="8">
        <v>-2.87</v>
      </c>
      <c r="X12" s="5">
        <f t="shared" si="6"/>
        <v>2.04</v>
      </c>
      <c r="Y12" s="23">
        <f t="shared" si="7"/>
        <v>0.19598823529411769</v>
      </c>
      <c r="Z12" s="23">
        <f t="shared" si="8"/>
        <v>8878.2670588235305</v>
      </c>
      <c r="AA12" s="11">
        <f t="shared" si="9"/>
        <v>3.0219445088052055</v>
      </c>
      <c r="AB12" s="11">
        <f t="shared" si="10"/>
        <v>136894.0862488758</v>
      </c>
    </row>
    <row r="13" spans="1:28" ht="17.25" customHeight="1" x14ac:dyDescent="0.2">
      <c r="A13" t="s">
        <v>7</v>
      </c>
      <c r="B13" s="20">
        <v>72</v>
      </c>
      <c r="C13" s="20">
        <v>155</v>
      </c>
      <c r="D13" s="20">
        <v>59</v>
      </c>
      <c r="E13" t="s">
        <v>75</v>
      </c>
      <c r="F13" s="26">
        <v>45127</v>
      </c>
      <c r="G13" t="s">
        <v>76</v>
      </c>
      <c r="H13" s="5">
        <v>27.18</v>
      </c>
      <c r="I13" s="5">
        <v>35.53</v>
      </c>
      <c r="J13" s="5">
        <v>32.08</v>
      </c>
      <c r="K13" s="5">
        <v>3.2</v>
      </c>
      <c r="L13" s="5">
        <v>0.25</v>
      </c>
      <c r="M13" s="3">
        <f t="shared" si="0"/>
        <v>250</v>
      </c>
      <c r="N13" s="5">
        <v>7.52</v>
      </c>
      <c r="O13" s="23">
        <f t="shared" si="1"/>
        <v>7.5199999999999998E-3</v>
      </c>
      <c r="P13" s="23">
        <f t="shared" si="2"/>
        <v>0.13536000000000001</v>
      </c>
      <c r="Q13" s="7">
        <f t="shared" si="3"/>
        <v>1.3536000000000001E-4</v>
      </c>
      <c r="R13" s="23">
        <f t="shared" si="4"/>
        <v>0.48729600000000001</v>
      </c>
      <c r="S13" s="5">
        <v>16.940000000000001</v>
      </c>
      <c r="T13" s="5">
        <v>3.17</v>
      </c>
      <c r="U13" s="3">
        <f t="shared" si="5"/>
        <v>31700</v>
      </c>
      <c r="V13" s="8">
        <v>-0.42</v>
      </c>
      <c r="W13" s="8">
        <v>-2.19</v>
      </c>
      <c r="X13" s="5">
        <f t="shared" si="6"/>
        <v>1.77</v>
      </c>
      <c r="Y13" s="23">
        <f t="shared" si="7"/>
        <v>0.27530847457627117</v>
      </c>
      <c r="Z13" s="23">
        <f t="shared" si="8"/>
        <v>8727.2786440677955</v>
      </c>
      <c r="AA13" s="11">
        <f t="shared" si="9"/>
        <v>4.2449840508272114</v>
      </c>
      <c r="AB13" s="11">
        <f t="shared" si="10"/>
        <v>134565.99441122261</v>
      </c>
    </row>
    <row r="14" spans="1:28" ht="17.25" customHeight="1" x14ac:dyDescent="0.2">
      <c r="A14" t="s">
        <v>7</v>
      </c>
      <c r="B14" s="20">
        <v>72</v>
      </c>
      <c r="C14" s="20">
        <v>155</v>
      </c>
      <c r="D14" s="20">
        <v>60</v>
      </c>
      <c r="E14" t="s">
        <v>75</v>
      </c>
      <c r="F14" s="26">
        <v>45128</v>
      </c>
      <c r="G14" t="s">
        <v>76</v>
      </c>
      <c r="H14" s="5">
        <v>34.94</v>
      </c>
      <c r="I14" s="5">
        <v>35.159999999999997</v>
      </c>
      <c r="J14" s="5">
        <v>32.159999999999997</v>
      </c>
      <c r="K14" s="5">
        <v>2.82</v>
      </c>
      <c r="L14" s="5">
        <v>0.2</v>
      </c>
      <c r="M14" s="3">
        <f t="shared" si="0"/>
        <v>200</v>
      </c>
      <c r="N14" s="5">
        <v>5.24</v>
      </c>
      <c r="O14" s="23">
        <f t="shared" si="1"/>
        <v>5.2399999999999999E-3</v>
      </c>
      <c r="P14" s="23">
        <f t="shared" si="2"/>
        <v>9.4320000000000001E-2</v>
      </c>
      <c r="Q14" s="7">
        <f t="shared" si="3"/>
        <v>9.4320000000000005E-5</v>
      </c>
      <c r="R14" s="23">
        <f t="shared" si="4"/>
        <v>0.33955200000000002</v>
      </c>
      <c r="S14" s="5">
        <v>22.24</v>
      </c>
      <c r="T14" s="5">
        <v>4.22</v>
      </c>
      <c r="U14" s="3">
        <f t="shared" si="5"/>
        <v>42200</v>
      </c>
      <c r="V14" s="8">
        <v>-0.47</v>
      </c>
      <c r="W14" s="8">
        <v>-2.4900000000000002</v>
      </c>
      <c r="X14" s="5">
        <f t="shared" si="6"/>
        <v>2.0200000000000005</v>
      </c>
      <c r="Y14" s="23">
        <f t="shared" si="7"/>
        <v>0.16809504950495047</v>
      </c>
      <c r="Z14" s="23">
        <f t="shared" si="8"/>
        <v>7093.6110891089093</v>
      </c>
      <c r="AA14" s="11">
        <f t="shared" si="9"/>
        <v>2.5918592054595142</v>
      </c>
      <c r="AB14" s="11">
        <f t="shared" si="10"/>
        <v>109376.4584703915</v>
      </c>
    </row>
    <row r="15" spans="1:28" ht="17.25" customHeight="1" x14ac:dyDescent="0.2">
      <c r="A15" t="s">
        <v>7</v>
      </c>
      <c r="B15" s="20">
        <v>72</v>
      </c>
      <c r="C15" s="20">
        <v>5</v>
      </c>
      <c r="D15" s="20">
        <v>61</v>
      </c>
      <c r="E15" t="s">
        <v>75</v>
      </c>
      <c r="F15" s="26">
        <v>45128</v>
      </c>
      <c r="G15" t="s">
        <v>76</v>
      </c>
      <c r="H15" s="5">
        <v>33.450000000000003</v>
      </c>
      <c r="I15" s="5">
        <v>36.56</v>
      </c>
      <c r="J15" s="5">
        <v>34.15</v>
      </c>
      <c r="K15" s="5">
        <v>3.32</v>
      </c>
      <c r="L15" s="5">
        <v>0.2</v>
      </c>
      <c r="M15" s="3">
        <f t="shared" si="0"/>
        <v>200</v>
      </c>
      <c r="N15" s="5">
        <v>6.31</v>
      </c>
      <c r="O15" s="23">
        <f t="shared" si="1"/>
        <v>6.3099999999999996E-3</v>
      </c>
      <c r="P15" s="23">
        <f t="shared" si="2"/>
        <v>0.11357999999999999</v>
      </c>
      <c r="Q15" s="7">
        <f t="shared" si="3"/>
        <v>1.1357999999999998E-4</v>
      </c>
      <c r="R15" s="23">
        <f t="shared" si="4"/>
        <v>0.40888799999999992</v>
      </c>
      <c r="S15" s="5">
        <v>5.59</v>
      </c>
      <c r="T15" s="5">
        <v>1.83</v>
      </c>
      <c r="U15" s="3">
        <f t="shared" si="5"/>
        <v>18300</v>
      </c>
      <c r="V15" s="8">
        <v>-0.88</v>
      </c>
      <c r="W15" s="8">
        <v>-2.19</v>
      </c>
      <c r="X15" s="5">
        <f t="shared" si="6"/>
        <v>1.31</v>
      </c>
      <c r="Y15" s="23">
        <f t="shared" si="7"/>
        <v>0.31212824427480906</v>
      </c>
      <c r="Z15" s="23">
        <f t="shared" si="8"/>
        <v>5711.946870229006</v>
      </c>
      <c r="AA15" s="11">
        <f t="shared" si="9"/>
        <v>4.8127084384109393</v>
      </c>
      <c r="AB15" s="11">
        <f t="shared" si="10"/>
        <v>88072.564422920186</v>
      </c>
    </row>
    <row r="16" spans="1:28" ht="17.25" customHeight="1" x14ac:dyDescent="0.2">
      <c r="A16" t="s">
        <v>7</v>
      </c>
      <c r="B16" s="20">
        <v>72</v>
      </c>
      <c r="C16" s="20">
        <v>5</v>
      </c>
      <c r="D16" s="20">
        <v>63</v>
      </c>
      <c r="E16" t="s">
        <v>75</v>
      </c>
      <c r="F16" s="26">
        <v>45127</v>
      </c>
      <c r="G16" t="s">
        <v>76</v>
      </c>
      <c r="H16" s="5">
        <v>29.16</v>
      </c>
      <c r="I16" s="5">
        <v>33.659999999999997</v>
      </c>
      <c r="J16" s="5">
        <v>31.02</v>
      </c>
      <c r="K16" s="5">
        <v>2.98</v>
      </c>
      <c r="L16" s="5">
        <v>0.22</v>
      </c>
      <c r="M16" s="3">
        <f t="shared" si="0"/>
        <v>220</v>
      </c>
      <c r="N16" s="5">
        <v>6.17</v>
      </c>
      <c r="O16" s="23">
        <f t="shared" si="1"/>
        <v>6.1700000000000001E-3</v>
      </c>
      <c r="P16" s="23">
        <f t="shared" si="2"/>
        <v>0.11106000000000001</v>
      </c>
      <c r="Q16" s="7">
        <f t="shared" si="3"/>
        <v>1.1106000000000001E-4</v>
      </c>
      <c r="R16" s="23">
        <f t="shared" si="4"/>
        <v>0.39981600000000006</v>
      </c>
      <c r="S16" s="5">
        <v>13.53</v>
      </c>
      <c r="T16" s="5">
        <v>2.78</v>
      </c>
      <c r="U16" s="5">
        <f t="shared" si="5"/>
        <v>27799.999999999996</v>
      </c>
      <c r="V16" s="8">
        <v>-0.75</v>
      </c>
      <c r="W16" s="8">
        <v>-2.35</v>
      </c>
      <c r="X16" s="5">
        <f t="shared" si="6"/>
        <v>1.6</v>
      </c>
      <c r="Y16" s="23">
        <f t="shared" si="7"/>
        <v>0.24988500000000002</v>
      </c>
      <c r="Z16" s="23">
        <f t="shared" si="8"/>
        <v>6946.8029999999999</v>
      </c>
      <c r="AA16" s="11">
        <f t="shared" si="9"/>
        <v>3.8529792487266366</v>
      </c>
      <c r="AB16" s="11">
        <f t="shared" si="10"/>
        <v>107112.82311460048</v>
      </c>
    </row>
    <row r="17" spans="1:28" ht="17.25" customHeight="1" x14ac:dyDescent="0.2">
      <c r="A17" t="s">
        <v>7</v>
      </c>
      <c r="B17" s="20">
        <v>72</v>
      </c>
      <c r="C17" s="20">
        <v>5</v>
      </c>
      <c r="D17" s="20">
        <v>85</v>
      </c>
      <c r="E17" t="s">
        <v>75</v>
      </c>
      <c r="F17" s="26">
        <v>45128</v>
      </c>
      <c r="G17" t="s">
        <v>76</v>
      </c>
      <c r="H17" s="5">
        <v>35.04</v>
      </c>
      <c r="I17" s="5">
        <v>35.340000000000003</v>
      </c>
      <c r="J17" s="5">
        <v>32.450000000000003</v>
      </c>
      <c r="K17" s="5">
        <v>2.87</v>
      </c>
      <c r="L17" s="5">
        <v>0.18</v>
      </c>
      <c r="M17" s="3">
        <f t="shared" si="0"/>
        <v>180</v>
      </c>
      <c r="N17" s="5">
        <v>5.01</v>
      </c>
      <c r="O17" s="23">
        <f t="shared" si="1"/>
        <v>5.0099999999999997E-3</v>
      </c>
      <c r="P17" s="23">
        <f t="shared" si="2"/>
        <v>9.0179999999999996E-2</v>
      </c>
      <c r="Q17" s="7">
        <f t="shared" si="3"/>
        <v>9.0179999999999994E-5</v>
      </c>
      <c r="R17" s="23">
        <f t="shared" si="4"/>
        <v>0.32464799999999999</v>
      </c>
      <c r="S17" s="5">
        <v>8.26</v>
      </c>
      <c r="T17" s="5">
        <v>2.33</v>
      </c>
      <c r="U17" s="3">
        <f t="shared" si="5"/>
        <v>23300</v>
      </c>
      <c r="V17" s="8">
        <v>-0.68</v>
      </c>
      <c r="W17" s="8">
        <v>-2.16</v>
      </c>
      <c r="X17" s="5">
        <f t="shared" si="6"/>
        <v>1.48</v>
      </c>
      <c r="Y17" s="23">
        <f t="shared" si="7"/>
        <v>0.21935675675675675</v>
      </c>
      <c r="Z17" s="23">
        <f t="shared" si="8"/>
        <v>5111.0124324324324</v>
      </c>
      <c r="AA17" s="11">
        <f t="shared" si="9"/>
        <v>3.3822639688327039</v>
      </c>
      <c r="AB17" s="11">
        <f t="shared" si="10"/>
        <v>78806.750473802007</v>
      </c>
    </row>
    <row r="18" spans="1:28" ht="17.25" customHeight="1" x14ac:dyDescent="0.2">
      <c r="A18" t="s">
        <v>8</v>
      </c>
      <c r="B18" s="20">
        <v>1521</v>
      </c>
      <c r="C18" s="20">
        <v>153</v>
      </c>
      <c r="D18" s="20">
        <v>69</v>
      </c>
      <c r="E18" t="s">
        <v>75</v>
      </c>
      <c r="F18" s="26">
        <v>45128</v>
      </c>
      <c r="G18" t="s">
        <v>76</v>
      </c>
      <c r="H18" s="5">
        <v>32.979999999999997</v>
      </c>
      <c r="I18" s="5">
        <v>36.39</v>
      </c>
      <c r="J18" s="5">
        <v>32.19</v>
      </c>
      <c r="K18" s="5">
        <v>2.8</v>
      </c>
      <c r="L18" s="5">
        <v>0.27</v>
      </c>
      <c r="M18" s="3">
        <f t="shared" si="0"/>
        <v>270</v>
      </c>
      <c r="N18" s="5">
        <v>7.24</v>
      </c>
      <c r="O18" s="23">
        <f t="shared" si="1"/>
        <v>7.2399999999999999E-3</v>
      </c>
      <c r="P18" s="23">
        <f t="shared" si="2"/>
        <v>0.13031999999999999</v>
      </c>
      <c r="Q18" s="7">
        <f t="shared" si="3"/>
        <v>1.3031999999999999E-4</v>
      </c>
      <c r="R18" s="23">
        <f t="shared" si="4"/>
        <v>0.46915199999999996</v>
      </c>
      <c r="S18" s="5">
        <v>1.89</v>
      </c>
      <c r="T18" s="5">
        <v>0.42</v>
      </c>
      <c r="U18" s="3">
        <f t="shared" si="5"/>
        <v>4200</v>
      </c>
      <c r="V18" s="8">
        <v>-0.12</v>
      </c>
      <c r="W18" s="8">
        <v>-2.02</v>
      </c>
      <c r="X18" s="5">
        <f t="shared" si="6"/>
        <v>1.9</v>
      </c>
      <c r="Y18" s="23">
        <f t="shared" si="7"/>
        <v>0.24692210526315789</v>
      </c>
      <c r="Z18" s="23">
        <f t="shared" si="8"/>
        <v>1037.0728421052631</v>
      </c>
      <c r="AA18" s="11">
        <f t="shared" si="9"/>
        <v>3.8072943459224899</v>
      </c>
      <c r="AB18" s="11">
        <f t="shared" si="10"/>
        <v>15990.636252874458</v>
      </c>
    </row>
    <row r="19" spans="1:28" ht="17.25" customHeight="1" x14ac:dyDescent="0.2">
      <c r="A19" t="s">
        <v>8</v>
      </c>
      <c r="B19" s="20">
        <v>1521</v>
      </c>
      <c r="C19" s="20">
        <v>153</v>
      </c>
      <c r="D19" s="20">
        <v>76</v>
      </c>
      <c r="E19" t="s">
        <v>75</v>
      </c>
      <c r="F19" s="26">
        <v>45128</v>
      </c>
      <c r="G19" t="s">
        <v>76</v>
      </c>
      <c r="H19" s="5">
        <v>32.74</v>
      </c>
      <c r="I19" s="5">
        <v>36.36</v>
      </c>
      <c r="J19" s="5">
        <v>33.590000000000003</v>
      </c>
      <c r="K19" s="5">
        <v>3.22</v>
      </c>
      <c r="L19" s="5">
        <v>0.15</v>
      </c>
      <c r="M19" s="3">
        <f t="shared" si="0"/>
        <v>150</v>
      </c>
      <c r="N19" s="5">
        <v>4.46</v>
      </c>
      <c r="O19" s="23">
        <f t="shared" si="1"/>
        <v>4.4599999999999996E-3</v>
      </c>
      <c r="P19" s="23">
        <f t="shared" si="2"/>
        <v>8.027999999999999E-2</v>
      </c>
      <c r="Q19" s="7">
        <f t="shared" si="3"/>
        <v>8.0279999999999984E-5</v>
      </c>
      <c r="R19" s="23">
        <f t="shared" si="4"/>
        <v>0.28900799999999993</v>
      </c>
      <c r="S19" s="5">
        <v>1.63</v>
      </c>
      <c r="T19" s="5">
        <v>0.4</v>
      </c>
      <c r="U19" s="3">
        <f t="shared" si="5"/>
        <v>4000</v>
      </c>
      <c r="V19" s="8">
        <v>-0.78</v>
      </c>
      <c r="W19" s="8">
        <v>-2.2000000000000002</v>
      </c>
      <c r="X19" s="5">
        <f t="shared" si="6"/>
        <v>1.4200000000000002</v>
      </c>
      <c r="Y19" s="23">
        <f t="shared" si="7"/>
        <v>0.2035267605633802</v>
      </c>
      <c r="Z19" s="23">
        <f t="shared" si="8"/>
        <v>814.10704225352083</v>
      </c>
      <c r="AA19" s="11">
        <f t="shared" si="9"/>
        <v>3.1381811033525771</v>
      </c>
      <c r="AB19" s="11">
        <f t="shared" si="10"/>
        <v>12552.724413410308</v>
      </c>
    </row>
    <row r="20" spans="1:28" ht="17.25" customHeight="1" x14ac:dyDescent="0.2">
      <c r="A20" t="s">
        <v>8</v>
      </c>
      <c r="B20" s="20">
        <v>1521</v>
      </c>
      <c r="C20" s="20">
        <v>153</v>
      </c>
      <c r="D20" s="20">
        <v>90</v>
      </c>
      <c r="E20" t="s">
        <v>75</v>
      </c>
      <c r="F20" s="26">
        <v>45127</v>
      </c>
      <c r="G20" t="s">
        <v>76</v>
      </c>
      <c r="H20" s="5">
        <v>21.7</v>
      </c>
      <c r="I20" s="5">
        <v>39.200000000000003</v>
      </c>
      <c r="J20" s="5">
        <v>35.47</v>
      </c>
      <c r="K20" s="5">
        <v>4.25</v>
      </c>
      <c r="L20" s="5">
        <v>0.16</v>
      </c>
      <c r="M20" s="3">
        <f t="shared" si="0"/>
        <v>160</v>
      </c>
      <c r="N20" s="5">
        <v>6.4</v>
      </c>
      <c r="O20" s="23">
        <f t="shared" si="1"/>
        <v>6.4000000000000003E-3</v>
      </c>
      <c r="P20" s="23">
        <f t="shared" si="2"/>
        <v>0.11520000000000001</v>
      </c>
      <c r="Q20" s="7">
        <f t="shared" si="3"/>
        <v>1.1520000000000001E-4</v>
      </c>
      <c r="R20" s="23">
        <f t="shared" si="4"/>
        <v>0.41472000000000003</v>
      </c>
      <c r="S20" s="5">
        <v>3.81</v>
      </c>
      <c r="T20" s="5">
        <v>0.53</v>
      </c>
      <c r="U20" s="3">
        <f t="shared" si="5"/>
        <v>5300</v>
      </c>
      <c r="V20" s="8">
        <v>-0.39</v>
      </c>
      <c r="W20" s="8">
        <v>-2.1800000000000002</v>
      </c>
      <c r="X20" s="5">
        <f t="shared" si="6"/>
        <v>1.79</v>
      </c>
      <c r="Y20" s="23">
        <f t="shared" si="7"/>
        <v>0.23168715083798885</v>
      </c>
      <c r="Z20" s="23">
        <f t="shared" si="8"/>
        <v>1227.9418994413409</v>
      </c>
      <c r="AA20" s="11">
        <f t="shared" si="9"/>
        <v>3.5723864352616972</v>
      </c>
      <c r="AB20" s="11">
        <f t="shared" si="10"/>
        <v>18933.648106886994</v>
      </c>
    </row>
    <row r="21" spans="1:28" ht="17.25" customHeight="1" x14ac:dyDescent="0.2">
      <c r="A21" t="s">
        <v>8</v>
      </c>
      <c r="B21" s="20">
        <v>1521</v>
      </c>
      <c r="C21" s="20">
        <v>155</v>
      </c>
      <c r="D21" s="20">
        <v>62</v>
      </c>
      <c r="E21" t="s">
        <v>75</v>
      </c>
      <c r="F21" s="26">
        <v>45127</v>
      </c>
      <c r="G21" t="s">
        <v>76</v>
      </c>
      <c r="H21" s="5">
        <v>23.81</v>
      </c>
      <c r="I21" s="5">
        <v>37.729999999999997</v>
      </c>
      <c r="J21" s="5">
        <v>33.630000000000003</v>
      </c>
      <c r="K21" s="5">
        <v>3.67</v>
      </c>
      <c r="L21" s="5">
        <v>0.2</v>
      </c>
      <c r="M21" s="3">
        <f t="shared" si="0"/>
        <v>200</v>
      </c>
      <c r="N21" s="5">
        <v>6.98</v>
      </c>
      <c r="O21" s="23">
        <f t="shared" si="1"/>
        <v>6.9800000000000001E-3</v>
      </c>
      <c r="P21" s="23">
        <f t="shared" si="2"/>
        <v>0.12564</v>
      </c>
      <c r="Q21" s="7">
        <f t="shared" si="3"/>
        <v>1.2564E-4</v>
      </c>
      <c r="R21" s="23">
        <f t="shared" si="4"/>
        <v>0.45230399999999998</v>
      </c>
      <c r="S21" s="5">
        <v>1.17</v>
      </c>
      <c r="T21" s="5">
        <v>0.44</v>
      </c>
      <c r="U21" s="3">
        <f t="shared" si="5"/>
        <v>4400</v>
      </c>
      <c r="V21" s="8">
        <v>-0.44</v>
      </c>
      <c r="W21" s="8">
        <v>-1.86</v>
      </c>
      <c r="X21" s="5">
        <f t="shared" si="6"/>
        <v>1.4200000000000002</v>
      </c>
      <c r="Y21" s="23">
        <f t="shared" si="7"/>
        <v>0.31852394366197179</v>
      </c>
      <c r="Z21" s="23">
        <f t="shared" si="8"/>
        <v>1401.5053521126758</v>
      </c>
      <c r="AA21" s="11">
        <f t="shared" si="9"/>
        <v>4.9113237895517914</v>
      </c>
      <c r="AB21" s="11">
        <f t="shared" si="10"/>
        <v>21609.824674027881</v>
      </c>
    </row>
    <row r="22" spans="1:28" ht="17.25" customHeight="1" x14ac:dyDescent="0.2">
      <c r="A22" t="s">
        <v>8</v>
      </c>
      <c r="B22" s="20">
        <v>1521</v>
      </c>
      <c r="C22" s="20">
        <v>155</v>
      </c>
      <c r="D22" s="20">
        <v>64</v>
      </c>
      <c r="E22" t="s">
        <v>75</v>
      </c>
      <c r="F22" s="26">
        <v>45127</v>
      </c>
      <c r="G22" t="s">
        <v>76</v>
      </c>
      <c r="H22" s="5">
        <v>31.95</v>
      </c>
      <c r="I22" s="5">
        <v>32.18</v>
      </c>
      <c r="J22" s="5">
        <v>30.61</v>
      </c>
      <c r="K22" s="5">
        <v>2.86</v>
      </c>
      <c r="L22" s="5">
        <v>0.15</v>
      </c>
      <c r="M22" s="3">
        <f t="shared" si="0"/>
        <v>150</v>
      </c>
      <c r="N22" s="5">
        <v>3.91</v>
      </c>
      <c r="O22" s="23">
        <f t="shared" si="1"/>
        <v>3.9100000000000003E-3</v>
      </c>
      <c r="P22" s="23">
        <f t="shared" si="2"/>
        <v>7.0379999999999998E-2</v>
      </c>
      <c r="Q22" s="7">
        <f t="shared" si="3"/>
        <v>7.038E-5</v>
      </c>
      <c r="R22" s="23">
        <f t="shared" si="4"/>
        <v>0.25336799999999998</v>
      </c>
      <c r="S22" s="5">
        <v>1.37</v>
      </c>
      <c r="T22" s="5">
        <v>0.45</v>
      </c>
      <c r="U22" s="3">
        <f t="shared" si="5"/>
        <v>4500</v>
      </c>
      <c r="V22" s="8">
        <v>-0.28999999999999998</v>
      </c>
      <c r="W22" s="8">
        <v>-2.15</v>
      </c>
      <c r="X22" s="5">
        <f t="shared" si="6"/>
        <v>1.8599999999999999</v>
      </c>
      <c r="Y22" s="23">
        <f t="shared" si="7"/>
        <v>0.13621935483870967</v>
      </c>
      <c r="Z22" s="23">
        <f t="shared" si="8"/>
        <v>612.98709677419356</v>
      </c>
      <c r="AA22" s="11">
        <f t="shared" si="9"/>
        <v>2.100367558951032</v>
      </c>
      <c r="AB22" s="11">
        <f t="shared" si="10"/>
        <v>9451.6540152796442</v>
      </c>
    </row>
    <row r="23" spans="1:28" ht="17.25" customHeight="1" x14ac:dyDescent="0.2">
      <c r="A23" t="s">
        <v>8</v>
      </c>
      <c r="B23" s="20">
        <v>1521</v>
      </c>
      <c r="C23" s="20">
        <v>155</v>
      </c>
      <c r="D23" s="20">
        <v>66</v>
      </c>
      <c r="E23" t="s">
        <v>75</v>
      </c>
      <c r="F23" s="26">
        <v>45128</v>
      </c>
      <c r="G23" t="s">
        <v>76</v>
      </c>
      <c r="H23" s="5">
        <v>31.99</v>
      </c>
      <c r="I23" s="5">
        <v>36.69</v>
      </c>
      <c r="J23" s="5">
        <v>34.229999999999997</v>
      </c>
      <c r="K23" s="5">
        <v>3.43</v>
      </c>
      <c r="L23" s="5">
        <v>0.13</v>
      </c>
      <c r="M23" s="3">
        <f t="shared" si="0"/>
        <v>130</v>
      </c>
      <c r="N23" s="5">
        <v>3.95</v>
      </c>
      <c r="O23" s="23">
        <f t="shared" si="1"/>
        <v>3.9500000000000004E-3</v>
      </c>
      <c r="P23" s="23">
        <f t="shared" si="2"/>
        <v>7.110000000000001E-2</v>
      </c>
      <c r="Q23" s="7">
        <f t="shared" si="3"/>
        <v>7.1100000000000007E-5</v>
      </c>
      <c r="R23" s="23">
        <f t="shared" si="4"/>
        <v>0.25596000000000002</v>
      </c>
      <c r="S23" s="5">
        <v>3.21</v>
      </c>
      <c r="T23" s="5">
        <v>0.68</v>
      </c>
      <c r="U23" s="5">
        <f t="shared" si="5"/>
        <v>6800.0000000000009</v>
      </c>
      <c r="V23" s="8">
        <v>-0.63</v>
      </c>
      <c r="W23" s="8">
        <v>-2.2200000000000002</v>
      </c>
      <c r="X23" s="5">
        <f t="shared" si="6"/>
        <v>1.5900000000000003</v>
      </c>
      <c r="Y23" s="23">
        <f t="shared" si="7"/>
        <v>0.16098113207547168</v>
      </c>
      <c r="Z23" s="23">
        <f t="shared" si="8"/>
        <v>1094.6716981132076</v>
      </c>
      <c r="AA23" s="11">
        <f t="shared" si="9"/>
        <v>2.4821696433291884</v>
      </c>
      <c r="AB23" s="11">
        <f t="shared" si="10"/>
        <v>16878.753574638482</v>
      </c>
    </row>
    <row r="24" spans="1:28" ht="17.25" customHeight="1" x14ac:dyDescent="0.2">
      <c r="A24" t="s">
        <v>8</v>
      </c>
      <c r="B24" s="20">
        <v>1521</v>
      </c>
      <c r="C24" s="20">
        <v>156</v>
      </c>
      <c r="D24" s="20">
        <v>71</v>
      </c>
      <c r="E24" t="s">
        <v>75</v>
      </c>
      <c r="F24" s="26">
        <v>45127</v>
      </c>
      <c r="G24" t="s">
        <v>76</v>
      </c>
      <c r="H24" s="5">
        <v>24.06</v>
      </c>
      <c r="I24" s="5">
        <v>37.83</v>
      </c>
      <c r="J24" s="5">
        <v>33.61</v>
      </c>
      <c r="K24" s="5">
        <v>3.63</v>
      </c>
      <c r="L24" s="5">
        <v>0.23</v>
      </c>
      <c r="M24" s="3">
        <f t="shared" si="0"/>
        <v>230</v>
      </c>
      <c r="N24" s="5">
        <v>7.92</v>
      </c>
      <c r="O24" s="23">
        <f t="shared" si="1"/>
        <v>7.92E-3</v>
      </c>
      <c r="P24" s="23">
        <f t="shared" si="2"/>
        <v>0.14255999999999999</v>
      </c>
      <c r="Q24" s="7">
        <f t="shared" si="3"/>
        <v>1.4255999999999999E-4</v>
      </c>
      <c r="R24" s="23">
        <f t="shared" si="4"/>
        <v>0.51321600000000001</v>
      </c>
      <c r="S24" s="5">
        <v>3.35</v>
      </c>
      <c r="T24" s="5">
        <v>0.65</v>
      </c>
      <c r="U24" s="3">
        <f t="shared" si="5"/>
        <v>6500</v>
      </c>
      <c r="V24" s="8">
        <v>-0.53</v>
      </c>
      <c r="W24" s="8">
        <v>-1.89</v>
      </c>
      <c r="X24" s="5">
        <f t="shared" si="6"/>
        <v>1.3599999999999999</v>
      </c>
      <c r="Y24" s="23">
        <f t="shared" si="7"/>
        <v>0.37736470588235299</v>
      </c>
      <c r="Z24" s="23">
        <f t="shared" si="8"/>
        <v>2452.8705882352942</v>
      </c>
      <c r="AA24" s="11">
        <f t="shared" si="9"/>
        <v>5.8185900753007846</v>
      </c>
      <c r="AB24" s="11">
        <f t="shared" si="10"/>
        <v>37820.835489455101</v>
      </c>
    </row>
    <row r="25" spans="1:28" ht="17.25" customHeight="1" x14ac:dyDescent="0.2">
      <c r="A25" t="s">
        <v>8</v>
      </c>
      <c r="B25" s="20">
        <v>1521</v>
      </c>
      <c r="C25" s="20">
        <v>156</v>
      </c>
      <c r="D25" s="20">
        <v>74</v>
      </c>
      <c r="E25" t="s">
        <v>75</v>
      </c>
      <c r="F25" s="26">
        <v>45128</v>
      </c>
      <c r="G25" t="s">
        <v>76</v>
      </c>
      <c r="H25" s="5">
        <v>32.68</v>
      </c>
      <c r="I25" s="5">
        <v>36.369999999999997</v>
      </c>
      <c r="J25" s="5">
        <v>35.590000000000003</v>
      </c>
      <c r="K25" s="5">
        <v>3.83</v>
      </c>
      <c r="L25" s="5">
        <v>0.06</v>
      </c>
      <c r="M25" s="3">
        <f t="shared" si="0"/>
        <v>60</v>
      </c>
      <c r="N25" s="5">
        <v>2.1800000000000002</v>
      </c>
      <c r="O25" s="23">
        <f t="shared" si="1"/>
        <v>2.1800000000000001E-3</v>
      </c>
      <c r="P25" s="23">
        <f t="shared" si="2"/>
        <v>3.9240000000000004E-2</v>
      </c>
      <c r="Q25" s="7">
        <f t="shared" si="3"/>
        <v>3.9240000000000004E-5</v>
      </c>
      <c r="R25" s="23">
        <f t="shared" si="4"/>
        <v>0.141264</v>
      </c>
      <c r="S25" s="5">
        <v>2.92</v>
      </c>
      <c r="T25" s="5">
        <v>0.64</v>
      </c>
      <c r="U25" s="3">
        <f t="shared" si="5"/>
        <v>6400</v>
      </c>
      <c r="V25" s="8">
        <v>-0.57999999999999996</v>
      </c>
      <c r="W25" s="8">
        <v>-1.79</v>
      </c>
      <c r="X25" s="5">
        <f t="shared" si="6"/>
        <v>1.21</v>
      </c>
      <c r="Y25" s="23">
        <f t="shared" si="7"/>
        <v>0.11674710743801653</v>
      </c>
      <c r="Z25" s="23">
        <f t="shared" si="8"/>
        <v>747.18148760330575</v>
      </c>
      <c r="AA25" s="11">
        <f t="shared" si="9"/>
        <v>1.800124786631998</v>
      </c>
      <c r="AB25" s="11">
        <f t="shared" si="10"/>
        <v>11520.798634444787</v>
      </c>
    </row>
    <row r="26" spans="1:28" ht="17.25" customHeight="1" x14ac:dyDescent="0.2">
      <c r="A26" t="s">
        <v>8</v>
      </c>
      <c r="B26" s="20">
        <v>1521</v>
      </c>
      <c r="C26" s="20">
        <v>156</v>
      </c>
      <c r="D26" s="20">
        <v>75</v>
      </c>
      <c r="E26" t="s">
        <v>75</v>
      </c>
      <c r="F26" s="26">
        <v>45128</v>
      </c>
      <c r="G26" t="s">
        <v>76</v>
      </c>
      <c r="H26" s="5">
        <v>31.76</v>
      </c>
      <c r="I26" s="5">
        <v>36.72</v>
      </c>
      <c r="J26" s="5">
        <v>32.770000000000003</v>
      </c>
      <c r="K26" s="3">
        <v>3</v>
      </c>
      <c r="L26" s="5">
        <v>0.23</v>
      </c>
      <c r="M26" s="3">
        <f t="shared" si="0"/>
        <v>230</v>
      </c>
      <c r="N26" s="5">
        <v>6.51</v>
      </c>
      <c r="O26" s="23">
        <f t="shared" si="1"/>
        <v>6.5100000000000002E-3</v>
      </c>
      <c r="P26" s="23">
        <f t="shared" si="2"/>
        <v>0.11718000000000001</v>
      </c>
      <c r="Q26" s="7">
        <f t="shared" si="3"/>
        <v>1.1718000000000001E-4</v>
      </c>
      <c r="R26" s="23">
        <f t="shared" si="4"/>
        <v>0.42184800000000006</v>
      </c>
      <c r="S26" s="5">
        <v>2.78</v>
      </c>
      <c r="T26" s="5">
        <v>0.57999999999999996</v>
      </c>
      <c r="U26" s="3">
        <f t="shared" si="5"/>
        <v>5800</v>
      </c>
      <c r="V26" s="8">
        <v>-0.19</v>
      </c>
      <c r="W26" s="8">
        <v>-2.25</v>
      </c>
      <c r="X26" s="5">
        <f t="shared" si="6"/>
        <v>2.06</v>
      </c>
      <c r="Y26" s="23">
        <f t="shared" si="7"/>
        <v>0.20478058252427186</v>
      </c>
      <c r="Z26" s="23">
        <f t="shared" si="8"/>
        <v>1187.7273786407768</v>
      </c>
      <c r="AA26" s="11">
        <f t="shared" si="9"/>
        <v>3.1575137963790221</v>
      </c>
      <c r="AB26" s="11">
        <f t="shared" si="10"/>
        <v>18313.580018998327</v>
      </c>
    </row>
    <row r="27" spans="1:28" ht="17.25" customHeight="1" x14ac:dyDescent="0.2">
      <c r="A27" t="s">
        <v>8</v>
      </c>
      <c r="B27" s="20">
        <v>1521</v>
      </c>
      <c r="C27" s="20">
        <v>157</v>
      </c>
      <c r="D27" s="20">
        <v>67</v>
      </c>
      <c r="E27" t="s">
        <v>75</v>
      </c>
      <c r="F27" s="26">
        <v>45128</v>
      </c>
      <c r="G27" t="s">
        <v>76</v>
      </c>
      <c r="H27" s="5">
        <v>34.520000000000003</v>
      </c>
      <c r="I27" s="5">
        <v>35.51</v>
      </c>
      <c r="J27" s="5">
        <v>32.57</v>
      </c>
      <c r="K27" s="5">
        <v>2.91</v>
      </c>
      <c r="L27" s="5">
        <v>0.2</v>
      </c>
      <c r="M27" s="3">
        <f t="shared" si="0"/>
        <v>200</v>
      </c>
      <c r="N27" s="5">
        <v>5.49</v>
      </c>
      <c r="O27" s="23">
        <f t="shared" si="1"/>
        <v>5.4900000000000001E-3</v>
      </c>
      <c r="P27" s="23">
        <f t="shared" si="2"/>
        <v>9.8820000000000005E-2</v>
      </c>
      <c r="Q27" s="7">
        <f t="shared" si="3"/>
        <v>9.8820000000000006E-5</v>
      </c>
      <c r="R27" s="23">
        <f t="shared" si="4"/>
        <v>0.35575200000000001</v>
      </c>
      <c r="S27" s="5">
        <v>2.46</v>
      </c>
      <c r="T27" s="5">
        <v>0.65</v>
      </c>
      <c r="U27" s="3">
        <f t="shared" si="5"/>
        <v>6500</v>
      </c>
      <c r="V27" s="8">
        <v>-0.62</v>
      </c>
      <c r="W27" s="8">
        <v>-2.06</v>
      </c>
      <c r="X27" s="5">
        <f t="shared" si="6"/>
        <v>1.44</v>
      </c>
      <c r="Y27" s="23">
        <f t="shared" si="7"/>
        <v>0.24705000000000002</v>
      </c>
      <c r="Z27" s="23">
        <f t="shared" si="8"/>
        <v>1605.825</v>
      </c>
      <c r="AA27" s="11">
        <f t="shared" si="9"/>
        <v>3.8092663561154754</v>
      </c>
      <c r="AB27" s="11">
        <f t="shared" si="10"/>
        <v>24760.231314750588</v>
      </c>
    </row>
    <row r="28" spans="1:28" ht="17.25" customHeight="1" x14ac:dyDescent="0.2">
      <c r="A28" t="s">
        <v>8</v>
      </c>
      <c r="B28" s="20">
        <v>1521</v>
      </c>
      <c r="C28" s="20">
        <v>157</v>
      </c>
      <c r="D28" s="20">
        <v>68</v>
      </c>
      <c r="E28" t="s">
        <v>75</v>
      </c>
      <c r="F28" s="26">
        <v>45128</v>
      </c>
      <c r="G28" t="s">
        <v>76</v>
      </c>
      <c r="H28" s="5">
        <v>35.119999999999997</v>
      </c>
      <c r="I28" s="5">
        <v>34.82</v>
      </c>
      <c r="J28" s="5">
        <v>32.39</v>
      </c>
      <c r="K28" s="5">
        <v>2.91</v>
      </c>
      <c r="L28" s="5">
        <v>0.2</v>
      </c>
      <c r="M28" s="3">
        <f t="shared" si="0"/>
        <v>200</v>
      </c>
      <c r="N28" s="5">
        <v>5.47</v>
      </c>
      <c r="O28" s="23">
        <f t="shared" si="1"/>
        <v>5.47E-3</v>
      </c>
      <c r="P28" s="23">
        <f t="shared" si="2"/>
        <v>9.8460000000000006E-2</v>
      </c>
      <c r="Q28" s="7">
        <f t="shared" si="3"/>
        <v>9.8460000000000003E-5</v>
      </c>
      <c r="R28" s="23">
        <f t="shared" si="4"/>
        <v>0.35445599999999999</v>
      </c>
      <c r="S28" s="5">
        <v>2.9</v>
      </c>
      <c r="T28" s="5">
        <v>0.85</v>
      </c>
      <c r="U28" s="3">
        <f t="shared" si="5"/>
        <v>8500</v>
      </c>
      <c r="V28" s="8">
        <v>-0.95</v>
      </c>
      <c r="W28" s="8">
        <v>-2.1</v>
      </c>
      <c r="X28" s="5">
        <f t="shared" si="6"/>
        <v>1.1500000000000001</v>
      </c>
      <c r="Y28" s="23">
        <f t="shared" si="7"/>
        <v>0.30822260869565216</v>
      </c>
      <c r="Z28" s="23">
        <f t="shared" si="8"/>
        <v>2619.8921739130433</v>
      </c>
      <c r="AA28" s="11">
        <f t="shared" si="9"/>
        <v>4.7524874053774244</v>
      </c>
      <c r="AB28" s="11">
        <f t="shared" si="10"/>
        <v>40396.14294570811</v>
      </c>
    </row>
    <row r="29" spans="1:28" ht="17.25" customHeight="1" x14ac:dyDescent="0.2">
      <c r="A29" t="s">
        <v>8</v>
      </c>
      <c r="B29" s="20">
        <v>1521</v>
      </c>
      <c r="C29" s="20">
        <v>157</v>
      </c>
      <c r="D29" s="20">
        <v>72</v>
      </c>
      <c r="E29" t="s">
        <v>75</v>
      </c>
      <c r="F29" s="26">
        <v>45127</v>
      </c>
      <c r="G29" t="s">
        <v>76</v>
      </c>
      <c r="H29" s="5">
        <v>26.54</v>
      </c>
      <c r="I29" s="5">
        <v>35.99</v>
      </c>
      <c r="J29" s="5">
        <v>33.39</v>
      </c>
      <c r="K29" s="5">
        <v>3.57</v>
      </c>
      <c r="L29" s="5">
        <v>0.13</v>
      </c>
      <c r="M29" s="3">
        <f t="shared" si="0"/>
        <v>130</v>
      </c>
      <c r="N29" s="5">
        <v>4.3</v>
      </c>
      <c r="O29" s="23">
        <f t="shared" si="1"/>
        <v>4.3E-3</v>
      </c>
      <c r="P29" s="23">
        <f t="shared" si="2"/>
        <v>7.7399999999999997E-2</v>
      </c>
      <c r="Q29" s="7">
        <f t="shared" si="3"/>
        <v>7.7399999999999998E-5</v>
      </c>
      <c r="R29" s="23">
        <f t="shared" si="4"/>
        <v>0.27864</v>
      </c>
      <c r="S29" s="5">
        <v>1.89</v>
      </c>
      <c r="T29" s="5">
        <v>1.52</v>
      </c>
      <c r="U29" s="3">
        <f t="shared" si="5"/>
        <v>15200</v>
      </c>
      <c r="V29" s="8">
        <v>-0.55000000000000004</v>
      </c>
      <c r="W29" s="8">
        <v>-2.14</v>
      </c>
      <c r="X29" s="5">
        <f t="shared" si="6"/>
        <v>1.59</v>
      </c>
      <c r="Y29" s="23">
        <f t="shared" si="7"/>
        <v>0.17524528301886791</v>
      </c>
      <c r="Z29" s="23">
        <f t="shared" si="8"/>
        <v>2663.728301886792</v>
      </c>
      <c r="AA29" s="11">
        <f t="shared" si="9"/>
        <v>2.7021087256494969</v>
      </c>
      <c r="AB29" s="11">
        <f t="shared" si="10"/>
        <v>41072.052629872356</v>
      </c>
    </row>
    <row r="30" spans="1:28" ht="17.25" customHeight="1" x14ac:dyDescent="0.2">
      <c r="A30" t="s">
        <v>8</v>
      </c>
      <c r="B30" s="20">
        <v>1521</v>
      </c>
      <c r="C30" s="20">
        <v>158</v>
      </c>
      <c r="D30" s="20">
        <v>70</v>
      </c>
      <c r="E30" t="s">
        <v>75</v>
      </c>
      <c r="F30" s="26">
        <v>45128</v>
      </c>
      <c r="G30" t="s">
        <v>76</v>
      </c>
      <c r="H30" s="5">
        <v>31.91</v>
      </c>
      <c r="I30" s="5">
        <v>36.869999999999997</v>
      </c>
      <c r="J30" s="5">
        <v>33.85</v>
      </c>
      <c r="K30" s="5">
        <v>3.29</v>
      </c>
      <c r="L30" s="5">
        <v>0.19</v>
      </c>
      <c r="M30" s="3">
        <f t="shared" si="0"/>
        <v>190</v>
      </c>
      <c r="N30" s="5">
        <v>5.99</v>
      </c>
      <c r="O30" s="23">
        <f t="shared" si="1"/>
        <v>5.9900000000000005E-3</v>
      </c>
      <c r="P30" s="23">
        <f t="shared" si="2"/>
        <v>0.10782000000000001</v>
      </c>
      <c r="Q30" s="7">
        <f t="shared" si="3"/>
        <v>1.0782000000000001E-4</v>
      </c>
      <c r="R30" s="23">
        <f t="shared" si="4"/>
        <v>0.38815200000000005</v>
      </c>
      <c r="S30" s="5">
        <v>1.25</v>
      </c>
      <c r="T30" s="5">
        <v>0.24</v>
      </c>
      <c r="U30" s="3">
        <f t="shared" si="5"/>
        <v>2400</v>
      </c>
      <c r="V30" s="8">
        <v>-0.54</v>
      </c>
      <c r="W30" s="8">
        <v>-1.9</v>
      </c>
      <c r="X30" s="5">
        <f t="shared" si="6"/>
        <v>1.3599999999999999</v>
      </c>
      <c r="Y30" s="23">
        <f t="shared" si="7"/>
        <v>0.28540588235294123</v>
      </c>
      <c r="Z30" s="23">
        <f t="shared" si="8"/>
        <v>684.97411764705896</v>
      </c>
      <c r="AA30" s="11">
        <f t="shared" si="9"/>
        <v>4.4006760796782443</v>
      </c>
      <c r="AB30" s="11">
        <f t="shared" si="10"/>
        <v>10561.622591227786</v>
      </c>
    </row>
    <row r="31" spans="1:28" ht="17.25" customHeight="1" x14ac:dyDescent="0.2">
      <c r="A31" t="s">
        <v>8</v>
      </c>
      <c r="B31" s="20">
        <v>1521</v>
      </c>
      <c r="C31" s="20">
        <v>158</v>
      </c>
      <c r="D31" s="20">
        <v>73</v>
      </c>
      <c r="E31" t="s">
        <v>75</v>
      </c>
      <c r="F31" s="26">
        <v>45128</v>
      </c>
      <c r="G31" t="s">
        <v>76</v>
      </c>
      <c r="H31" s="5">
        <v>32.83</v>
      </c>
      <c r="I31" s="5">
        <v>36.35</v>
      </c>
      <c r="J31" s="5">
        <v>32.92</v>
      </c>
      <c r="K31" s="5">
        <v>3.02</v>
      </c>
      <c r="L31" s="5">
        <v>0.22</v>
      </c>
      <c r="M31" s="3">
        <f t="shared" si="0"/>
        <v>220</v>
      </c>
      <c r="N31" s="5">
        <v>6.3</v>
      </c>
      <c r="O31" s="23">
        <f t="shared" si="1"/>
        <v>6.3E-3</v>
      </c>
      <c r="P31" s="23">
        <f t="shared" si="2"/>
        <v>0.1134</v>
      </c>
      <c r="Q31" s="7">
        <f t="shared" si="3"/>
        <v>1.1340000000000001E-4</v>
      </c>
      <c r="R31" s="23">
        <f t="shared" si="4"/>
        <v>0.40823999999999999</v>
      </c>
      <c r="S31" s="5">
        <v>1.75</v>
      </c>
      <c r="T31" s="5">
        <v>0.39</v>
      </c>
      <c r="U31" s="3">
        <f t="shared" si="5"/>
        <v>3900</v>
      </c>
      <c r="V31" s="8">
        <v>-0.5</v>
      </c>
      <c r="W31" s="8">
        <v>-2.19</v>
      </c>
      <c r="X31" s="5">
        <f t="shared" si="6"/>
        <v>1.69</v>
      </c>
      <c r="Y31" s="23">
        <f t="shared" si="7"/>
        <v>0.24156213017751479</v>
      </c>
      <c r="Z31" s="23">
        <f t="shared" si="8"/>
        <v>942.09230769230771</v>
      </c>
      <c r="AA31" s="11">
        <f t="shared" si="9"/>
        <v>3.7246488378740898</v>
      </c>
      <c r="AB31" s="11">
        <f t="shared" si="10"/>
        <v>14526.13046770895</v>
      </c>
    </row>
    <row r="32" spans="1:28" ht="17.25" customHeight="1" x14ac:dyDescent="0.2">
      <c r="A32" t="s">
        <v>8</v>
      </c>
      <c r="B32" s="20">
        <v>1521</v>
      </c>
      <c r="C32" s="20">
        <v>158</v>
      </c>
      <c r="D32" s="20">
        <v>81</v>
      </c>
      <c r="E32" t="s">
        <v>75</v>
      </c>
      <c r="F32" s="26">
        <v>45128</v>
      </c>
      <c r="G32" t="s">
        <v>76</v>
      </c>
      <c r="H32" s="5">
        <v>31.74</v>
      </c>
      <c r="I32" s="5">
        <v>37.090000000000003</v>
      </c>
      <c r="J32" s="5">
        <v>35.51</v>
      </c>
      <c r="K32" s="5">
        <v>3.78</v>
      </c>
      <c r="L32" s="5">
        <v>0.08</v>
      </c>
      <c r="M32" s="3">
        <f t="shared" si="0"/>
        <v>80</v>
      </c>
      <c r="N32" s="5">
        <v>2.99</v>
      </c>
      <c r="O32" s="23">
        <f t="shared" si="1"/>
        <v>2.99E-3</v>
      </c>
      <c r="P32" s="23">
        <f t="shared" si="2"/>
        <v>5.382E-2</v>
      </c>
      <c r="Q32" s="7">
        <f t="shared" si="3"/>
        <v>5.3820000000000003E-5</v>
      </c>
      <c r="R32" s="23">
        <f t="shared" si="4"/>
        <v>0.19375200000000001</v>
      </c>
      <c r="S32" s="5">
        <v>0.53</v>
      </c>
      <c r="T32" s="5">
        <v>0.2</v>
      </c>
      <c r="U32" s="3">
        <f t="shared" si="5"/>
        <v>2000</v>
      </c>
      <c r="V32" s="8">
        <v>-0.78</v>
      </c>
      <c r="W32" s="8">
        <v>-2.31</v>
      </c>
      <c r="X32" s="5">
        <f t="shared" si="6"/>
        <v>1.53</v>
      </c>
      <c r="Y32" s="23">
        <f t="shared" si="7"/>
        <v>0.12663529411764707</v>
      </c>
      <c r="Z32" s="23">
        <f t="shared" si="8"/>
        <v>253.27058823529413</v>
      </c>
      <c r="AA32" s="11">
        <f t="shared" si="9"/>
        <v>1.9525908333500945</v>
      </c>
      <c r="AB32" s="11">
        <f t="shared" si="10"/>
        <v>3905.181666700189</v>
      </c>
    </row>
    <row r="33" spans="1:28" ht="17.25" customHeight="1" x14ac:dyDescent="0.2">
      <c r="A33" t="s">
        <v>9</v>
      </c>
      <c r="B33" s="20">
        <v>666</v>
      </c>
      <c r="C33" s="20">
        <v>101</v>
      </c>
      <c r="D33" s="20">
        <v>1</v>
      </c>
      <c r="E33" t="s">
        <v>75</v>
      </c>
      <c r="F33" s="26">
        <v>45127</v>
      </c>
      <c r="G33" t="s">
        <v>76</v>
      </c>
      <c r="H33" s="5">
        <v>20.56</v>
      </c>
      <c r="I33" s="5">
        <v>40.630000000000003</v>
      </c>
      <c r="J33" s="5">
        <v>35.67</v>
      </c>
      <c r="K33" s="5">
        <v>4.2699999999999996</v>
      </c>
      <c r="L33" s="5">
        <v>0.25</v>
      </c>
      <c r="M33" s="3">
        <f t="shared" si="0"/>
        <v>250</v>
      </c>
      <c r="N33" s="5">
        <v>9.92</v>
      </c>
      <c r="O33" s="23">
        <f t="shared" si="1"/>
        <v>9.92E-3</v>
      </c>
      <c r="P33" s="23">
        <f t="shared" si="2"/>
        <v>0.17856</v>
      </c>
      <c r="Q33" s="7">
        <f t="shared" si="3"/>
        <v>1.7856E-4</v>
      </c>
      <c r="R33" s="23">
        <f t="shared" si="4"/>
        <v>0.64281599999999994</v>
      </c>
      <c r="S33" s="5">
        <v>5.47</v>
      </c>
      <c r="T33" s="5">
        <v>1.21</v>
      </c>
      <c r="U33" s="3">
        <f t="shared" si="5"/>
        <v>12100</v>
      </c>
      <c r="V33" s="8">
        <v>-0.39</v>
      </c>
      <c r="W33" s="8">
        <v>-2.36</v>
      </c>
      <c r="X33" s="5">
        <f t="shared" si="6"/>
        <v>1.9699999999999998</v>
      </c>
      <c r="Y33" s="23">
        <f t="shared" si="7"/>
        <v>0.32630253807106602</v>
      </c>
      <c r="Z33" s="23">
        <f t="shared" si="8"/>
        <v>3948.2607106598989</v>
      </c>
      <c r="AA33" s="11">
        <f t="shared" si="9"/>
        <v>5.0312620125043548</v>
      </c>
      <c r="AB33" s="11">
        <f t="shared" si="10"/>
        <v>60878.270351302694</v>
      </c>
    </row>
    <row r="34" spans="1:28" ht="17.25" customHeight="1" x14ac:dyDescent="0.2">
      <c r="A34" t="s">
        <v>9</v>
      </c>
      <c r="B34" s="20">
        <v>666</v>
      </c>
      <c r="C34" s="20">
        <v>101</v>
      </c>
      <c r="D34" s="20">
        <v>2</v>
      </c>
      <c r="E34" t="s">
        <v>75</v>
      </c>
      <c r="F34" s="26">
        <v>45127</v>
      </c>
      <c r="G34" t="s">
        <v>76</v>
      </c>
      <c r="H34" s="5">
        <v>22.17</v>
      </c>
      <c r="I34" s="5">
        <v>39.659999999999997</v>
      </c>
      <c r="J34" s="5">
        <v>33.840000000000003</v>
      </c>
      <c r="K34" s="5">
        <v>3.67</v>
      </c>
      <c r="L34" s="5">
        <v>0.32</v>
      </c>
      <c r="M34" s="3">
        <f t="shared" si="0"/>
        <v>320</v>
      </c>
      <c r="N34" s="5">
        <v>10.97</v>
      </c>
      <c r="O34" s="23">
        <f t="shared" si="1"/>
        <v>1.0970000000000001E-2</v>
      </c>
      <c r="P34" s="23">
        <f t="shared" si="2"/>
        <v>0.19746000000000002</v>
      </c>
      <c r="Q34" s="7">
        <f t="shared" si="3"/>
        <v>1.9746000000000002E-4</v>
      </c>
      <c r="R34" s="23">
        <f t="shared" si="4"/>
        <v>0.71085600000000004</v>
      </c>
      <c r="S34" s="5">
        <v>6.42</v>
      </c>
      <c r="T34" s="5">
        <v>1.41</v>
      </c>
      <c r="U34" s="3">
        <f t="shared" si="5"/>
        <v>14100</v>
      </c>
      <c r="V34" s="8">
        <v>-0.33</v>
      </c>
      <c r="W34" s="8">
        <v>-2.36</v>
      </c>
      <c r="X34" s="5">
        <f t="shared" si="6"/>
        <v>2.0299999999999998</v>
      </c>
      <c r="Y34" s="23">
        <f t="shared" si="7"/>
        <v>0.35017536945812816</v>
      </c>
      <c r="Z34" s="23">
        <f t="shared" si="8"/>
        <v>4937.4727093596075</v>
      </c>
      <c r="AA34" s="11">
        <f t="shared" si="9"/>
        <v>5.399357432168201</v>
      </c>
      <c r="AB34" s="11">
        <f t="shared" si="10"/>
        <v>76130.939793571641</v>
      </c>
    </row>
    <row r="35" spans="1:28" ht="17.25" customHeight="1" x14ac:dyDescent="0.2">
      <c r="A35" t="s">
        <v>9</v>
      </c>
      <c r="B35" s="20">
        <v>666</v>
      </c>
      <c r="C35" s="20">
        <v>101</v>
      </c>
      <c r="D35" s="20">
        <v>3</v>
      </c>
      <c r="E35" t="s">
        <v>75</v>
      </c>
      <c r="F35" s="26">
        <v>45127</v>
      </c>
      <c r="G35" t="s">
        <v>76</v>
      </c>
      <c r="H35" s="5">
        <v>22.22</v>
      </c>
      <c r="I35" s="5">
        <v>39.25</v>
      </c>
      <c r="J35" s="5">
        <v>34.67</v>
      </c>
      <c r="K35" s="5">
        <v>3.95</v>
      </c>
      <c r="L35" s="5">
        <v>0.23</v>
      </c>
      <c r="M35" s="3">
        <f t="shared" si="0"/>
        <v>230</v>
      </c>
      <c r="N35" s="5">
        <v>8.49</v>
      </c>
      <c r="O35" s="23">
        <f t="shared" ref="O35:O66" si="11">N35/1000</f>
        <v>8.490000000000001E-3</v>
      </c>
      <c r="P35" s="23">
        <f t="shared" ref="P35:P66" si="12">O35*18</f>
        <v>0.15282000000000001</v>
      </c>
      <c r="Q35" s="7">
        <f t="shared" ref="Q35:Q66" si="13">P35/1000</f>
        <v>1.5282000000000002E-4</v>
      </c>
      <c r="R35" s="23">
        <f t="shared" ref="R35:R66" si="14">Q35*3600</f>
        <v>0.55015200000000009</v>
      </c>
      <c r="S35" s="5">
        <v>5.07</v>
      </c>
      <c r="T35" s="5">
        <v>1.03</v>
      </c>
      <c r="U35" s="3">
        <f t="shared" ref="U35:U66" si="15">T35*10000</f>
        <v>10300</v>
      </c>
      <c r="V35" s="8">
        <v>-0.38</v>
      </c>
      <c r="W35" s="8">
        <v>-1.81</v>
      </c>
      <c r="X35" s="5">
        <f t="shared" ref="X35:X66" si="16">V35-W35</f>
        <v>1.4300000000000002</v>
      </c>
      <c r="Y35" s="23">
        <f t="shared" ref="Y35:Y66" si="17">R35/X35</f>
        <v>0.38472167832167836</v>
      </c>
      <c r="Z35" s="23">
        <f t="shared" si="8"/>
        <v>3962.6332867132869</v>
      </c>
      <c r="AA35" s="11">
        <f t="shared" si="9"/>
        <v>5.9320273049951417</v>
      </c>
      <c r="AB35" s="11">
        <f t="shared" si="10"/>
        <v>61099.881241449963</v>
      </c>
    </row>
    <row r="36" spans="1:28" ht="17.25" customHeight="1" x14ac:dyDescent="0.2">
      <c r="A36" t="s">
        <v>9</v>
      </c>
      <c r="B36" s="20">
        <v>666</v>
      </c>
      <c r="C36" s="20">
        <v>105</v>
      </c>
      <c r="D36" s="20">
        <v>7</v>
      </c>
      <c r="E36" t="s">
        <v>75</v>
      </c>
      <c r="F36" s="26">
        <v>45127</v>
      </c>
      <c r="G36" t="s">
        <v>76</v>
      </c>
      <c r="H36" s="5">
        <v>24.99</v>
      </c>
      <c r="I36" s="5">
        <v>37.94</v>
      </c>
      <c r="J36" s="5">
        <v>33.08</v>
      </c>
      <c r="K36" s="5">
        <v>3.41</v>
      </c>
      <c r="L36" s="5">
        <v>0.22</v>
      </c>
      <c r="M36" s="3">
        <f t="shared" si="0"/>
        <v>220</v>
      </c>
      <c r="N36" s="5">
        <v>6.98</v>
      </c>
      <c r="O36" s="23">
        <f t="shared" si="11"/>
        <v>6.9800000000000001E-3</v>
      </c>
      <c r="P36" s="23">
        <f t="shared" si="12"/>
        <v>0.12564</v>
      </c>
      <c r="Q36" s="7">
        <f t="shared" si="13"/>
        <v>1.2564E-4</v>
      </c>
      <c r="R36" s="23">
        <f t="shared" si="14"/>
        <v>0.45230399999999998</v>
      </c>
      <c r="S36" s="5">
        <v>3.34</v>
      </c>
      <c r="T36" s="5">
        <v>0.91</v>
      </c>
      <c r="U36" s="3">
        <f t="shared" si="15"/>
        <v>9100</v>
      </c>
      <c r="V36" s="8">
        <v>-0.48</v>
      </c>
      <c r="W36" s="8">
        <v>-2.17</v>
      </c>
      <c r="X36" s="5">
        <f t="shared" si="16"/>
        <v>1.69</v>
      </c>
      <c r="Y36" s="23">
        <f t="shared" si="17"/>
        <v>0.26763550295857991</v>
      </c>
      <c r="Z36" s="23">
        <f t="shared" si="8"/>
        <v>2435.4830769230771</v>
      </c>
      <c r="AA36" s="11">
        <f t="shared" si="9"/>
        <v>4.1266744267239917</v>
      </c>
      <c r="AB36" s="11">
        <f t="shared" si="10"/>
        <v>37552.737283188326</v>
      </c>
    </row>
    <row r="37" spans="1:28" ht="17.25" customHeight="1" x14ac:dyDescent="0.2">
      <c r="A37" t="s">
        <v>9</v>
      </c>
      <c r="B37" s="20">
        <v>666</v>
      </c>
      <c r="C37" s="20">
        <v>105</v>
      </c>
      <c r="D37" s="20">
        <v>8</v>
      </c>
      <c r="E37" t="s">
        <v>75</v>
      </c>
      <c r="F37" s="26">
        <v>45127</v>
      </c>
      <c r="G37" t="s">
        <v>76</v>
      </c>
      <c r="H37" s="5">
        <v>26.01</v>
      </c>
      <c r="I37" s="5">
        <v>36.58</v>
      </c>
      <c r="J37" s="5">
        <v>31.91</v>
      </c>
      <c r="K37" s="5">
        <v>3.14</v>
      </c>
      <c r="L37" s="5">
        <v>0.3</v>
      </c>
      <c r="M37" s="3">
        <f t="shared" si="0"/>
        <v>300</v>
      </c>
      <c r="N37" s="5">
        <v>9.02</v>
      </c>
      <c r="O37" s="23">
        <f t="shared" si="11"/>
        <v>9.0200000000000002E-3</v>
      </c>
      <c r="P37" s="23">
        <f t="shared" si="12"/>
        <v>0.16236</v>
      </c>
      <c r="Q37" s="7">
        <f t="shared" si="13"/>
        <v>1.6236000000000001E-4</v>
      </c>
      <c r="R37" s="23">
        <f t="shared" si="14"/>
        <v>0.58449600000000002</v>
      </c>
      <c r="S37" s="5">
        <v>2.64</v>
      </c>
      <c r="T37" s="5">
        <v>0.69</v>
      </c>
      <c r="U37" s="5">
        <f t="shared" si="15"/>
        <v>6899.9999999999991</v>
      </c>
      <c r="V37" s="8">
        <v>-0.51</v>
      </c>
      <c r="W37" s="8">
        <v>-2.2799999999999998</v>
      </c>
      <c r="X37" s="5">
        <f t="shared" si="16"/>
        <v>1.7699999999999998</v>
      </c>
      <c r="Y37" s="23">
        <f t="shared" si="17"/>
        <v>0.33022372881355938</v>
      </c>
      <c r="Z37" s="23">
        <f t="shared" si="8"/>
        <v>2278.5437288135595</v>
      </c>
      <c r="AA37" s="11">
        <f t="shared" si="9"/>
        <v>5.0917228907528527</v>
      </c>
      <c r="AB37" s="11">
        <f t="shared" si="10"/>
        <v>35132.887946194678</v>
      </c>
    </row>
    <row r="38" spans="1:28" ht="17.25" customHeight="1" x14ac:dyDescent="0.2">
      <c r="A38" t="s">
        <v>9</v>
      </c>
      <c r="B38" s="20">
        <v>666</v>
      </c>
      <c r="C38" s="20">
        <v>105</v>
      </c>
      <c r="D38" s="20">
        <v>9</v>
      </c>
      <c r="E38" t="s">
        <v>75</v>
      </c>
      <c r="F38" s="26">
        <v>45128</v>
      </c>
      <c r="G38" t="s">
        <v>76</v>
      </c>
      <c r="H38" s="5">
        <v>34.57</v>
      </c>
      <c r="I38" s="5">
        <v>35.65</v>
      </c>
      <c r="J38" s="5">
        <v>32.96</v>
      </c>
      <c r="K38" s="5">
        <v>3.01</v>
      </c>
      <c r="L38" s="5">
        <v>0.16</v>
      </c>
      <c r="M38" s="3">
        <f t="shared" si="0"/>
        <v>160</v>
      </c>
      <c r="N38" s="5">
        <v>4.59</v>
      </c>
      <c r="O38" s="23">
        <f t="shared" si="11"/>
        <v>4.5899999999999995E-3</v>
      </c>
      <c r="P38" s="23">
        <f t="shared" si="12"/>
        <v>8.2619999999999985E-2</v>
      </c>
      <c r="Q38" s="7">
        <f t="shared" si="13"/>
        <v>8.2619999999999992E-5</v>
      </c>
      <c r="R38" s="23">
        <f t="shared" si="14"/>
        <v>0.29743199999999997</v>
      </c>
      <c r="S38" s="5">
        <v>5.01</v>
      </c>
      <c r="T38" s="5">
        <v>1.0900000000000001</v>
      </c>
      <c r="U38" s="3">
        <f t="shared" si="15"/>
        <v>10900</v>
      </c>
      <c r="V38" s="8">
        <v>-0.97</v>
      </c>
      <c r="W38" s="8">
        <v>-2.34</v>
      </c>
      <c r="X38" s="5">
        <f t="shared" si="16"/>
        <v>1.3699999999999999</v>
      </c>
      <c r="Y38" s="23">
        <f t="shared" si="17"/>
        <v>0.21710364963503651</v>
      </c>
      <c r="Z38" s="23">
        <f t="shared" si="8"/>
        <v>2366.4297810218977</v>
      </c>
      <c r="AA38" s="11">
        <f t="shared" si="9"/>
        <v>3.3475232881790173</v>
      </c>
      <c r="AB38" s="11">
        <f t="shared" si="10"/>
        <v>36488.003841151287</v>
      </c>
    </row>
    <row r="39" spans="1:28" ht="17.25" customHeight="1" x14ac:dyDescent="0.2">
      <c r="A39" t="s">
        <v>9</v>
      </c>
      <c r="B39" s="20">
        <v>666</v>
      </c>
      <c r="C39" s="20">
        <v>118</v>
      </c>
      <c r="D39" s="20">
        <v>10</v>
      </c>
      <c r="E39" t="s">
        <v>75</v>
      </c>
      <c r="F39" s="26">
        <v>45128</v>
      </c>
      <c r="G39" t="s">
        <v>76</v>
      </c>
      <c r="H39" s="5">
        <v>31.56</v>
      </c>
      <c r="I39" s="3">
        <v>37</v>
      </c>
      <c r="J39" s="5">
        <v>33.18</v>
      </c>
      <c r="K39" s="5">
        <v>3.1</v>
      </c>
      <c r="L39" s="5">
        <v>0.28999999999999998</v>
      </c>
      <c r="M39" s="3">
        <f t="shared" si="0"/>
        <v>290</v>
      </c>
      <c r="N39" s="5">
        <v>8.39</v>
      </c>
      <c r="O39" s="23">
        <f t="shared" si="11"/>
        <v>8.3899999999999999E-3</v>
      </c>
      <c r="P39" s="23">
        <f t="shared" si="12"/>
        <v>0.15101999999999999</v>
      </c>
      <c r="Q39" s="7">
        <f t="shared" si="13"/>
        <v>1.5102E-4</v>
      </c>
      <c r="R39" s="23">
        <f t="shared" si="14"/>
        <v>0.54367200000000004</v>
      </c>
      <c r="S39" s="5">
        <v>3.56</v>
      </c>
      <c r="T39" s="5">
        <v>1</v>
      </c>
      <c r="U39" s="3">
        <f t="shared" si="15"/>
        <v>10000</v>
      </c>
      <c r="V39" s="8">
        <v>-0.43</v>
      </c>
      <c r="W39" s="8">
        <v>-1.96</v>
      </c>
      <c r="X39" s="5">
        <f t="shared" si="16"/>
        <v>1.53</v>
      </c>
      <c r="Y39" s="23">
        <f t="shared" si="17"/>
        <v>0.35534117647058827</v>
      </c>
      <c r="Z39" s="23">
        <f t="shared" si="8"/>
        <v>3553.4117647058829</v>
      </c>
      <c r="AA39" s="11">
        <f t="shared" si="9"/>
        <v>5.4790090608051152</v>
      </c>
      <c r="AB39" s="11">
        <f t="shared" si="10"/>
        <v>54790.090608051149</v>
      </c>
    </row>
    <row r="40" spans="1:28" ht="17.25" customHeight="1" x14ac:dyDescent="0.2">
      <c r="A40" t="s">
        <v>9</v>
      </c>
      <c r="B40" s="20">
        <v>666</v>
      </c>
      <c r="C40" s="20">
        <v>118</v>
      </c>
      <c r="D40" s="20">
        <v>11</v>
      </c>
      <c r="E40" t="s">
        <v>75</v>
      </c>
      <c r="F40" s="26">
        <v>45128</v>
      </c>
      <c r="G40" t="s">
        <v>76</v>
      </c>
      <c r="H40" s="5">
        <v>33.29</v>
      </c>
      <c r="I40" s="5">
        <v>36.35</v>
      </c>
      <c r="J40" s="5">
        <v>33.82</v>
      </c>
      <c r="K40" s="5">
        <v>3.25</v>
      </c>
      <c r="L40" s="5">
        <v>0.08</v>
      </c>
      <c r="M40" s="3">
        <f t="shared" si="0"/>
        <v>80</v>
      </c>
      <c r="N40" s="5">
        <v>2.5299999999999998</v>
      </c>
      <c r="O40" s="23">
        <f t="shared" si="11"/>
        <v>2.5299999999999997E-3</v>
      </c>
      <c r="P40" s="23">
        <f t="shared" si="12"/>
        <v>4.5539999999999997E-2</v>
      </c>
      <c r="Q40" s="7">
        <f t="shared" si="13"/>
        <v>4.5539999999999994E-5</v>
      </c>
      <c r="R40" s="23">
        <f t="shared" si="14"/>
        <v>0.16394399999999998</v>
      </c>
      <c r="S40" s="5">
        <v>3.32</v>
      </c>
      <c r="T40" s="5">
        <v>0.91</v>
      </c>
      <c r="U40" s="3">
        <f t="shared" si="15"/>
        <v>9100</v>
      </c>
      <c r="V40" s="8">
        <v>-0.77</v>
      </c>
      <c r="W40" s="8">
        <v>-1.83</v>
      </c>
      <c r="X40" s="5">
        <f t="shared" si="16"/>
        <v>1.06</v>
      </c>
      <c r="Y40" s="23">
        <f t="shared" si="17"/>
        <v>0.15466415094339619</v>
      </c>
      <c r="Z40" s="23">
        <f t="shared" si="8"/>
        <v>1407.4437735849053</v>
      </c>
      <c r="AA40" s="11">
        <f t="shared" si="9"/>
        <v>2.3847680497301953</v>
      </c>
      <c r="AB40" s="11">
        <f t="shared" si="10"/>
        <v>21701.389252544777</v>
      </c>
    </row>
    <row r="41" spans="1:28" ht="17.25" customHeight="1" x14ac:dyDescent="0.2">
      <c r="A41" t="s">
        <v>9</v>
      </c>
      <c r="B41" s="20">
        <v>666</v>
      </c>
      <c r="C41" s="20">
        <v>118</v>
      </c>
      <c r="D41" s="20">
        <v>12</v>
      </c>
      <c r="E41" t="s">
        <v>75</v>
      </c>
      <c r="F41" s="26">
        <v>45127</v>
      </c>
      <c r="G41" t="s">
        <v>76</v>
      </c>
      <c r="H41" s="5">
        <v>23.59</v>
      </c>
      <c r="I41" s="5">
        <v>38.53</v>
      </c>
      <c r="J41" s="5">
        <v>33.97</v>
      </c>
      <c r="K41" s="5">
        <v>3.71</v>
      </c>
      <c r="L41" s="5">
        <v>0.23</v>
      </c>
      <c r="M41" s="3">
        <f t="shared" si="0"/>
        <v>230</v>
      </c>
      <c r="N41" s="5">
        <v>8.1999999999999993</v>
      </c>
      <c r="O41" s="23">
        <f t="shared" si="11"/>
        <v>8.199999999999999E-3</v>
      </c>
      <c r="P41" s="23">
        <f t="shared" si="12"/>
        <v>0.14759999999999998</v>
      </c>
      <c r="Q41" s="7">
        <f t="shared" si="13"/>
        <v>1.4759999999999998E-4</v>
      </c>
      <c r="R41" s="23">
        <f t="shared" si="14"/>
        <v>0.53135999999999994</v>
      </c>
      <c r="S41" s="5">
        <v>1.61</v>
      </c>
      <c r="T41" s="5">
        <v>0.5</v>
      </c>
      <c r="U41" s="3">
        <f t="shared" si="15"/>
        <v>5000</v>
      </c>
      <c r="V41" s="8">
        <v>-0.44</v>
      </c>
      <c r="W41" s="8">
        <v>-2.02</v>
      </c>
      <c r="X41" s="5">
        <f t="shared" si="16"/>
        <v>1.58</v>
      </c>
      <c r="Y41" s="23">
        <f t="shared" si="17"/>
        <v>0.33630379746835437</v>
      </c>
      <c r="Z41" s="23">
        <f t="shared" si="8"/>
        <v>1681.5189873417719</v>
      </c>
      <c r="AA41" s="11">
        <f t="shared" si="9"/>
        <v>5.1854715285572759</v>
      </c>
      <c r="AB41" s="11">
        <f t="shared" si="10"/>
        <v>25927.357642786381</v>
      </c>
    </row>
    <row r="42" spans="1:28" ht="17.25" customHeight="1" x14ac:dyDescent="0.2">
      <c r="A42" t="s">
        <v>9</v>
      </c>
      <c r="B42" s="20">
        <v>666</v>
      </c>
      <c r="C42" s="20">
        <v>122</v>
      </c>
      <c r="D42" s="20">
        <v>16</v>
      </c>
      <c r="E42" t="s">
        <v>75</v>
      </c>
      <c r="F42" s="26">
        <v>45128</v>
      </c>
      <c r="G42" t="s">
        <v>76</v>
      </c>
      <c r="H42" s="5">
        <v>32.92</v>
      </c>
      <c r="I42" s="5">
        <v>36.31</v>
      </c>
      <c r="J42" s="5">
        <v>33.020000000000003</v>
      </c>
      <c r="K42" s="5">
        <v>3.05</v>
      </c>
      <c r="L42" s="5">
        <v>0.21</v>
      </c>
      <c r="M42" s="3">
        <f t="shared" si="0"/>
        <v>210</v>
      </c>
      <c r="N42" s="5">
        <v>6.06</v>
      </c>
      <c r="O42" s="23">
        <f t="shared" si="11"/>
        <v>6.0599999999999994E-3</v>
      </c>
      <c r="P42" s="23">
        <f t="shared" si="12"/>
        <v>0.10907999999999998</v>
      </c>
      <c r="Q42" s="7">
        <f t="shared" si="13"/>
        <v>1.0907999999999998E-4</v>
      </c>
      <c r="R42" s="23">
        <f t="shared" si="14"/>
        <v>0.39268799999999993</v>
      </c>
      <c r="S42" s="5">
        <v>7.05</v>
      </c>
      <c r="T42" s="5">
        <v>2.21</v>
      </c>
      <c r="U42" s="3">
        <f t="shared" si="15"/>
        <v>22100</v>
      </c>
      <c r="V42" s="8">
        <v>-0.51</v>
      </c>
      <c r="W42" s="8">
        <v>-2.23</v>
      </c>
      <c r="X42" s="5">
        <f t="shared" si="16"/>
        <v>1.72</v>
      </c>
      <c r="Y42" s="23">
        <f t="shared" si="17"/>
        <v>0.22830697674418601</v>
      </c>
      <c r="Z42" s="23">
        <f t="shared" si="8"/>
        <v>5045.5841860465107</v>
      </c>
      <c r="AA42" s="11">
        <f t="shared" si="9"/>
        <v>3.5202674979885287</v>
      </c>
      <c r="AB42" s="11">
        <f t="shared" si="10"/>
        <v>77797.911705546489</v>
      </c>
    </row>
    <row r="43" spans="1:28" ht="17.25" customHeight="1" x14ac:dyDescent="0.2">
      <c r="A43" t="s">
        <v>9</v>
      </c>
      <c r="B43" s="20">
        <v>666</v>
      </c>
      <c r="C43" s="20">
        <v>122</v>
      </c>
      <c r="D43" s="20">
        <v>17</v>
      </c>
      <c r="E43" t="s">
        <v>75</v>
      </c>
      <c r="F43" s="26">
        <v>45128</v>
      </c>
      <c r="G43" t="s">
        <v>76</v>
      </c>
      <c r="H43" s="5">
        <v>32.07</v>
      </c>
      <c r="I43" s="5">
        <v>36.630000000000003</v>
      </c>
      <c r="J43" s="3">
        <v>33</v>
      </c>
      <c r="K43" s="5">
        <v>3.06</v>
      </c>
      <c r="L43" s="5">
        <v>0.25</v>
      </c>
      <c r="M43" s="3">
        <f t="shared" si="0"/>
        <v>250</v>
      </c>
      <c r="N43" s="5">
        <v>7.31</v>
      </c>
      <c r="O43" s="23">
        <f t="shared" si="11"/>
        <v>7.3099999999999997E-3</v>
      </c>
      <c r="P43" s="23">
        <f t="shared" si="12"/>
        <v>0.13158</v>
      </c>
      <c r="Q43" s="7">
        <f t="shared" si="13"/>
        <v>1.3158000000000001E-4</v>
      </c>
      <c r="R43" s="23">
        <f t="shared" si="14"/>
        <v>0.47368800000000005</v>
      </c>
      <c r="S43" s="5">
        <v>4.82</v>
      </c>
      <c r="T43" s="5">
        <v>1.19</v>
      </c>
      <c r="U43" s="3">
        <f t="shared" si="15"/>
        <v>11900</v>
      </c>
      <c r="V43" s="8">
        <v>-0.41</v>
      </c>
      <c r="W43" s="8">
        <v>-2.27</v>
      </c>
      <c r="X43" s="5">
        <f t="shared" si="16"/>
        <v>1.86</v>
      </c>
      <c r="Y43" s="23">
        <f t="shared" si="17"/>
        <v>0.25467096774193548</v>
      </c>
      <c r="Z43" s="23">
        <f t="shared" si="8"/>
        <v>3030.5845161290322</v>
      </c>
      <c r="AA43" s="11">
        <f t="shared" si="9"/>
        <v>3.9267741319519303</v>
      </c>
      <c r="AB43" s="11">
        <f t="shared" si="10"/>
        <v>46728.612170227971</v>
      </c>
    </row>
    <row r="44" spans="1:28" ht="17.25" customHeight="1" x14ac:dyDescent="0.2">
      <c r="A44" t="s">
        <v>9</v>
      </c>
      <c r="B44" s="20">
        <v>666</v>
      </c>
      <c r="C44" s="20">
        <v>122</v>
      </c>
      <c r="D44" s="20">
        <v>18</v>
      </c>
      <c r="E44" t="s">
        <v>75</v>
      </c>
      <c r="F44" s="26">
        <v>45127</v>
      </c>
      <c r="G44" t="s">
        <v>76</v>
      </c>
      <c r="H44" s="5">
        <v>21.58</v>
      </c>
      <c r="I44" s="5">
        <v>39.6</v>
      </c>
      <c r="J44" s="5">
        <v>35.65</v>
      </c>
      <c r="K44" s="5">
        <v>4.28</v>
      </c>
      <c r="L44" s="5">
        <v>0.16</v>
      </c>
      <c r="M44" s="3">
        <f t="shared" si="0"/>
        <v>160</v>
      </c>
      <c r="N44" s="5">
        <v>6.3</v>
      </c>
      <c r="O44" s="23">
        <f t="shared" si="11"/>
        <v>6.3E-3</v>
      </c>
      <c r="P44" s="23">
        <f t="shared" si="12"/>
        <v>0.1134</v>
      </c>
      <c r="Q44" s="7">
        <f t="shared" si="13"/>
        <v>1.1340000000000001E-4</v>
      </c>
      <c r="R44" s="23">
        <f t="shared" si="14"/>
        <v>0.40823999999999999</v>
      </c>
      <c r="S44" s="5">
        <v>7.37</v>
      </c>
      <c r="T44" s="5">
        <v>1.96</v>
      </c>
      <c r="U44" s="3">
        <f t="shared" si="15"/>
        <v>19600</v>
      </c>
      <c r="V44" s="8">
        <v>-0.37</v>
      </c>
      <c r="W44" s="8">
        <v>-2.21</v>
      </c>
      <c r="X44" s="5">
        <f t="shared" si="16"/>
        <v>1.8399999999999999</v>
      </c>
      <c r="Y44" s="23">
        <f t="shared" si="17"/>
        <v>0.22186956521739132</v>
      </c>
      <c r="Z44" s="23">
        <f t="shared" si="8"/>
        <v>4348.6434782608694</v>
      </c>
      <c r="AA44" s="11">
        <f t="shared" si="9"/>
        <v>3.421008986960441</v>
      </c>
      <c r="AB44" s="11">
        <f t="shared" si="10"/>
        <v>67051.776144424643</v>
      </c>
    </row>
    <row r="45" spans="1:28" ht="17.25" customHeight="1" x14ac:dyDescent="0.2">
      <c r="A45" t="s">
        <v>9</v>
      </c>
      <c r="B45" s="20">
        <v>666</v>
      </c>
      <c r="C45" s="20">
        <v>123</v>
      </c>
      <c r="D45" s="20">
        <v>19</v>
      </c>
      <c r="E45" t="s">
        <v>75</v>
      </c>
      <c r="F45" s="26">
        <v>45127</v>
      </c>
      <c r="G45" t="s">
        <v>76</v>
      </c>
      <c r="H45" s="5">
        <v>34.6</v>
      </c>
      <c r="I45" s="5">
        <v>30.94</v>
      </c>
      <c r="J45" s="5">
        <v>30.25</v>
      </c>
      <c r="K45" s="5">
        <v>2.76</v>
      </c>
      <c r="L45" s="5">
        <v>0.2</v>
      </c>
      <c r="M45" s="3">
        <f t="shared" si="0"/>
        <v>200</v>
      </c>
      <c r="N45" s="5">
        <v>5.25</v>
      </c>
      <c r="O45" s="23">
        <f t="shared" si="11"/>
        <v>5.2500000000000003E-3</v>
      </c>
      <c r="P45" s="23">
        <f t="shared" si="12"/>
        <v>9.4500000000000001E-2</v>
      </c>
      <c r="Q45" s="7">
        <f t="shared" si="13"/>
        <v>9.4500000000000007E-5</v>
      </c>
      <c r="R45" s="23">
        <f t="shared" si="14"/>
        <v>0.3402</v>
      </c>
      <c r="S45" s="5">
        <v>6.06</v>
      </c>
      <c r="T45" s="5">
        <v>1.55</v>
      </c>
      <c r="U45" s="3">
        <f t="shared" si="15"/>
        <v>15500</v>
      </c>
      <c r="V45" s="8">
        <v>-0.4</v>
      </c>
      <c r="W45" s="8">
        <v>-2.5</v>
      </c>
      <c r="X45" s="5">
        <f t="shared" si="16"/>
        <v>2.1</v>
      </c>
      <c r="Y45" s="23">
        <f t="shared" si="17"/>
        <v>0.16200000000000001</v>
      </c>
      <c r="Z45" s="23">
        <f t="shared" si="8"/>
        <v>2511</v>
      </c>
      <c r="AA45" s="11">
        <f t="shared" si="9"/>
        <v>2.4978795777806395</v>
      </c>
      <c r="AB45" s="11">
        <f t="shared" si="10"/>
        <v>38717.133455599913</v>
      </c>
    </row>
    <row r="46" spans="1:28" ht="17.25" customHeight="1" x14ac:dyDescent="0.2">
      <c r="A46" t="s">
        <v>9</v>
      </c>
      <c r="B46" s="20">
        <v>666</v>
      </c>
      <c r="C46" s="20">
        <v>123</v>
      </c>
      <c r="D46" s="20">
        <v>20</v>
      </c>
      <c r="E46" t="s">
        <v>75</v>
      </c>
      <c r="F46" s="26">
        <v>45127</v>
      </c>
      <c r="G46" t="s">
        <v>76</v>
      </c>
      <c r="H46" s="5">
        <v>30.16</v>
      </c>
      <c r="I46" s="5">
        <v>33.049999999999997</v>
      </c>
      <c r="J46" s="5">
        <v>31.16</v>
      </c>
      <c r="K46" s="5">
        <v>3.02</v>
      </c>
      <c r="L46" s="5">
        <v>0.23</v>
      </c>
      <c r="M46" s="3">
        <f t="shared" si="0"/>
        <v>230</v>
      </c>
      <c r="N46" s="5">
        <v>6.63</v>
      </c>
      <c r="O46" s="23">
        <f t="shared" si="11"/>
        <v>6.6299999999999996E-3</v>
      </c>
      <c r="P46" s="23">
        <f t="shared" si="12"/>
        <v>0.11933999999999999</v>
      </c>
      <c r="Q46" s="7">
        <f t="shared" si="13"/>
        <v>1.1933999999999999E-4</v>
      </c>
      <c r="R46" s="23">
        <f t="shared" si="14"/>
        <v>0.42962399999999995</v>
      </c>
      <c r="S46" s="5">
        <v>5.82</v>
      </c>
      <c r="T46" s="5">
        <v>2.02</v>
      </c>
      <c r="U46" s="3">
        <f t="shared" si="15"/>
        <v>20200</v>
      </c>
      <c r="V46" s="8">
        <v>-0.37</v>
      </c>
      <c r="W46" s="8">
        <v>-2.59</v>
      </c>
      <c r="X46" s="5">
        <f t="shared" si="16"/>
        <v>2.2199999999999998</v>
      </c>
      <c r="Y46" s="23">
        <f t="shared" si="17"/>
        <v>0.19352432432432431</v>
      </c>
      <c r="Z46" s="23">
        <f t="shared" si="8"/>
        <v>3909.1913513513514</v>
      </c>
      <c r="AA46" s="11">
        <f t="shared" si="9"/>
        <v>2.9839534415649798</v>
      </c>
      <c r="AB46" s="11">
        <f t="shared" si="10"/>
        <v>60275.85951961259</v>
      </c>
    </row>
    <row r="47" spans="1:28" ht="17.25" customHeight="1" x14ac:dyDescent="0.2">
      <c r="A47" t="s">
        <v>9</v>
      </c>
      <c r="B47" s="20">
        <v>666</v>
      </c>
      <c r="C47" s="20">
        <v>123</v>
      </c>
      <c r="D47" s="20">
        <v>22</v>
      </c>
      <c r="E47" t="s">
        <v>75</v>
      </c>
      <c r="F47" s="26">
        <v>45127</v>
      </c>
      <c r="G47" t="s">
        <v>76</v>
      </c>
      <c r="H47" s="5">
        <v>20.86</v>
      </c>
      <c r="I47" s="5">
        <v>40.35</v>
      </c>
      <c r="J47" s="5">
        <v>35.46</v>
      </c>
      <c r="K47" s="5">
        <v>4.21</v>
      </c>
      <c r="L47" s="5">
        <v>0.27</v>
      </c>
      <c r="M47" s="3">
        <f t="shared" si="0"/>
        <v>270</v>
      </c>
      <c r="N47" s="5">
        <v>10.6</v>
      </c>
      <c r="O47" s="23">
        <f t="shared" si="11"/>
        <v>1.06E-2</v>
      </c>
      <c r="P47" s="23">
        <f t="shared" si="12"/>
        <v>0.1908</v>
      </c>
      <c r="Q47" s="7">
        <f t="shared" si="13"/>
        <v>1.908E-4</v>
      </c>
      <c r="R47" s="23">
        <f t="shared" si="14"/>
        <v>0.68688000000000005</v>
      </c>
      <c r="S47" s="5">
        <v>4.78</v>
      </c>
      <c r="T47" s="5">
        <v>1.58</v>
      </c>
      <c r="U47" s="3">
        <f t="shared" si="15"/>
        <v>15800</v>
      </c>
      <c r="V47" s="8">
        <v>-0.78</v>
      </c>
      <c r="W47" s="8">
        <v>-2.29</v>
      </c>
      <c r="X47" s="5">
        <f t="shared" si="16"/>
        <v>1.51</v>
      </c>
      <c r="Y47" s="23">
        <f t="shared" si="17"/>
        <v>0.45488741721854309</v>
      </c>
      <c r="Z47" s="23">
        <f t="shared" si="8"/>
        <v>7187.2211920529808</v>
      </c>
      <c r="AA47" s="11">
        <f t="shared" si="9"/>
        <v>7.0139135164171602</v>
      </c>
      <c r="AB47" s="11">
        <f t="shared" si="10"/>
        <v>110819.83355939113</v>
      </c>
    </row>
    <row r="48" spans="1:28" ht="17.25" customHeight="1" x14ac:dyDescent="0.2">
      <c r="A48" t="s">
        <v>10</v>
      </c>
      <c r="B48" s="20">
        <v>1212</v>
      </c>
      <c r="C48" s="20">
        <v>3</v>
      </c>
      <c r="D48" s="20">
        <v>29</v>
      </c>
      <c r="E48" t="s">
        <v>75</v>
      </c>
      <c r="F48" s="26">
        <v>45127</v>
      </c>
      <c r="G48" t="s">
        <v>76</v>
      </c>
      <c r="H48" s="5">
        <v>22.06</v>
      </c>
      <c r="I48" s="5">
        <v>38.799999999999997</v>
      </c>
      <c r="J48" s="5">
        <v>34.14</v>
      </c>
      <c r="K48" s="5">
        <v>3.84</v>
      </c>
      <c r="L48" s="5">
        <v>0.24</v>
      </c>
      <c r="M48" s="3">
        <f t="shared" si="0"/>
        <v>240</v>
      </c>
      <c r="N48" s="5">
        <v>8.48</v>
      </c>
      <c r="O48" s="23">
        <f t="shared" si="11"/>
        <v>8.4799999999999997E-3</v>
      </c>
      <c r="P48" s="23">
        <f t="shared" si="12"/>
        <v>0.15264</v>
      </c>
      <c r="Q48" s="7">
        <f t="shared" si="13"/>
        <v>1.5264E-4</v>
      </c>
      <c r="R48" s="23">
        <f t="shared" si="14"/>
        <v>0.54950399999999999</v>
      </c>
      <c r="S48" s="5">
        <v>8.68</v>
      </c>
      <c r="T48" s="5">
        <v>2.3199999999999998</v>
      </c>
      <c r="U48" s="3">
        <f t="shared" si="15"/>
        <v>23200</v>
      </c>
      <c r="V48" s="8">
        <v>-0.74</v>
      </c>
      <c r="W48" s="8">
        <v>-2.6</v>
      </c>
      <c r="X48" s="5">
        <f t="shared" si="16"/>
        <v>1.86</v>
      </c>
      <c r="Y48" s="23">
        <f t="shared" si="17"/>
        <v>0.29543225806451612</v>
      </c>
      <c r="Z48" s="23">
        <f t="shared" si="8"/>
        <v>6854.0283870967742</v>
      </c>
      <c r="AA48" s="11">
        <f t="shared" si="9"/>
        <v>4.5552728644257687</v>
      </c>
      <c r="AB48" s="11">
        <f t="shared" si="10"/>
        <v>105682.33045467784</v>
      </c>
    </row>
    <row r="49" spans="1:28" ht="17.25" customHeight="1" x14ac:dyDescent="0.2">
      <c r="A49" t="s">
        <v>10</v>
      </c>
      <c r="B49" s="20">
        <v>1212</v>
      </c>
      <c r="C49" s="20">
        <v>3</v>
      </c>
      <c r="D49" s="20">
        <v>30</v>
      </c>
      <c r="E49" t="s">
        <v>75</v>
      </c>
      <c r="F49" s="26">
        <v>45127</v>
      </c>
      <c r="G49" t="s">
        <v>76</v>
      </c>
      <c r="H49" s="5">
        <v>19.23</v>
      </c>
      <c r="I49" s="5">
        <v>40.83</v>
      </c>
      <c r="J49" s="5">
        <v>35.4</v>
      </c>
      <c r="K49" s="5">
        <v>4.2699999999999996</v>
      </c>
      <c r="L49" s="5">
        <v>0.24</v>
      </c>
      <c r="M49" s="3">
        <f t="shared" si="0"/>
        <v>240</v>
      </c>
      <c r="N49" s="5">
        <v>9.4600000000000009</v>
      </c>
      <c r="O49" s="23">
        <f t="shared" si="11"/>
        <v>9.4600000000000014E-3</v>
      </c>
      <c r="P49" s="23">
        <f t="shared" si="12"/>
        <v>0.17028000000000001</v>
      </c>
      <c r="Q49" s="7">
        <f t="shared" si="13"/>
        <v>1.7028E-4</v>
      </c>
      <c r="R49" s="23">
        <f t="shared" si="14"/>
        <v>0.613008</v>
      </c>
      <c r="S49" s="5">
        <v>7</v>
      </c>
      <c r="T49" s="5">
        <v>2.4300000000000002</v>
      </c>
      <c r="U49" s="3">
        <f t="shared" si="15"/>
        <v>24300</v>
      </c>
      <c r="V49" s="8">
        <v>-0.47</v>
      </c>
      <c r="W49" s="8">
        <v>-2.0299999999999998</v>
      </c>
      <c r="X49" s="5">
        <f t="shared" si="16"/>
        <v>1.5599999999999998</v>
      </c>
      <c r="Y49" s="23">
        <f t="shared" si="17"/>
        <v>0.39295384615384621</v>
      </c>
      <c r="Z49" s="23">
        <f t="shared" si="8"/>
        <v>9548.7784615384626</v>
      </c>
      <c r="AA49" s="11">
        <f t="shared" si="9"/>
        <v>6.0589591809756023</v>
      </c>
      <c r="AB49" s="11">
        <f t="shared" si="10"/>
        <v>147232.70809770713</v>
      </c>
    </row>
    <row r="50" spans="1:28" ht="17.25" customHeight="1" x14ac:dyDescent="0.2">
      <c r="A50" t="s">
        <v>10</v>
      </c>
      <c r="B50" s="20">
        <v>1212</v>
      </c>
      <c r="C50" s="20">
        <v>3</v>
      </c>
      <c r="D50" s="20">
        <v>31</v>
      </c>
      <c r="E50" t="s">
        <v>75</v>
      </c>
      <c r="F50" s="26">
        <v>45128</v>
      </c>
      <c r="G50" t="s">
        <v>76</v>
      </c>
      <c r="H50" s="5">
        <v>33.869999999999997</v>
      </c>
      <c r="I50" s="5">
        <v>36.119999999999997</v>
      </c>
      <c r="J50" s="5">
        <v>33.25</v>
      </c>
      <c r="K50" s="5">
        <v>3.08</v>
      </c>
      <c r="L50" s="5">
        <v>0.25</v>
      </c>
      <c r="M50" s="3">
        <f t="shared" si="0"/>
        <v>250</v>
      </c>
      <c r="N50" s="5">
        <v>7.23</v>
      </c>
      <c r="O50" s="23">
        <f t="shared" si="11"/>
        <v>7.2300000000000003E-3</v>
      </c>
      <c r="P50" s="23">
        <f t="shared" si="12"/>
        <v>0.13014000000000001</v>
      </c>
      <c r="Q50" s="7">
        <f t="shared" si="13"/>
        <v>1.3014E-4</v>
      </c>
      <c r="R50" s="23">
        <f t="shared" si="14"/>
        <v>0.46850399999999998</v>
      </c>
      <c r="S50" s="5">
        <v>6.14</v>
      </c>
      <c r="T50" s="5">
        <v>1.8</v>
      </c>
      <c r="U50" s="3">
        <f t="shared" si="15"/>
        <v>18000</v>
      </c>
      <c r="V50" s="8">
        <v>-0.76</v>
      </c>
      <c r="W50" s="8">
        <v>-2.2000000000000002</v>
      </c>
      <c r="X50" s="5">
        <f t="shared" si="16"/>
        <v>1.4400000000000002</v>
      </c>
      <c r="Y50" s="23">
        <f t="shared" si="17"/>
        <v>0.32534999999999997</v>
      </c>
      <c r="Z50" s="23">
        <f t="shared" si="8"/>
        <v>5856.2999999999993</v>
      </c>
      <c r="AA50" s="11">
        <f t="shared" si="9"/>
        <v>5.0165748187094508</v>
      </c>
      <c r="AB50" s="11">
        <f t="shared" si="10"/>
        <v>90298.346736770109</v>
      </c>
    </row>
    <row r="51" spans="1:28" ht="17.25" customHeight="1" x14ac:dyDescent="0.2">
      <c r="A51" t="s">
        <v>10</v>
      </c>
      <c r="B51" s="20">
        <v>1212</v>
      </c>
      <c r="C51" s="20">
        <v>4</v>
      </c>
      <c r="D51" s="20">
        <v>32</v>
      </c>
      <c r="E51" t="s">
        <v>75</v>
      </c>
      <c r="F51" s="26">
        <v>45127</v>
      </c>
      <c r="G51" t="s">
        <v>76</v>
      </c>
      <c r="H51" s="5">
        <v>22.46</v>
      </c>
      <c r="I51" s="5">
        <v>38.96</v>
      </c>
      <c r="J51" s="5">
        <v>36.71</v>
      </c>
      <c r="K51" s="5">
        <v>4.63</v>
      </c>
      <c r="L51" s="5">
        <v>0.09</v>
      </c>
      <c r="M51" s="3">
        <f t="shared" si="0"/>
        <v>90</v>
      </c>
      <c r="N51" s="5">
        <v>3.51</v>
      </c>
      <c r="O51" s="23">
        <f t="shared" si="11"/>
        <v>3.5099999999999997E-3</v>
      </c>
      <c r="P51" s="23">
        <f t="shared" si="12"/>
        <v>6.318E-2</v>
      </c>
      <c r="Q51" s="7">
        <f t="shared" si="13"/>
        <v>6.3180000000000002E-5</v>
      </c>
      <c r="R51" s="23">
        <f t="shared" si="14"/>
        <v>0.22744800000000001</v>
      </c>
      <c r="S51" s="5">
        <v>6.68</v>
      </c>
      <c r="T51" s="5">
        <v>1.44</v>
      </c>
      <c r="U51" s="3">
        <f t="shared" si="15"/>
        <v>14400</v>
      </c>
      <c r="V51" s="8">
        <v>-0.38</v>
      </c>
      <c r="W51" s="8">
        <v>-2.5099999999999998</v>
      </c>
      <c r="X51" s="5">
        <f t="shared" si="16"/>
        <v>2.13</v>
      </c>
      <c r="Y51" s="23">
        <f t="shared" si="17"/>
        <v>0.1067830985915493</v>
      </c>
      <c r="Z51" s="23">
        <f t="shared" si="8"/>
        <v>1537.6766197183099</v>
      </c>
      <c r="AA51" s="11">
        <f t="shared" si="9"/>
        <v>1.6464896371849851</v>
      </c>
      <c r="AB51" s="11">
        <f t="shared" si="10"/>
        <v>23709.450775463785</v>
      </c>
    </row>
    <row r="52" spans="1:28" ht="17.25" customHeight="1" x14ac:dyDescent="0.2">
      <c r="A52" t="s">
        <v>10</v>
      </c>
      <c r="B52" s="20">
        <v>1212</v>
      </c>
      <c r="C52" s="20">
        <v>4</v>
      </c>
      <c r="D52" s="20">
        <v>33</v>
      </c>
      <c r="E52" t="s">
        <v>75</v>
      </c>
      <c r="F52" s="26">
        <v>45128</v>
      </c>
      <c r="G52" t="s">
        <v>76</v>
      </c>
      <c r="H52" s="5">
        <v>32.36</v>
      </c>
      <c r="I52" s="5">
        <v>36.58</v>
      </c>
      <c r="J52" s="5">
        <v>34.64</v>
      </c>
      <c r="K52" s="5">
        <v>3.53</v>
      </c>
      <c r="L52" s="5">
        <v>0.1</v>
      </c>
      <c r="M52" s="3">
        <f t="shared" si="0"/>
        <v>100</v>
      </c>
      <c r="N52" s="5">
        <v>3.41</v>
      </c>
      <c r="O52" s="23">
        <f t="shared" si="11"/>
        <v>3.4100000000000003E-3</v>
      </c>
      <c r="P52" s="23">
        <f t="shared" si="12"/>
        <v>6.1380000000000004E-2</v>
      </c>
      <c r="Q52" s="7">
        <f t="shared" si="13"/>
        <v>6.1379999999999998E-5</v>
      </c>
      <c r="R52" s="23">
        <f t="shared" si="14"/>
        <v>0.220968</v>
      </c>
      <c r="S52" s="5">
        <v>14.08</v>
      </c>
      <c r="T52" s="5">
        <v>4.13</v>
      </c>
      <c r="U52" s="3">
        <f t="shared" si="15"/>
        <v>41300</v>
      </c>
      <c r="V52" s="8">
        <v>-0.43</v>
      </c>
      <c r="W52" s="8">
        <v>-1.73</v>
      </c>
      <c r="X52" s="5">
        <f t="shared" si="16"/>
        <v>1.3</v>
      </c>
      <c r="Y52" s="23">
        <f t="shared" si="17"/>
        <v>0.16997538461538461</v>
      </c>
      <c r="Z52" s="23">
        <f t="shared" si="8"/>
        <v>7019.9833846153842</v>
      </c>
      <c r="AA52" s="11">
        <f t="shared" si="9"/>
        <v>2.6208521108406093</v>
      </c>
      <c r="AB52" s="11">
        <f t="shared" si="10"/>
        <v>108241.19217771717</v>
      </c>
    </row>
    <row r="53" spans="1:28" ht="17.25" customHeight="1" x14ac:dyDescent="0.2">
      <c r="A53" t="s">
        <v>10</v>
      </c>
      <c r="B53" s="20">
        <v>1212</v>
      </c>
      <c r="C53" s="20">
        <v>4</v>
      </c>
      <c r="D53" s="20">
        <v>34</v>
      </c>
      <c r="E53" t="s">
        <v>75</v>
      </c>
      <c r="F53" s="26">
        <v>45127</v>
      </c>
      <c r="G53" t="s">
        <v>76</v>
      </c>
      <c r="H53" s="5">
        <v>20.45</v>
      </c>
      <c r="I53" s="5">
        <v>40.74</v>
      </c>
      <c r="J53" s="5">
        <v>37.909999999999997</v>
      </c>
      <c r="K53" s="5">
        <v>5.0599999999999996</v>
      </c>
      <c r="L53" s="5">
        <v>0.1</v>
      </c>
      <c r="M53" s="3">
        <f t="shared" si="0"/>
        <v>100</v>
      </c>
      <c r="N53" s="5">
        <v>4.53</v>
      </c>
      <c r="O53" s="23">
        <f t="shared" si="11"/>
        <v>4.5300000000000002E-3</v>
      </c>
      <c r="P53" s="23">
        <f t="shared" si="12"/>
        <v>8.1540000000000001E-2</v>
      </c>
      <c r="Q53" s="7">
        <f t="shared" si="13"/>
        <v>8.1539999999999995E-5</v>
      </c>
      <c r="R53" s="23">
        <f t="shared" si="14"/>
        <v>0.29354399999999997</v>
      </c>
      <c r="S53" s="5">
        <v>4.71</v>
      </c>
      <c r="T53" s="5">
        <v>1.38</v>
      </c>
      <c r="U53" s="5">
        <f t="shared" si="15"/>
        <v>13799.999999999998</v>
      </c>
      <c r="V53" s="8">
        <v>-0.44</v>
      </c>
      <c r="W53" s="8">
        <v>-1.88</v>
      </c>
      <c r="X53" s="5">
        <f t="shared" si="16"/>
        <v>1.44</v>
      </c>
      <c r="Y53" s="23">
        <f t="shared" si="17"/>
        <v>0.20384999999999998</v>
      </c>
      <c r="Z53" s="23">
        <f t="shared" si="8"/>
        <v>2813.1299999999992</v>
      </c>
      <c r="AA53" s="11">
        <f t="shared" si="9"/>
        <v>3.1431651353739709</v>
      </c>
      <c r="AB53" s="11">
        <f t="shared" si="10"/>
        <v>43375.678868160794</v>
      </c>
    </row>
    <row r="54" spans="1:28" ht="17.25" customHeight="1" x14ac:dyDescent="0.2">
      <c r="A54" t="s">
        <v>10</v>
      </c>
      <c r="B54" s="20">
        <v>1212</v>
      </c>
      <c r="C54" s="20">
        <v>7</v>
      </c>
      <c r="D54" s="20">
        <v>36</v>
      </c>
      <c r="E54" t="s">
        <v>75</v>
      </c>
      <c r="F54" s="26">
        <v>45128</v>
      </c>
      <c r="G54" t="s">
        <v>76</v>
      </c>
      <c r="H54" s="5">
        <v>36.4</v>
      </c>
      <c r="I54" s="5">
        <v>33.659999999999997</v>
      </c>
      <c r="J54" s="5">
        <v>31.72</v>
      </c>
      <c r="K54" s="5">
        <v>2.78</v>
      </c>
      <c r="L54" s="5">
        <v>0.25</v>
      </c>
      <c r="M54" s="3">
        <f t="shared" si="0"/>
        <v>250</v>
      </c>
      <c r="N54" s="5">
        <v>6.55</v>
      </c>
      <c r="O54" s="23">
        <f t="shared" si="11"/>
        <v>6.5499999999999994E-3</v>
      </c>
      <c r="P54" s="23">
        <f t="shared" si="12"/>
        <v>0.11789999999999999</v>
      </c>
      <c r="Q54" s="7">
        <f t="shared" si="13"/>
        <v>1.1789999999999999E-4</v>
      </c>
      <c r="R54" s="23">
        <f t="shared" si="14"/>
        <v>0.42443999999999998</v>
      </c>
      <c r="S54" s="5">
        <v>6.11</v>
      </c>
      <c r="T54" s="5">
        <v>0.97</v>
      </c>
      <c r="U54" s="3">
        <f t="shared" si="15"/>
        <v>9700</v>
      </c>
      <c r="V54" s="8">
        <v>-0.72</v>
      </c>
      <c r="W54" s="8">
        <v>-2.19</v>
      </c>
      <c r="X54" s="5">
        <f t="shared" si="16"/>
        <v>1.47</v>
      </c>
      <c r="Y54" s="23">
        <f t="shared" si="17"/>
        <v>0.28873469387755102</v>
      </c>
      <c r="Z54" s="23">
        <f t="shared" si="8"/>
        <v>2800.7265306122449</v>
      </c>
      <c r="AA54" s="11">
        <f t="shared" si="9"/>
        <v>4.4520030569967854</v>
      </c>
      <c r="AB54" s="11">
        <f t="shared" si="10"/>
        <v>43184.429652868821</v>
      </c>
    </row>
    <row r="55" spans="1:28" ht="17.25" customHeight="1" x14ac:dyDescent="0.2">
      <c r="A55" t="s">
        <v>10</v>
      </c>
      <c r="B55" s="20">
        <v>1212</v>
      </c>
      <c r="C55" s="20">
        <v>7</v>
      </c>
      <c r="D55" s="20">
        <v>37</v>
      </c>
      <c r="E55" t="s">
        <v>75</v>
      </c>
      <c r="F55" s="26">
        <v>45127</v>
      </c>
      <c r="G55" t="s">
        <v>76</v>
      </c>
      <c r="H55" s="5">
        <v>21.13</v>
      </c>
      <c r="I55" s="5">
        <v>40.51</v>
      </c>
      <c r="J55" s="5">
        <v>36.22</v>
      </c>
      <c r="K55" s="5">
        <v>4.4400000000000004</v>
      </c>
      <c r="L55" s="5">
        <v>0.17</v>
      </c>
      <c r="M55" s="3">
        <f t="shared" si="0"/>
        <v>170</v>
      </c>
      <c r="N55" s="5">
        <v>6.8</v>
      </c>
      <c r="O55" s="23">
        <f t="shared" si="11"/>
        <v>6.7999999999999996E-3</v>
      </c>
      <c r="P55" s="23">
        <f t="shared" si="12"/>
        <v>0.12239999999999999</v>
      </c>
      <c r="Q55" s="7">
        <f t="shared" si="13"/>
        <v>1.2239999999999999E-4</v>
      </c>
      <c r="R55" s="23">
        <f t="shared" si="14"/>
        <v>0.44063999999999998</v>
      </c>
      <c r="S55" s="5">
        <v>3.68</v>
      </c>
      <c r="T55" s="5">
        <v>0.9</v>
      </c>
      <c r="U55" s="3">
        <f t="shared" si="15"/>
        <v>9000</v>
      </c>
      <c r="V55" s="8">
        <v>-0.55000000000000004</v>
      </c>
      <c r="W55" s="8">
        <v>-2.44</v>
      </c>
      <c r="X55" s="5">
        <f t="shared" si="16"/>
        <v>1.89</v>
      </c>
      <c r="Y55" s="23">
        <f t="shared" si="17"/>
        <v>0.23314285714285715</v>
      </c>
      <c r="Z55" s="23">
        <f t="shared" si="8"/>
        <v>2098.2857142857142</v>
      </c>
      <c r="AA55" s="11">
        <f t="shared" si="9"/>
        <v>3.5948319849541477</v>
      </c>
      <c r="AB55" s="11">
        <f t="shared" si="10"/>
        <v>32353.487864587329</v>
      </c>
    </row>
    <row r="56" spans="1:28" ht="17.25" customHeight="1" x14ac:dyDescent="0.2">
      <c r="A56" t="s">
        <v>10</v>
      </c>
      <c r="B56" s="20">
        <v>1212</v>
      </c>
      <c r="C56" s="20">
        <v>7</v>
      </c>
      <c r="D56" s="20">
        <v>83</v>
      </c>
      <c r="E56" t="s">
        <v>75</v>
      </c>
      <c r="F56" s="26">
        <v>45127</v>
      </c>
      <c r="G56" t="s">
        <v>76</v>
      </c>
      <c r="H56" s="5">
        <v>24.34</v>
      </c>
      <c r="I56" s="5">
        <v>38.36</v>
      </c>
      <c r="J56" s="5">
        <v>33.94</v>
      </c>
      <c r="K56" s="5">
        <v>3.66</v>
      </c>
      <c r="L56" s="5">
        <v>0.2</v>
      </c>
      <c r="M56" s="3">
        <f t="shared" si="0"/>
        <v>200</v>
      </c>
      <c r="N56" s="5">
        <v>6.87</v>
      </c>
      <c r="O56" s="23">
        <f t="shared" si="11"/>
        <v>6.8700000000000002E-3</v>
      </c>
      <c r="P56" s="23">
        <f t="shared" si="12"/>
        <v>0.12366000000000001</v>
      </c>
      <c r="Q56" s="7">
        <f t="shared" si="13"/>
        <v>1.2366000000000002E-4</v>
      </c>
      <c r="R56" s="23">
        <f t="shared" si="14"/>
        <v>0.44517600000000007</v>
      </c>
      <c r="S56" s="5">
        <v>7.91</v>
      </c>
      <c r="T56" s="5">
        <v>2.14</v>
      </c>
      <c r="U56" s="3">
        <f t="shared" si="15"/>
        <v>21400</v>
      </c>
      <c r="V56" s="8">
        <v>-0.28999999999999998</v>
      </c>
      <c r="W56" s="8">
        <v>-2.44</v>
      </c>
      <c r="X56" s="5">
        <f t="shared" si="16"/>
        <v>2.15</v>
      </c>
      <c r="Y56" s="23">
        <f t="shared" si="17"/>
        <v>0.20705860465116283</v>
      </c>
      <c r="Z56" s="23">
        <f t="shared" si="8"/>
        <v>4431.0541395348846</v>
      </c>
      <c r="AA56" s="11">
        <f t="shared" si="9"/>
        <v>3.1926386417400923</v>
      </c>
      <c r="AB56" s="11">
        <f t="shared" si="10"/>
        <v>68322.466933237971</v>
      </c>
    </row>
    <row r="57" spans="1:28" ht="17.25" customHeight="1" x14ac:dyDescent="0.2">
      <c r="A57" t="s">
        <v>10</v>
      </c>
      <c r="B57" s="20">
        <v>1212</v>
      </c>
      <c r="C57" s="20">
        <v>8</v>
      </c>
      <c r="D57" s="20">
        <v>38</v>
      </c>
      <c r="E57" t="s">
        <v>75</v>
      </c>
      <c r="F57" s="26">
        <v>45127</v>
      </c>
      <c r="G57" t="s">
        <v>76</v>
      </c>
      <c r="H57" s="5">
        <v>24.21</v>
      </c>
      <c r="I57" s="5">
        <v>37.57</v>
      </c>
      <c r="J57" s="5">
        <v>32.75</v>
      </c>
      <c r="K57" s="5">
        <v>3.4</v>
      </c>
      <c r="L57" s="5">
        <v>0.27</v>
      </c>
      <c r="M57" s="3">
        <f t="shared" si="0"/>
        <v>270</v>
      </c>
      <c r="N57" s="5">
        <v>8.61</v>
      </c>
      <c r="O57" s="23">
        <f t="shared" si="11"/>
        <v>8.6099999999999996E-3</v>
      </c>
      <c r="P57" s="23">
        <f t="shared" si="12"/>
        <v>0.15498000000000001</v>
      </c>
      <c r="Q57" s="7">
        <f t="shared" si="13"/>
        <v>1.5498000000000001E-4</v>
      </c>
      <c r="R57" s="23">
        <f t="shared" si="14"/>
        <v>0.55792800000000009</v>
      </c>
      <c r="S57" s="5">
        <v>13.38</v>
      </c>
      <c r="T57" s="5">
        <v>3.28</v>
      </c>
      <c r="U57" s="3">
        <f t="shared" si="15"/>
        <v>32800</v>
      </c>
      <c r="V57" s="8">
        <v>-0.3</v>
      </c>
      <c r="W57" s="8">
        <v>-2.2599999999999998</v>
      </c>
      <c r="X57" s="5">
        <f t="shared" si="16"/>
        <v>1.9599999999999997</v>
      </c>
      <c r="Y57" s="23">
        <f t="shared" si="17"/>
        <v>0.28465714285714294</v>
      </c>
      <c r="Z57" s="23">
        <f t="shared" si="8"/>
        <v>9336.7542857142889</v>
      </c>
      <c r="AA57" s="11">
        <f t="shared" si="9"/>
        <v>4.3891312581002682</v>
      </c>
      <c r="AB57" s="11">
        <f t="shared" si="10"/>
        <v>143963.50526568879</v>
      </c>
    </row>
    <row r="58" spans="1:28" ht="17.25" customHeight="1" x14ac:dyDescent="0.2">
      <c r="A58" t="s">
        <v>10</v>
      </c>
      <c r="B58" s="20">
        <v>1212</v>
      </c>
      <c r="C58" s="20">
        <v>8</v>
      </c>
      <c r="D58" s="20">
        <v>39</v>
      </c>
      <c r="E58" t="s">
        <v>75</v>
      </c>
      <c r="F58" s="26">
        <v>45128</v>
      </c>
      <c r="G58" t="s">
        <v>76</v>
      </c>
      <c r="H58" s="5">
        <v>31.73</v>
      </c>
      <c r="I58" s="5">
        <v>37.18</v>
      </c>
      <c r="J58" s="5">
        <v>34.950000000000003</v>
      </c>
      <c r="K58" s="5">
        <v>3.6</v>
      </c>
      <c r="L58" s="5">
        <v>0.18</v>
      </c>
      <c r="M58" s="3">
        <f t="shared" si="0"/>
        <v>180</v>
      </c>
      <c r="N58" s="5">
        <v>5.94</v>
      </c>
      <c r="O58" s="23">
        <f t="shared" si="11"/>
        <v>5.94E-3</v>
      </c>
      <c r="P58" s="23">
        <f t="shared" si="12"/>
        <v>0.10692</v>
      </c>
      <c r="Q58" s="7">
        <f t="shared" si="13"/>
        <v>1.0692E-4</v>
      </c>
      <c r="R58" s="23">
        <f t="shared" si="14"/>
        <v>0.38491199999999998</v>
      </c>
      <c r="S58" s="5">
        <v>3.71</v>
      </c>
      <c r="T58" s="5">
        <v>1.36</v>
      </c>
      <c r="U58" s="5">
        <f t="shared" si="15"/>
        <v>13600.000000000002</v>
      </c>
      <c r="V58" s="8">
        <v>-0.4</v>
      </c>
      <c r="W58" s="8">
        <v>-2.67</v>
      </c>
      <c r="X58" s="5">
        <f t="shared" si="16"/>
        <v>2.27</v>
      </c>
      <c r="Y58" s="23">
        <f t="shared" si="17"/>
        <v>0.16956475770925108</v>
      </c>
      <c r="Z58" s="23">
        <f t="shared" si="8"/>
        <v>2306.080704845815</v>
      </c>
      <c r="AA58" s="11">
        <f t="shared" si="9"/>
        <v>2.6145206505756828</v>
      </c>
      <c r="AB58" s="11">
        <f t="shared" si="10"/>
        <v>35557.480847829291</v>
      </c>
    </row>
    <row r="59" spans="1:28" ht="17.25" customHeight="1" x14ac:dyDescent="0.2">
      <c r="A59" t="s">
        <v>10</v>
      </c>
      <c r="B59" s="20">
        <v>1212</v>
      </c>
      <c r="C59" s="20">
        <v>8</v>
      </c>
      <c r="D59" s="20">
        <v>40</v>
      </c>
      <c r="E59" t="s">
        <v>75</v>
      </c>
      <c r="F59" s="26">
        <v>45128</v>
      </c>
      <c r="G59" t="s">
        <v>76</v>
      </c>
      <c r="H59" s="5">
        <v>33.86</v>
      </c>
      <c r="I59" s="5">
        <v>35.9</v>
      </c>
      <c r="J59" s="5">
        <v>33.840000000000003</v>
      </c>
      <c r="K59" s="5">
        <v>3.27</v>
      </c>
      <c r="L59" s="5">
        <v>0.12</v>
      </c>
      <c r="M59" s="3">
        <f t="shared" si="0"/>
        <v>120</v>
      </c>
      <c r="N59" s="5">
        <v>3.66</v>
      </c>
      <c r="O59" s="23">
        <f t="shared" si="11"/>
        <v>3.6600000000000001E-3</v>
      </c>
      <c r="P59" s="23">
        <f t="shared" si="12"/>
        <v>6.5879999999999994E-2</v>
      </c>
      <c r="Q59" s="7">
        <f t="shared" si="13"/>
        <v>6.5879999999999999E-5</v>
      </c>
      <c r="R59" s="23">
        <f t="shared" si="14"/>
        <v>0.23716799999999999</v>
      </c>
      <c r="S59" s="5">
        <v>4.62</v>
      </c>
      <c r="T59" s="5">
        <v>1.66</v>
      </c>
      <c r="U59" s="3">
        <f t="shared" si="15"/>
        <v>16600</v>
      </c>
      <c r="V59" s="8">
        <v>-0.86</v>
      </c>
      <c r="W59" s="8">
        <v>-2.69</v>
      </c>
      <c r="X59" s="5">
        <f t="shared" si="16"/>
        <v>1.83</v>
      </c>
      <c r="Y59" s="23">
        <f t="shared" si="17"/>
        <v>0.12959999999999999</v>
      </c>
      <c r="Z59" s="23">
        <f t="shared" si="8"/>
        <v>2151.3599999999997</v>
      </c>
      <c r="AA59" s="11">
        <f t="shared" si="9"/>
        <v>1.9983036622245116</v>
      </c>
      <c r="AB59" s="11">
        <f t="shared" si="10"/>
        <v>33171.840792926894</v>
      </c>
    </row>
    <row r="60" spans="1:28" ht="17.25" customHeight="1" x14ac:dyDescent="0.2">
      <c r="A60" t="s">
        <v>10</v>
      </c>
      <c r="B60" s="20">
        <v>1212</v>
      </c>
      <c r="C60" s="20">
        <v>10</v>
      </c>
      <c r="D60" s="20">
        <v>21</v>
      </c>
      <c r="E60" t="s">
        <v>75</v>
      </c>
      <c r="F60" s="26">
        <v>45127</v>
      </c>
      <c r="G60" t="s">
        <v>76</v>
      </c>
      <c r="H60" s="5">
        <v>20.88</v>
      </c>
      <c r="I60" s="5">
        <v>40.44</v>
      </c>
      <c r="J60" s="5">
        <v>35.409999999999997</v>
      </c>
      <c r="K60" s="5">
        <v>4.18</v>
      </c>
      <c r="L60" s="5">
        <v>0.28000000000000003</v>
      </c>
      <c r="M60" s="3">
        <f t="shared" si="0"/>
        <v>280</v>
      </c>
      <c r="N60" s="5">
        <v>10.91</v>
      </c>
      <c r="O60" s="23">
        <f t="shared" si="11"/>
        <v>1.091E-2</v>
      </c>
      <c r="P60" s="23">
        <f t="shared" si="12"/>
        <v>0.19638</v>
      </c>
      <c r="Q60" s="7">
        <f t="shared" si="13"/>
        <v>1.9637999999999999E-4</v>
      </c>
      <c r="R60" s="23">
        <f t="shared" si="14"/>
        <v>0.70696799999999993</v>
      </c>
      <c r="S60" s="5">
        <v>4.78</v>
      </c>
      <c r="T60" s="5">
        <v>1.38</v>
      </c>
      <c r="U60" s="5">
        <f t="shared" si="15"/>
        <v>13799.999999999998</v>
      </c>
      <c r="V60" s="8">
        <v>-0.41</v>
      </c>
      <c r="W60" s="8">
        <v>-2.04</v>
      </c>
      <c r="X60" s="5">
        <f t="shared" si="16"/>
        <v>1.6300000000000001</v>
      </c>
      <c r="Y60" s="23">
        <f t="shared" si="17"/>
        <v>0.43372269938650299</v>
      </c>
      <c r="Z60" s="23">
        <f t="shared" si="8"/>
        <v>5985.3732515337406</v>
      </c>
      <c r="AA60" s="11">
        <f t="shared" si="9"/>
        <v>6.6875745260335639</v>
      </c>
      <c r="AB60" s="11">
        <f t="shared" si="10"/>
        <v>92288.528459263165</v>
      </c>
    </row>
    <row r="61" spans="1:28" ht="17.25" customHeight="1" x14ac:dyDescent="0.2">
      <c r="A61" t="s">
        <v>10</v>
      </c>
      <c r="B61" s="20">
        <v>1212</v>
      </c>
      <c r="C61" s="20">
        <v>10</v>
      </c>
      <c r="D61" s="20">
        <v>41</v>
      </c>
      <c r="E61" t="s">
        <v>75</v>
      </c>
      <c r="F61" s="26">
        <v>45128</v>
      </c>
      <c r="G61" t="s">
        <v>76</v>
      </c>
      <c r="H61" s="5">
        <v>31.87</v>
      </c>
      <c r="I61" s="5">
        <v>36.75</v>
      </c>
      <c r="J61" s="5">
        <v>33.590000000000003</v>
      </c>
      <c r="K61" s="5">
        <v>3.23</v>
      </c>
      <c r="L61" s="5">
        <v>0.27</v>
      </c>
      <c r="M61" s="3">
        <f t="shared" si="0"/>
        <v>270</v>
      </c>
      <c r="N61" s="5">
        <v>8.1199999999999992</v>
      </c>
      <c r="O61" s="23">
        <f t="shared" si="11"/>
        <v>8.1199999999999987E-3</v>
      </c>
      <c r="P61" s="23">
        <f t="shared" si="12"/>
        <v>0.14615999999999998</v>
      </c>
      <c r="Q61" s="7">
        <f t="shared" si="13"/>
        <v>1.4616E-4</v>
      </c>
      <c r="R61" s="23">
        <f t="shared" si="14"/>
        <v>0.52617599999999998</v>
      </c>
      <c r="S61" s="5">
        <v>15.53</v>
      </c>
      <c r="T61" s="5">
        <v>3.35</v>
      </c>
      <c r="U61" s="3">
        <f t="shared" si="15"/>
        <v>33500</v>
      </c>
      <c r="V61" s="8">
        <v>-0.7</v>
      </c>
      <c r="W61" s="8">
        <v>-2.2200000000000002</v>
      </c>
      <c r="X61" s="5">
        <f t="shared" si="16"/>
        <v>1.5200000000000002</v>
      </c>
      <c r="Y61" s="23">
        <f t="shared" si="17"/>
        <v>0.34616842105263151</v>
      </c>
      <c r="Z61" s="23">
        <f t="shared" si="8"/>
        <v>11596.642105263156</v>
      </c>
      <c r="AA61" s="11">
        <f t="shared" si="9"/>
        <v>5.3375742556786285</v>
      </c>
      <c r="AB61" s="11">
        <f t="shared" si="10"/>
        <v>178808.73756523404</v>
      </c>
    </row>
    <row r="62" spans="1:28" ht="17.25" customHeight="1" x14ac:dyDescent="0.2">
      <c r="A62" t="s">
        <v>10</v>
      </c>
      <c r="B62" s="20">
        <v>1212</v>
      </c>
      <c r="C62" s="20">
        <v>10</v>
      </c>
      <c r="D62" s="20">
        <v>42</v>
      </c>
      <c r="E62" t="s">
        <v>75</v>
      </c>
      <c r="F62" s="26">
        <v>45128</v>
      </c>
      <c r="G62" t="s">
        <v>76</v>
      </c>
      <c r="H62" s="5">
        <v>32.53</v>
      </c>
      <c r="I62" s="5">
        <v>36.659999999999997</v>
      </c>
      <c r="J62" s="5">
        <v>32.9</v>
      </c>
      <c r="K62" s="3">
        <v>3</v>
      </c>
      <c r="L62" s="5">
        <v>0.27</v>
      </c>
      <c r="M62" s="3">
        <f t="shared" si="0"/>
        <v>270</v>
      </c>
      <c r="N62" s="5">
        <v>7.7</v>
      </c>
      <c r="O62" s="23">
        <f t="shared" si="11"/>
        <v>7.7000000000000002E-3</v>
      </c>
      <c r="P62" s="23">
        <f t="shared" si="12"/>
        <v>0.1386</v>
      </c>
      <c r="Q62" s="7">
        <f t="shared" si="13"/>
        <v>1.3860000000000001E-4</v>
      </c>
      <c r="R62" s="23">
        <f t="shared" si="14"/>
        <v>0.49896000000000001</v>
      </c>
      <c r="S62" s="5">
        <v>14.52</v>
      </c>
      <c r="T62" s="5">
        <v>3.06</v>
      </c>
      <c r="U62" s="3">
        <f t="shared" si="15"/>
        <v>30600</v>
      </c>
      <c r="V62" s="8">
        <v>-0.59</v>
      </c>
      <c r="W62" s="8">
        <v>-2.29</v>
      </c>
      <c r="X62" s="5">
        <f t="shared" si="16"/>
        <v>1.7000000000000002</v>
      </c>
      <c r="Y62" s="23">
        <f t="shared" si="17"/>
        <v>0.29350588235294117</v>
      </c>
      <c r="Z62" s="23">
        <f t="shared" si="8"/>
        <v>8981.2800000000007</v>
      </c>
      <c r="AA62" s="11">
        <f t="shared" si="9"/>
        <v>4.5255700585672756</v>
      </c>
      <c r="AB62" s="11">
        <f t="shared" si="10"/>
        <v>138482.44379215862</v>
      </c>
    </row>
    <row r="63" spans="1:28" ht="17.25" customHeight="1" x14ac:dyDescent="0.2">
      <c r="A63" t="s">
        <v>7</v>
      </c>
      <c r="B63" s="20">
        <v>72</v>
      </c>
      <c r="C63" s="20">
        <v>156</v>
      </c>
      <c r="D63" s="20">
        <v>43</v>
      </c>
      <c r="E63" t="s">
        <v>77</v>
      </c>
      <c r="F63" s="26">
        <v>45127</v>
      </c>
      <c r="G63" t="s">
        <v>76</v>
      </c>
      <c r="H63" s="5">
        <v>11.27</v>
      </c>
      <c r="I63" s="5">
        <v>47.71</v>
      </c>
      <c r="J63" s="5">
        <v>42.05</v>
      </c>
      <c r="K63" s="5">
        <v>6.99</v>
      </c>
      <c r="L63" s="5">
        <v>0.14000000000000001</v>
      </c>
      <c r="M63" s="3">
        <f t="shared" si="0"/>
        <v>140</v>
      </c>
      <c r="N63" s="5">
        <v>8.93</v>
      </c>
      <c r="O63" s="23">
        <f t="shared" si="11"/>
        <v>8.9300000000000004E-3</v>
      </c>
      <c r="P63" s="23">
        <f t="shared" si="12"/>
        <v>0.16073999999999999</v>
      </c>
      <c r="Q63" s="7">
        <f t="shared" si="13"/>
        <v>1.6073999999999998E-4</v>
      </c>
      <c r="R63" s="23">
        <f t="shared" si="14"/>
        <v>0.57866399999999996</v>
      </c>
      <c r="S63" s="5">
        <v>18.53</v>
      </c>
      <c r="T63" s="5">
        <v>3.87</v>
      </c>
      <c r="U63" s="3">
        <f t="shared" si="15"/>
        <v>38700</v>
      </c>
      <c r="V63" s="8">
        <v>-0.41</v>
      </c>
      <c r="W63" s="8">
        <v>-2.5299999999999998</v>
      </c>
      <c r="X63" s="5">
        <f t="shared" si="16"/>
        <v>2.1199999999999997</v>
      </c>
      <c r="Y63" s="23">
        <f t="shared" si="17"/>
        <v>0.27295471698113211</v>
      </c>
      <c r="Z63" s="23">
        <f t="shared" si="8"/>
        <v>10563.347547169813</v>
      </c>
      <c r="AA63" s="11">
        <f t="shared" si="9"/>
        <v>4.2086914395436059</v>
      </c>
      <c r="AB63" s="11">
        <f t="shared" si="10"/>
        <v>162876.35871033755</v>
      </c>
    </row>
    <row r="64" spans="1:28" ht="17.25" customHeight="1" x14ac:dyDescent="0.2">
      <c r="A64" t="s">
        <v>7</v>
      </c>
      <c r="B64" s="20">
        <v>72</v>
      </c>
      <c r="C64" s="20">
        <v>156</v>
      </c>
      <c r="D64" s="20">
        <v>44</v>
      </c>
      <c r="E64" t="s">
        <v>77</v>
      </c>
      <c r="F64" s="26">
        <v>45128</v>
      </c>
      <c r="G64" t="s">
        <v>76</v>
      </c>
      <c r="H64" s="5">
        <v>12.89</v>
      </c>
      <c r="I64" s="5">
        <v>47.09</v>
      </c>
      <c r="J64" s="5">
        <v>42.07</v>
      </c>
      <c r="K64" s="5">
        <v>6.87</v>
      </c>
      <c r="L64" s="5">
        <v>0.12</v>
      </c>
      <c r="M64" s="3">
        <f t="shared" si="0"/>
        <v>120</v>
      </c>
      <c r="N64" s="5">
        <v>7.34</v>
      </c>
      <c r="O64" s="23">
        <f t="shared" si="11"/>
        <v>7.3400000000000002E-3</v>
      </c>
      <c r="P64" s="23">
        <f t="shared" si="12"/>
        <v>0.13212000000000002</v>
      </c>
      <c r="Q64" s="7">
        <f t="shared" si="13"/>
        <v>1.3212E-4</v>
      </c>
      <c r="R64" s="23">
        <f t="shared" si="14"/>
        <v>0.475632</v>
      </c>
      <c r="S64" s="5">
        <v>5.08</v>
      </c>
      <c r="T64" s="5">
        <v>1.59</v>
      </c>
      <c r="U64" s="3">
        <f t="shared" si="15"/>
        <v>15900</v>
      </c>
      <c r="V64" s="8">
        <v>-0.57999999999999996</v>
      </c>
      <c r="W64" s="8">
        <v>-2.34</v>
      </c>
      <c r="X64" s="5">
        <f t="shared" si="16"/>
        <v>1.7599999999999998</v>
      </c>
      <c r="Y64" s="23">
        <f t="shared" si="17"/>
        <v>0.27024545454545457</v>
      </c>
      <c r="Z64" s="23">
        <f t="shared" si="8"/>
        <v>4296.902727272728</v>
      </c>
      <c r="AA64" s="11">
        <f t="shared" si="9"/>
        <v>4.1669172956613396</v>
      </c>
      <c r="AB64" s="11">
        <f t="shared" si="10"/>
        <v>66253.985001015302</v>
      </c>
    </row>
    <row r="65" spans="1:28" ht="17.25" customHeight="1" x14ac:dyDescent="0.2">
      <c r="A65" t="s">
        <v>7</v>
      </c>
      <c r="B65" s="20">
        <v>72</v>
      </c>
      <c r="C65" s="20">
        <v>156</v>
      </c>
      <c r="D65" s="20">
        <v>45</v>
      </c>
      <c r="E65" t="s">
        <v>77</v>
      </c>
      <c r="F65" s="26">
        <v>45127</v>
      </c>
      <c r="G65" t="s">
        <v>76</v>
      </c>
      <c r="H65" s="5">
        <v>11.27</v>
      </c>
      <c r="I65" s="5">
        <v>47.5</v>
      </c>
      <c r="J65" s="5">
        <v>40.46</v>
      </c>
      <c r="K65" s="5">
        <v>6.34</v>
      </c>
      <c r="L65" s="5">
        <v>0.18</v>
      </c>
      <c r="M65" s="3">
        <f t="shared" si="0"/>
        <v>180</v>
      </c>
      <c r="N65" s="5">
        <v>10.35</v>
      </c>
      <c r="O65" s="23">
        <f t="shared" si="11"/>
        <v>1.035E-2</v>
      </c>
      <c r="P65" s="23">
        <f t="shared" si="12"/>
        <v>0.18629999999999999</v>
      </c>
      <c r="Q65" s="7">
        <f t="shared" si="13"/>
        <v>1.863E-4</v>
      </c>
      <c r="R65" s="23">
        <f t="shared" si="14"/>
        <v>0.67068000000000005</v>
      </c>
      <c r="S65" s="5">
        <v>13.38</v>
      </c>
      <c r="T65" s="5">
        <v>3.64</v>
      </c>
      <c r="U65" s="3">
        <f t="shared" si="15"/>
        <v>36400</v>
      </c>
      <c r="V65" s="8">
        <v>-0.49</v>
      </c>
      <c r="W65" s="8">
        <v>-1.96</v>
      </c>
      <c r="X65" s="5">
        <f t="shared" si="16"/>
        <v>1.47</v>
      </c>
      <c r="Y65" s="23">
        <f t="shared" si="17"/>
        <v>0.45624489795918372</v>
      </c>
      <c r="Z65" s="23">
        <f t="shared" si="8"/>
        <v>16607.314285714288</v>
      </c>
      <c r="AA65" s="11">
        <f t="shared" si="9"/>
        <v>7.0348445251781282</v>
      </c>
      <c r="AB65" s="11">
        <f t="shared" si="10"/>
        <v>256068.34071648386</v>
      </c>
    </row>
    <row r="66" spans="1:28" ht="17.25" customHeight="1" x14ac:dyDescent="0.2">
      <c r="A66" t="s">
        <v>7</v>
      </c>
      <c r="B66" s="20">
        <v>72</v>
      </c>
      <c r="C66" s="20">
        <v>149</v>
      </c>
      <c r="D66" s="20">
        <v>46</v>
      </c>
      <c r="E66" t="s">
        <v>77</v>
      </c>
      <c r="F66" s="26">
        <v>45127</v>
      </c>
      <c r="G66" t="s">
        <v>76</v>
      </c>
      <c r="H66" s="5">
        <v>10.66</v>
      </c>
      <c r="I66" s="5">
        <v>48.07</v>
      </c>
      <c r="J66" s="5">
        <v>41.51</v>
      </c>
      <c r="K66" s="5">
        <v>6.8</v>
      </c>
      <c r="L66" s="5">
        <v>0.16</v>
      </c>
      <c r="M66" s="3">
        <f t="shared" si="0"/>
        <v>160</v>
      </c>
      <c r="N66" s="5">
        <v>9.94</v>
      </c>
      <c r="O66" s="23">
        <f t="shared" si="11"/>
        <v>9.9399999999999992E-3</v>
      </c>
      <c r="P66" s="23">
        <f t="shared" si="12"/>
        <v>0.17892</v>
      </c>
      <c r="Q66" s="7">
        <f t="shared" si="13"/>
        <v>1.7892E-4</v>
      </c>
      <c r="R66" s="23">
        <f t="shared" si="14"/>
        <v>0.64411200000000002</v>
      </c>
      <c r="S66" s="5">
        <v>10.99</v>
      </c>
      <c r="T66" s="5">
        <v>2.0499999999999998</v>
      </c>
      <c r="U66" s="3">
        <f t="shared" si="15"/>
        <v>20500</v>
      </c>
      <c r="V66" s="8">
        <v>-0.5</v>
      </c>
      <c r="W66" s="8">
        <v>-2.96</v>
      </c>
      <c r="X66" s="5">
        <f t="shared" si="16"/>
        <v>2.46</v>
      </c>
      <c r="Y66" s="23">
        <f t="shared" si="17"/>
        <v>0.2618341463414634</v>
      </c>
      <c r="Z66" s="23">
        <f t="shared" si="8"/>
        <v>5367.5999999999995</v>
      </c>
      <c r="AA66" s="11">
        <f t="shared" si="9"/>
        <v>4.0372232525430176</v>
      </c>
      <c r="AB66" s="11">
        <f t="shared" si="10"/>
        <v>82763.076677131859</v>
      </c>
    </row>
    <row r="67" spans="1:28" ht="17.25" customHeight="1" x14ac:dyDescent="0.2">
      <c r="A67" t="s">
        <v>7</v>
      </c>
      <c r="B67" s="20">
        <v>72</v>
      </c>
      <c r="C67" s="20">
        <v>149</v>
      </c>
      <c r="D67" s="20">
        <v>47</v>
      </c>
      <c r="E67" t="s">
        <v>77</v>
      </c>
      <c r="F67" s="26">
        <v>45128</v>
      </c>
      <c r="G67" t="s">
        <v>76</v>
      </c>
      <c r="H67" s="5">
        <v>18.489999999999998</v>
      </c>
      <c r="I67" s="5">
        <v>43.85</v>
      </c>
      <c r="J67" s="5">
        <v>38.880000000000003</v>
      </c>
      <c r="K67" s="5">
        <v>5.28</v>
      </c>
      <c r="L67" s="5">
        <v>0.23</v>
      </c>
      <c r="M67" s="3">
        <f t="shared" ref="M67:M130" si="18">L67*1000</f>
        <v>230</v>
      </c>
      <c r="N67" s="5">
        <v>11.13</v>
      </c>
      <c r="O67" s="23">
        <f t="shared" ref="O67:O98" si="19">N67/1000</f>
        <v>1.1130000000000001E-2</v>
      </c>
      <c r="P67" s="23">
        <f t="shared" ref="P67:P98" si="20">O67*18</f>
        <v>0.20034000000000002</v>
      </c>
      <c r="Q67" s="7">
        <f t="shared" ref="Q67:Q98" si="21">P67/1000</f>
        <v>2.0034000000000002E-4</v>
      </c>
      <c r="R67" s="23">
        <f t="shared" ref="R67:R98" si="22">Q67*3600</f>
        <v>0.72122400000000009</v>
      </c>
      <c r="S67" s="5">
        <v>10.98</v>
      </c>
      <c r="T67" s="5">
        <v>2.5099999999999998</v>
      </c>
      <c r="U67" s="5">
        <f t="shared" ref="U67:U98" si="23">T67*10000</f>
        <v>25099.999999999996</v>
      </c>
      <c r="V67" s="8">
        <v>-0.57999999999999996</v>
      </c>
      <c r="W67" s="8">
        <v>-2.41</v>
      </c>
      <c r="X67" s="5">
        <f t="shared" ref="X67:X98" si="24">V67-W67</f>
        <v>1.83</v>
      </c>
      <c r="Y67" s="23">
        <f t="shared" ref="Y67:Y98" si="25">R67/X67</f>
        <v>0.3941114754098361</v>
      </c>
      <c r="Z67" s="23">
        <f t="shared" ref="Z67:Z130" si="26">Y67*U67</f>
        <v>9892.1980327868841</v>
      </c>
      <c r="AA67" s="11">
        <f t="shared" ref="AA67:AA130" si="27">Y67 * 1000 * 1000 / 18.01528 / 3600</f>
        <v>6.0768086777483097</v>
      </c>
      <c r="AB67" s="11">
        <f t="shared" ref="AB67:AB130" si="28">AA67*U67</f>
        <v>152527.89781148254</v>
      </c>
    </row>
    <row r="68" spans="1:28" ht="17.25" customHeight="1" x14ac:dyDescent="0.2">
      <c r="A68" t="s">
        <v>7</v>
      </c>
      <c r="B68" s="20">
        <v>72</v>
      </c>
      <c r="C68" s="20">
        <v>149</v>
      </c>
      <c r="D68" s="20">
        <v>48</v>
      </c>
      <c r="E68" t="s">
        <v>77</v>
      </c>
      <c r="F68" s="26">
        <v>45128</v>
      </c>
      <c r="G68" t="s">
        <v>76</v>
      </c>
      <c r="H68" s="5">
        <v>14.16</v>
      </c>
      <c r="I68" s="5">
        <v>46.7</v>
      </c>
      <c r="J68" s="5">
        <v>40.99</v>
      </c>
      <c r="K68" s="5">
        <v>6.3</v>
      </c>
      <c r="L68" s="5">
        <v>0.12</v>
      </c>
      <c r="M68" s="3">
        <f t="shared" si="18"/>
        <v>120</v>
      </c>
      <c r="N68" s="5">
        <v>7.32</v>
      </c>
      <c r="O68" s="23">
        <f t="shared" si="19"/>
        <v>7.3200000000000001E-3</v>
      </c>
      <c r="P68" s="23">
        <f t="shared" si="20"/>
        <v>0.13175999999999999</v>
      </c>
      <c r="Q68" s="7">
        <f t="shared" si="21"/>
        <v>1.3176E-4</v>
      </c>
      <c r="R68" s="23">
        <f t="shared" si="22"/>
        <v>0.47433599999999998</v>
      </c>
      <c r="S68" s="5">
        <v>17.25</v>
      </c>
      <c r="T68" s="5">
        <v>2.85</v>
      </c>
      <c r="U68" s="3">
        <f t="shared" si="23"/>
        <v>28500</v>
      </c>
      <c r="V68" s="8">
        <v>-0.81</v>
      </c>
      <c r="W68" s="8">
        <v>-2.7</v>
      </c>
      <c r="X68" s="5">
        <f t="shared" si="24"/>
        <v>1.8900000000000001</v>
      </c>
      <c r="Y68" s="23">
        <f t="shared" si="25"/>
        <v>0.25097142857142857</v>
      </c>
      <c r="Z68" s="23">
        <f t="shared" si="26"/>
        <v>7152.6857142857143</v>
      </c>
      <c r="AA68" s="11">
        <f t="shared" si="27"/>
        <v>3.8697309014506409</v>
      </c>
      <c r="AB68" s="11">
        <f t="shared" si="28"/>
        <v>110287.33069134326</v>
      </c>
    </row>
    <row r="69" spans="1:28" ht="17.25" customHeight="1" x14ac:dyDescent="0.2">
      <c r="A69" t="s">
        <v>7</v>
      </c>
      <c r="B69" s="20">
        <v>72</v>
      </c>
      <c r="C69" s="20">
        <v>152</v>
      </c>
      <c r="D69" s="20">
        <v>49</v>
      </c>
      <c r="E69" t="s">
        <v>77</v>
      </c>
      <c r="F69" s="26">
        <v>45128</v>
      </c>
      <c r="G69" t="s">
        <v>76</v>
      </c>
      <c r="H69" s="5">
        <v>13.73</v>
      </c>
      <c r="I69" s="5">
        <v>43.59</v>
      </c>
      <c r="J69" s="3">
        <v>37</v>
      </c>
      <c r="K69" s="5">
        <v>5.0599999999999996</v>
      </c>
      <c r="L69" s="5">
        <v>0.34</v>
      </c>
      <c r="M69" s="3">
        <f t="shared" si="18"/>
        <v>340</v>
      </c>
      <c r="N69" s="5">
        <v>16.12</v>
      </c>
      <c r="O69" s="23">
        <f t="shared" si="19"/>
        <v>1.6120000000000002E-2</v>
      </c>
      <c r="P69" s="23">
        <f t="shared" si="20"/>
        <v>0.29016000000000003</v>
      </c>
      <c r="Q69" s="7">
        <f t="shared" si="21"/>
        <v>2.9016000000000003E-4</v>
      </c>
      <c r="R69" s="23">
        <f t="shared" si="22"/>
        <v>1.0445760000000002</v>
      </c>
      <c r="S69" s="5">
        <v>16.68</v>
      </c>
      <c r="T69" s="5">
        <v>2.78</v>
      </c>
      <c r="U69" s="5">
        <f t="shared" si="23"/>
        <v>27799.999999999996</v>
      </c>
      <c r="V69" s="8">
        <v>-0.61</v>
      </c>
      <c r="W69" s="8">
        <v>-2.57</v>
      </c>
      <c r="X69" s="5">
        <f t="shared" si="24"/>
        <v>1.96</v>
      </c>
      <c r="Y69" s="23">
        <f t="shared" si="25"/>
        <v>0.53294693877551025</v>
      </c>
      <c r="Z69" s="23">
        <f t="shared" si="26"/>
        <v>14815.924897959183</v>
      </c>
      <c r="AA69" s="11">
        <f t="shared" si="27"/>
        <v>8.2175140395559012</v>
      </c>
      <c r="AB69" s="11">
        <f t="shared" si="28"/>
        <v>228446.89029965401</v>
      </c>
    </row>
    <row r="70" spans="1:28" ht="17.25" customHeight="1" x14ac:dyDescent="0.2">
      <c r="A70" t="s">
        <v>7</v>
      </c>
      <c r="B70" s="20">
        <v>72</v>
      </c>
      <c r="C70" s="20">
        <v>152</v>
      </c>
      <c r="D70" s="20">
        <v>50</v>
      </c>
      <c r="E70" t="s">
        <v>77</v>
      </c>
      <c r="F70" s="26">
        <v>45128</v>
      </c>
      <c r="G70" t="s">
        <v>76</v>
      </c>
      <c r="H70" s="5">
        <v>15.2</v>
      </c>
      <c r="I70" s="5">
        <v>46.26</v>
      </c>
      <c r="J70" s="5">
        <v>39.770000000000003</v>
      </c>
      <c r="K70" s="5">
        <v>5.74</v>
      </c>
      <c r="L70" s="5">
        <v>0.19</v>
      </c>
      <c r="M70" s="3">
        <f t="shared" si="18"/>
        <v>190</v>
      </c>
      <c r="N70" s="5">
        <v>10.24</v>
      </c>
      <c r="O70" s="23">
        <f t="shared" si="19"/>
        <v>1.0240000000000001E-2</v>
      </c>
      <c r="P70" s="23">
        <f t="shared" si="20"/>
        <v>0.18432000000000001</v>
      </c>
      <c r="Q70" s="7">
        <f t="shared" si="21"/>
        <v>1.8432000000000002E-4</v>
      </c>
      <c r="R70" s="23">
        <f t="shared" si="22"/>
        <v>0.66355200000000014</v>
      </c>
      <c r="S70" s="5">
        <v>29.47</v>
      </c>
      <c r="T70" s="5">
        <v>3.96</v>
      </c>
      <c r="U70" s="3">
        <f t="shared" si="23"/>
        <v>39600</v>
      </c>
      <c r="V70" s="8">
        <v>-0.92</v>
      </c>
      <c r="W70" s="8">
        <v>-2.25</v>
      </c>
      <c r="X70" s="5">
        <f t="shared" si="24"/>
        <v>1.33</v>
      </c>
      <c r="Y70" s="23">
        <f t="shared" si="25"/>
        <v>0.49891127819548881</v>
      </c>
      <c r="Z70" s="23">
        <f t="shared" si="26"/>
        <v>19756.886616541356</v>
      </c>
      <c r="AA70" s="11">
        <f t="shared" si="27"/>
        <v>7.6927178575860902</v>
      </c>
      <c r="AB70" s="11">
        <f t="shared" si="28"/>
        <v>304631.62716040917</v>
      </c>
    </row>
    <row r="71" spans="1:28" ht="17.25" customHeight="1" x14ac:dyDescent="0.2">
      <c r="A71" t="s">
        <v>7</v>
      </c>
      <c r="B71" s="20">
        <v>72</v>
      </c>
      <c r="C71" s="20">
        <v>152</v>
      </c>
      <c r="D71" s="20">
        <v>51</v>
      </c>
      <c r="E71" t="s">
        <v>77</v>
      </c>
      <c r="F71" s="26">
        <v>45128</v>
      </c>
      <c r="G71" t="s">
        <v>76</v>
      </c>
      <c r="H71" s="5">
        <v>12.69</v>
      </c>
      <c r="I71" s="5">
        <v>47.1</v>
      </c>
      <c r="J71" s="5">
        <v>38.26</v>
      </c>
      <c r="K71" s="5">
        <v>5.38</v>
      </c>
      <c r="L71" s="5">
        <v>0.35</v>
      </c>
      <c r="M71" s="3">
        <f t="shared" si="18"/>
        <v>350</v>
      </c>
      <c r="N71" s="5">
        <v>17.239999999999998</v>
      </c>
      <c r="O71" s="23">
        <f t="shared" si="19"/>
        <v>1.7239999999999998E-2</v>
      </c>
      <c r="P71" s="23">
        <f t="shared" si="20"/>
        <v>0.31031999999999998</v>
      </c>
      <c r="Q71" s="7">
        <f t="shared" si="21"/>
        <v>3.1032E-4</v>
      </c>
      <c r="R71" s="23">
        <f t="shared" si="22"/>
        <v>1.1171519999999999</v>
      </c>
      <c r="S71" s="5">
        <v>11.56</v>
      </c>
      <c r="T71" s="5">
        <v>1.91</v>
      </c>
      <c r="U71" s="3">
        <f t="shared" si="23"/>
        <v>19100</v>
      </c>
      <c r="V71" s="8">
        <v>-0.85</v>
      </c>
      <c r="W71" s="8">
        <v>-2.76</v>
      </c>
      <c r="X71" s="5">
        <f t="shared" si="24"/>
        <v>1.9099999999999997</v>
      </c>
      <c r="Y71" s="23">
        <f t="shared" si="25"/>
        <v>0.58489633507853411</v>
      </c>
      <c r="Z71" s="23">
        <f t="shared" si="26"/>
        <v>11171.520000000002</v>
      </c>
      <c r="AA71" s="11">
        <f t="shared" si="27"/>
        <v>9.0185222871074817</v>
      </c>
      <c r="AB71" s="11">
        <f t="shared" si="28"/>
        <v>172253.7756837529</v>
      </c>
    </row>
    <row r="72" spans="1:28" ht="17.25" customHeight="1" x14ac:dyDescent="0.2">
      <c r="A72" t="s">
        <v>7</v>
      </c>
      <c r="B72" s="20">
        <v>72</v>
      </c>
      <c r="C72" s="20">
        <v>155</v>
      </c>
      <c r="D72" s="20">
        <v>58</v>
      </c>
      <c r="E72" t="s">
        <v>77</v>
      </c>
      <c r="F72" s="26">
        <v>45128</v>
      </c>
      <c r="G72" t="s">
        <v>76</v>
      </c>
      <c r="H72" s="5">
        <v>19.649999999999999</v>
      </c>
      <c r="I72" s="5">
        <v>43.33</v>
      </c>
      <c r="J72" s="5">
        <v>39.14</v>
      </c>
      <c r="K72" s="5">
        <v>5.32</v>
      </c>
      <c r="L72" s="5">
        <v>0.12</v>
      </c>
      <c r="M72" s="3">
        <f t="shared" si="18"/>
        <v>120</v>
      </c>
      <c r="N72" s="5">
        <v>5.92</v>
      </c>
      <c r="O72" s="23">
        <f t="shared" si="19"/>
        <v>5.9199999999999999E-3</v>
      </c>
      <c r="P72" s="23">
        <f t="shared" si="20"/>
        <v>0.10656</v>
      </c>
      <c r="Q72" s="7">
        <f t="shared" si="21"/>
        <v>1.0656E-4</v>
      </c>
      <c r="R72" s="23">
        <f t="shared" si="22"/>
        <v>0.38361600000000001</v>
      </c>
      <c r="S72" s="5">
        <v>25.14</v>
      </c>
      <c r="T72" s="5">
        <v>4.53</v>
      </c>
      <c r="U72" s="3">
        <f t="shared" si="23"/>
        <v>45300</v>
      </c>
      <c r="V72" s="8">
        <v>-0.83</v>
      </c>
      <c r="W72" s="8">
        <v>-2.87</v>
      </c>
      <c r="X72" s="5">
        <f t="shared" si="24"/>
        <v>2.04</v>
      </c>
      <c r="Y72" s="23">
        <f t="shared" si="25"/>
        <v>0.18804705882352943</v>
      </c>
      <c r="Z72" s="23">
        <f t="shared" si="26"/>
        <v>8518.5317647058837</v>
      </c>
      <c r="AA72" s="11">
        <f t="shared" si="27"/>
        <v>2.8994994314630169</v>
      </c>
      <c r="AB72" s="11">
        <f t="shared" si="28"/>
        <v>131347.32424527468</v>
      </c>
    </row>
    <row r="73" spans="1:28" ht="17.25" customHeight="1" x14ac:dyDescent="0.2">
      <c r="A73" t="s">
        <v>7</v>
      </c>
      <c r="B73" s="20">
        <v>72</v>
      </c>
      <c r="C73" s="20">
        <v>155</v>
      </c>
      <c r="D73" s="20">
        <v>59</v>
      </c>
      <c r="E73" t="s">
        <v>77</v>
      </c>
      <c r="F73" s="26">
        <v>45127</v>
      </c>
      <c r="G73" t="s">
        <v>76</v>
      </c>
      <c r="H73" s="5">
        <v>12.46</v>
      </c>
      <c r="I73" s="5">
        <v>45.57</v>
      </c>
      <c r="J73" s="5">
        <v>42.68</v>
      </c>
      <c r="K73" s="5">
        <v>7.28</v>
      </c>
      <c r="L73" s="5">
        <v>0.11</v>
      </c>
      <c r="M73" s="3">
        <f t="shared" si="18"/>
        <v>110</v>
      </c>
      <c r="N73" s="5">
        <v>7.35</v>
      </c>
      <c r="O73" s="23">
        <f t="shared" si="19"/>
        <v>7.3499999999999998E-3</v>
      </c>
      <c r="P73" s="23">
        <f t="shared" si="20"/>
        <v>0.1323</v>
      </c>
      <c r="Q73" s="7">
        <f t="shared" si="21"/>
        <v>1.3229999999999999E-4</v>
      </c>
      <c r="R73" s="23">
        <f t="shared" si="22"/>
        <v>0.47627999999999998</v>
      </c>
      <c r="S73" s="5">
        <v>16.940000000000001</v>
      </c>
      <c r="T73" s="5">
        <v>3.17</v>
      </c>
      <c r="U73" s="3">
        <f t="shared" si="23"/>
        <v>31700</v>
      </c>
      <c r="V73" s="8">
        <v>-0.42</v>
      </c>
      <c r="W73" s="8">
        <v>-2.19</v>
      </c>
      <c r="X73" s="5">
        <f t="shared" si="24"/>
        <v>1.77</v>
      </c>
      <c r="Y73" s="23">
        <f t="shared" si="25"/>
        <v>0.26908474576271185</v>
      </c>
      <c r="Z73" s="23">
        <f t="shared" si="26"/>
        <v>8529.9864406779652</v>
      </c>
      <c r="AA73" s="11">
        <f t="shared" si="27"/>
        <v>4.1490203156356387</v>
      </c>
      <c r="AB73" s="11">
        <f t="shared" si="28"/>
        <v>131523.94400564974</v>
      </c>
    </row>
    <row r="74" spans="1:28" ht="17.25" customHeight="1" x14ac:dyDescent="0.2">
      <c r="A74" t="s">
        <v>7</v>
      </c>
      <c r="B74" s="20">
        <v>72</v>
      </c>
      <c r="C74" s="20">
        <v>155</v>
      </c>
      <c r="D74" s="20">
        <v>60</v>
      </c>
      <c r="E74" t="s">
        <v>77</v>
      </c>
      <c r="F74" s="26">
        <v>45128</v>
      </c>
      <c r="G74" t="s">
        <v>76</v>
      </c>
      <c r="H74" s="5">
        <v>17.62</v>
      </c>
      <c r="I74" s="5">
        <v>44.63</v>
      </c>
      <c r="J74" s="5">
        <v>38.58</v>
      </c>
      <c r="K74" s="5">
        <v>5.18</v>
      </c>
      <c r="L74" s="5">
        <v>0.21</v>
      </c>
      <c r="M74" s="3">
        <f t="shared" si="18"/>
        <v>210</v>
      </c>
      <c r="N74" s="5">
        <v>10.119999999999999</v>
      </c>
      <c r="O74" s="23">
        <f t="shared" si="19"/>
        <v>1.0119999999999999E-2</v>
      </c>
      <c r="P74" s="23">
        <f t="shared" si="20"/>
        <v>0.18215999999999999</v>
      </c>
      <c r="Q74" s="7">
        <f t="shared" si="21"/>
        <v>1.8215999999999998E-4</v>
      </c>
      <c r="R74" s="23">
        <f t="shared" si="22"/>
        <v>0.65577599999999991</v>
      </c>
      <c r="S74" s="5">
        <v>22.24</v>
      </c>
      <c r="T74" s="5">
        <v>4.22</v>
      </c>
      <c r="U74" s="3">
        <f t="shared" si="23"/>
        <v>42200</v>
      </c>
      <c r="V74" s="8">
        <v>-0.47</v>
      </c>
      <c r="W74" s="8">
        <v>-2.4900000000000002</v>
      </c>
      <c r="X74" s="5">
        <f t="shared" si="24"/>
        <v>2.0200000000000005</v>
      </c>
      <c r="Y74" s="23">
        <f t="shared" si="25"/>
        <v>0.32464158415841571</v>
      </c>
      <c r="Z74" s="23">
        <f t="shared" si="26"/>
        <v>13699.874851485143</v>
      </c>
      <c r="AA74" s="11">
        <f t="shared" si="27"/>
        <v>5.0056517479485265</v>
      </c>
      <c r="AB74" s="11">
        <f t="shared" si="28"/>
        <v>211238.50376342781</v>
      </c>
    </row>
    <row r="75" spans="1:28" ht="17.25" customHeight="1" x14ac:dyDescent="0.2">
      <c r="A75" t="s">
        <v>7</v>
      </c>
      <c r="B75" s="20">
        <v>72</v>
      </c>
      <c r="C75" s="20">
        <v>5</v>
      </c>
      <c r="D75" s="20">
        <v>61</v>
      </c>
      <c r="E75" t="s">
        <v>77</v>
      </c>
      <c r="F75" s="26">
        <v>45128</v>
      </c>
      <c r="G75" t="s">
        <v>76</v>
      </c>
      <c r="H75" s="5">
        <v>13.86</v>
      </c>
      <c r="I75" s="5">
        <v>46.62</v>
      </c>
      <c r="J75" s="5">
        <v>40.869999999999997</v>
      </c>
      <c r="K75" s="5">
        <v>6.29</v>
      </c>
      <c r="L75" s="5">
        <v>0.1</v>
      </c>
      <c r="M75" s="3">
        <f t="shared" si="18"/>
        <v>100</v>
      </c>
      <c r="N75" s="5">
        <v>6.06</v>
      </c>
      <c r="O75" s="23">
        <f t="shared" si="19"/>
        <v>6.0599999999999994E-3</v>
      </c>
      <c r="P75" s="23">
        <f t="shared" si="20"/>
        <v>0.10907999999999998</v>
      </c>
      <c r="Q75" s="7">
        <f t="shared" si="21"/>
        <v>1.0907999999999998E-4</v>
      </c>
      <c r="R75" s="23">
        <f t="shared" si="22"/>
        <v>0.39268799999999993</v>
      </c>
      <c r="S75" s="5">
        <v>5.59</v>
      </c>
      <c r="T75" s="5">
        <v>1.83</v>
      </c>
      <c r="U75" s="3">
        <f t="shared" si="23"/>
        <v>18300</v>
      </c>
      <c r="V75" s="8">
        <v>-0.88</v>
      </c>
      <c r="W75" s="8">
        <v>-2.19</v>
      </c>
      <c r="X75" s="5">
        <f t="shared" si="24"/>
        <v>1.31</v>
      </c>
      <c r="Y75" s="23">
        <f t="shared" si="25"/>
        <v>0.29976183206106866</v>
      </c>
      <c r="Z75" s="23">
        <f t="shared" si="26"/>
        <v>5485.6415267175562</v>
      </c>
      <c r="AA75" s="11">
        <f t="shared" si="27"/>
        <v>4.622030608046007</v>
      </c>
      <c r="AB75" s="11">
        <f t="shared" si="28"/>
        <v>84583.160127241921</v>
      </c>
    </row>
    <row r="76" spans="1:28" ht="17.25" customHeight="1" x14ac:dyDescent="0.2">
      <c r="A76" t="s">
        <v>7</v>
      </c>
      <c r="B76" s="20">
        <v>72</v>
      </c>
      <c r="C76" s="20">
        <v>5</v>
      </c>
      <c r="D76" s="20">
        <v>63</v>
      </c>
      <c r="E76" t="s">
        <v>77</v>
      </c>
      <c r="F76" s="26">
        <v>45127</v>
      </c>
      <c r="G76" t="s">
        <v>76</v>
      </c>
      <c r="H76" s="5">
        <v>12.75</v>
      </c>
      <c r="I76" s="5">
        <v>44.85</v>
      </c>
      <c r="J76" s="5">
        <v>40.880000000000003</v>
      </c>
      <c r="K76" s="5">
        <v>6.52</v>
      </c>
      <c r="L76" s="5">
        <v>0.15</v>
      </c>
      <c r="M76" s="3">
        <f t="shared" si="18"/>
        <v>150</v>
      </c>
      <c r="N76" s="5">
        <v>9.26</v>
      </c>
      <c r="O76" s="23">
        <f t="shared" si="19"/>
        <v>9.2599999999999991E-3</v>
      </c>
      <c r="P76" s="23">
        <f t="shared" si="20"/>
        <v>0.16667999999999999</v>
      </c>
      <c r="Q76" s="7">
        <f t="shared" si="21"/>
        <v>1.6668E-4</v>
      </c>
      <c r="R76" s="23">
        <f t="shared" si="22"/>
        <v>0.60004800000000003</v>
      </c>
      <c r="S76" s="5">
        <v>13.53</v>
      </c>
      <c r="T76" s="5">
        <v>2.78</v>
      </c>
      <c r="U76" s="5">
        <f t="shared" si="23"/>
        <v>27799.999999999996</v>
      </c>
      <c r="V76" s="8">
        <v>-0.75</v>
      </c>
      <c r="W76" s="8">
        <v>-2.35</v>
      </c>
      <c r="X76" s="5">
        <f t="shared" si="24"/>
        <v>1.6</v>
      </c>
      <c r="Y76" s="23">
        <f t="shared" si="25"/>
        <v>0.37502999999999997</v>
      </c>
      <c r="Z76" s="23">
        <f t="shared" si="26"/>
        <v>10425.833999999997</v>
      </c>
      <c r="AA76" s="11">
        <f t="shared" si="27"/>
        <v>5.7825912225621812</v>
      </c>
      <c r="AB76" s="11">
        <f t="shared" si="28"/>
        <v>160756.03598722862</v>
      </c>
    </row>
    <row r="77" spans="1:28" ht="17.25" customHeight="1" x14ac:dyDescent="0.2">
      <c r="A77" t="s">
        <v>7</v>
      </c>
      <c r="B77" s="20">
        <v>72</v>
      </c>
      <c r="C77" s="20">
        <v>5</v>
      </c>
      <c r="D77" s="20">
        <v>85</v>
      </c>
      <c r="E77" t="s">
        <v>77</v>
      </c>
      <c r="F77" s="26">
        <v>45128</v>
      </c>
      <c r="G77" t="s">
        <v>76</v>
      </c>
      <c r="H77" s="5">
        <v>17.39</v>
      </c>
      <c r="I77" s="5">
        <v>44.89</v>
      </c>
      <c r="J77" s="5">
        <v>40.79</v>
      </c>
      <c r="K77" s="5">
        <v>6.04</v>
      </c>
      <c r="L77" s="5">
        <v>0.09</v>
      </c>
      <c r="M77" s="3">
        <f t="shared" si="18"/>
        <v>90</v>
      </c>
      <c r="N77" s="5">
        <v>5.34</v>
      </c>
      <c r="O77" s="23">
        <f t="shared" si="19"/>
        <v>5.3400000000000001E-3</v>
      </c>
      <c r="P77" s="23">
        <f t="shared" si="20"/>
        <v>9.6119999999999997E-2</v>
      </c>
      <c r="Q77" s="7">
        <f t="shared" si="21"/>
        <v>9.6119999999999995E-5</v>
      </c>
      <c r="R77" s="23">
        <f t="shared" si="22"/>
        <v>0.34603200000000001</v>
      </c>
      <c r="S77" s="5">
        <v>8.26</v>
      </c>
      <c r="T77" s="5">
        <v>2.33</v>
      </c>
      <c r="U77" s="3">
        <f t="shared" si="23"/>
        <v>23300</v>
      </c>
      <c r="V77" s="8">
        <v>-0.68</v>
      </c>
      <c r="W77" s="8">
        <v>-2.16</v>
      </c>
      <c r="X77" s="5">
        <f t="shared" si="24"/>
        <v>1.48</v>
      </c>
      <c r="Y77" s="23">
        <f t="shared" si="25"/>
        <v>0.23380540540540543</v>
      </c>
      <c r="Z77" s="23">
        <f t="shared" si="26"/>
        <v>5447.6659459459461</v>
      </c>
      <c r="AA77" s="11">
        <f t="shared" si="27"/>
        <v>3.6050478230671934</v>
      </c>
      <c r="AB77" s="11">
        <f t="shared" si="28"/>
        <v>83997.614277465604</v>
      </c>
    </row>
    <row r="78" spans="1:28" ht="17.25" customHeight="1" x14ac:dyDescent="0.2">
      <c r="A78" t="s">
        <v>8</v>
      </c>
      <c r="B78" s="20">
        <v>1521</v>
      </c>
      <c r="C78" s="20">
        <v>153</v>
      </c>
      <c r="D78" s="20">
        <v>69</v>
      </c>
      <c r="E78" t="s">
        <v>77</v>
      </c>
      <c r="F78" s="26">
        <v>45128</v>
      </c>
      <c r="G78" t="s">
        <v>76</v>
      </c>
      <c r="H78" s="5">
        <v>13.85</v>
      </c>
      <c r="I78" s="5">
        <v>46.67</v>
      </c>
      <c r="J78" s="5">
        <v>40.94</v>
      </c>
      <c r="K78" s="5">
        <v>6.31</v>
      </c>
      <c r="L78" s="5">
        <v>0.15</v>
      </c>
      <c r="M78" s="3">
        <f t="shared" si="18"/>
        <v>150</v>
      </c>
      <c r="N78" s="5">
        <v>8.8800000000000008</v>
      </c>
      <c r="O78" s="23">
        <f t="shared" si="19"/>
        <v>8.8800000000000007E-3</v>
      </c>
      <c r="P78" s="23">
        <f t="shared" si="20"/>
        <v>0.15984000000000001</v>
      </c>
      <c r="Q78" s="7">
        <f t="shared" si="21"/>
        <v>1.5984000000000001E-4</v>
      </c>
      <c r="R78" s="23">
        <f t="shared" si="22"/>
        <v>0.57542400000000005</v>
      </c>
      <c r="S78" s="5">
        <v>1.89</v>
      </c>
      <c r="T78" s="5">
        <v>0.42</v>
      </c>
      <c r="U78" s="3">
        <f t="shared" si="23"/>
        <v>4200</v>
      </c>
      <c r="V78" s="8">
        <v>-0.12</v>
      </c>
      <c r="W78" s="8">
        <v>-2.02</v>
      </c>
      <c r="X78" s="5">
        <f t="shared" si="24"/>
        <v>1.9</v>
      </c>
      <c r="Y78" s="23">
        <f t="shared" si="25"/>
        <v>0.30285473684210529</v>
      </c>
      <c r="Z78" s="23">
        <f t="shared" si="26"/>
        <v>1271.9898947368422</v>
      </c>
      <c r="AA78" s="11">
        <f t="shared" si="27"/>
        <v>4.6697201369878067</v>
      </c>
      <c r="AB78" s="11">
        <f t="shared" si="28"/>
        <v>19612.82457534879</v>
      </c>
    </row>
    <row r="79" spans="1:28" ht="17.25" customHeight="1" x14ac:dyDescent="0.2">
      <c r="A79" t="s">
        <v>8</v>
      </c>
      <c r="B79" s="20">
        <v>1521</v>
      </c>
      <c r="C79" s="20">
        <v>153</v>
      </c>
      <c r="D79" s="20">
        <v>76</v>
      </c>
      <c r="E79" t="s">
        <v>77</v>
      </c>
      <c r="F79" s="26">
        <v>45128</v>
      </c>
      <c r="G79" t="s">
        <v>76</v>
      </c>
      <c r="H79" s="5">
        <v>14.48</v>
      </c>
      <c r="I79" s="5">
        <v>46.67</v>
      </c>
      <c r="J79" s="5">
        <v>43.32</v>
      </c>
      <c r="K79" s="5">
        <v>7.28</v>
      </c>
      <c r="L79" s="5">
        <v>7.0000000000000007E-2</v>
      </c>
      <c r="M79" s="3">
        <f t="shared" si="18"/>
        <v>70</v>
      </c>
      <c r="N79" s="5">
        <v>4.43</v>
      </c>
      <c r="O79" s="23">
        <f t="shared" si="19"/>
        <v>4.4299999999999999E-3</v>
      </c>
      <c r="P79" s="23">
        <f t="shared" si="20"/>
        <v>7.9740000000000005E-2</v>
      </c>
      <c r="Q79" s="7">
        <f t="shared" si="21"/>
        <v>7.9740000000000006E-5</v>
      </c>
      <c r="R79" s="23">
        <f t="shared" si="22"/>
        <v>0.28706400000000004</v>
      </c>
      <c r="S79" s="5">
        <v>1.63</v>
      </c>
      <c r="T79" s="5">
        <v>0.4</v>
      </c>
      <c r="U79" s="3">
        <f t="shared" si="23"/>
        <v>4000</v>
      </c>
      <c r="V79" s="8">
        <v>-0.78</v>
      </c>
      <c r="W79" s="8">
        <v>-2.2000000000000002</v>
      </c>
      <c r="X79" s="5">
        <f t="shared" si="24"/>
        <v>1.4200000000000002</v>
      </c>
      <c r="Y79" s="23">
        <f t="shared" si="25"/>
        <v>0.20215774647887325</v>
      </c>
      <c r="Z79" s="23">
        <f t="shared" si="26"/>
        <v>808.63098591549294</v>
      </c>
      <c r="AA79" s="11">
        <f t="shared" si="27"/>
        <v>3.1170722618502067</v>
      </c>
      <c r="AB79" s="11">
        <f t="shared" si="28"/>
        <v>12468.289047400827</v>
      </c>
    </row>
    <row r="80" spans="1:28" ht="17.25" customHeight="1" x14ac:dyDescent="0.2">
      <c r="A80" t="s">
        <v>8</v>
      </c>
      <c r="B80" s="20">
        <v>1521</v>
      </c>
      <c r="C80" s="20">
        <v>153</v>
      </c>
      <c r="D80" s="20">
        <v>90</v>
      </c>
      <c r="E80" t="s">
        <v>77</v>
      </c>
      <c r="F80" s="26">
        <v>45127</v>
      </c>
      <c r="G80" t="s">
        <v>76</v>
      </c>
      <c r="H80" s="5">
        <v>10.54</v>
      </c>
      <c r="I80" s="5">
        <v>48.31</v>
      </c>
      <c r="J80" s="5">
        <v>43.46</v>
      </c>
      <c r="K80" s="5">
        <v>7.66</v>
      </c>
      <c r="L80" s="5">
        <v>0.09</v>
      </c>
      <c r="M80" s="3">
        <f t="shared" si="18"/>
        <v>90</v>
      </c>
      <c r="N80" s="5">
        <v>6.37</v>
      </c>
      <c r="O80" s="23">
        <f t="shared" si="19"/>
        <v>6.3699999999999998E-3</v>
      </c>
      <c r="P80" s="23">
        <f t="shared" si="20"/>
        <v>0.11466</v>
      </c>
      <c r="Q80" s="7">
        <f t="shared" si="21"/>
        <v>1.1466E-4</v>
      </c>
      <c r="R80" s="23">
        <f t="shared" si="22"/>
        <v>0.41277600000000003</v>
      </c>
      <c r="S80" s="5">
        <v>3.81</v>
      </c>
      <c r="T80" s="5">
        <v>0.53</v>
      </c>
      <c r="U80" s="3">
        <f t="shared" si="23"/>
        <v>5300</v>
      </c>
      <c r="V80" s="8">
        <v>-0.39</v>
      </c>
      <c r="W80" s="8">
        <v>-2.1800000000000002</v>
      </c>
      <c r="X80" s="5">
        <f t="shared" si="24"/>
        <v>1.79</v>
      </c>
      <c r="Y80" s="23">
        <f t="shared" si="25"/>
        <v>0.23060111731843577</v>
      </c>
      <c r="Z80" s="23">
        <f t="shared" si="26"/>
        <v>1222.1859217877095</v>
      </c>
      <c r="AA80" s="11">
        <f t="shared" si="27"/>
        <v>3.5556408738464076</v>
      </c>
      <c r="AB80" s="11">
        <f t="shared" si="28"/>
        <v>18844.89663138596</v>
      </c>
    </row>
    <row r="81" spans="1:28" ht="17.25" customHeight="1" x14ac:dyDescent="0.2">
      <c r="A81" t="s">
        <v>8</v>
      </c>
      <c r="B81" s="20">
        <v>1521</v>
      </c>
      <c r="C81" s="20">
        <v>155</v>
      </c>
      <c r="D81" s="20">
        <v>62</v>
      </c>
      <c r="E81" t="s">
        <v>77</v>
      </c>
      <c r="F81" s="26">
        <v>45127</v>
      </c>
      <c r="G81" t="s">
        <v>76</v>
      </c>
      <c r="H81" s="5">
        <v>11.48</v>
      </c>
      <c r="I81" s="5">
        <v>47.41</v>
      </c>
      <c r="J81" s="5">
        <v>42.18</v>
      </c>
      <c r="K81" s="5">
        <v>7.05</v>
      </c>
      <c r="L81" s="5">
        <v>0.15</v>
      </c>
      <c r="M81" s="3">
        <f t="shared" si="18"/>
        <v>150</v>
      </c>
      <c r="N81" s="5">
        <v>10.029999999999999</v>
      </c>
      <c r="O81" s="23">
        <f t="shared" si="19"/>
        <v>1.0029999999999999E-2</v>
      </c>
      <c r="P81" s="23">
        <f t="shared" si="20"/>
        <v>0.18053999999999998</v>
      </c>
      <c r="Q81" s="7">
        <f t="shared" si="21"/>
        <v>1.8053999999999998E-4</v>
      </c>
      <c r="R81" s="23">
        <f t="shared" si="22"/>
        <v>0.64994399999999997</v>
      </c>
      <c r="S81" s="5">
        <v>1.17</v>
      </c>
      <c r="T81" s="5">
        <v>0.44</v>
      </c>
      <c r="U81" s="3">
        <f t="shared" si="23"/>
        <v>4400</v>
      </c>
      <c r="V81" s="8">
        <v>-0.44</v>
      </c>
      <c r="W81" s="8">
        <v>-1.86</v>
      </c>
      <c r="X81" s="5">
        <f t="shared" si="24"/>
        <v>1.4200000000000002</v>
      </c>
      <c r="Y81" s="23">
        <f t="shared" si="25"/>
        <v>0.45770704225352105</v>
      </c>
      <c r="Z81" s="23">
        <f t="shared" si="26"/>
        <v>2013.9109859154926</v>
      </c>
      <c r="AA81" s="11">
        <f t="shared" si="27"/>
        <v>7.0573893422929039</v>
      </c>
      <c r="AB81" s="11">
        <f t="shared" si="28"/>
        <v>31052.513106088776</v>
      </c>
    </row>
    <row r="82" spans="1:28" ht="17.25" customHeight="1" x14ac:dyDescent="0.2">
      <c r="A82" t="s">
        <v>8</v>
      </c>
      <c r="B82" s="20">
        <v>1521</v>
      </c>
      <c r="C82" s="20">
        <v>155</v>
      </c>
      <c r="D82" s="20">
        <v>64</v>
      </c>
      <c r="E82" t="s">
        <v>77</v>
      </c>
      <c r="F82" s="26">
        <v>45127</v>
      </c>
      <c r="G82" t="s">
        <v>76</v>
      </c>
      <c r="H82" s="5">
        <v>10.52</v>
      </c>
      <c r="I82" s="5">
        <v>47.64</v>
      </c>
      <c r="J82" s="5">
        <v>42.31</v>
      </c>
      <c r="K82" s="5">
        <v>7.18</v>
      </c>
      <c r="L82" s="5">
        <v>0.1</v>
      </c>
      <c r="M82" s="3">
        <f t="shared" si="18"/>
        <v>100</v>
      </c>
      <c r="N82" s="5">
        <v>6.67</v>
      </c>
      <c r="O82" s="23">
        <f t="shared" si="19"/>
        <v>6.6699999999999997E-3</v>
      </c>
      <c r="P82" s="23">
        <f t="shared" si="20"/>
        <v>0.12006</v>
      </c>
      <c r="Q82" s="7">
        <f t="shared" si="21"/>
        <v>1.2006E-4</v>
      </c>
      <c r="R82" s="23">
        <f t="shared" si="22"/>
        <v>0.43221599999999999</v>
      </c>
      <c r="S82" s="5">
        <v>1.37</v>
      </c>
      <c r="T82" s="5">
        <v>0.45</v>
      </c>
      <c r="U82" s="3">
        <f t="shared" si="23"/>
        <v>4500</v>
      </c>
      <c r="V82" s="8">
        <v>-0.28999999999999998</v>
      </c>
      <c r="W82" s="8">
        <v>-2.15</v>
      </c>
      <c r="X82" s="5">
        <f t="shared" si="24"/>
        <v>1.8599999999999999</v>
      </c>
      <c r="Y82" s="23">
        <f t="shared" si="25"/>
        <v>0.23237419354838712</v>
      </c>
      <c r="Z82" s="23">
        <f t="shared" si="26"/>
        <v>1045.683870967742</v>
      </c>
      <c r="AA82" s="11">
        <f t="shared" si="27"/>
        <v>3.5829799535047027</v>
      </c>
      <c r="AB82" s="11">
        <f t="shared" si="28"/>
        <v>16123.409790771162</v>
      </c>
    </row>
    <row r="83" spans="1:28" ht="17.25" customHeight="1" x14ac:dyDescent="0.2">
      <c r="A83" t="s">
        <v>8</v>
      </c>
      <c r="B83" s="20">
        <v>1521</v>
      </c>
      <c r="C83" s="20">
        <v>155</v>
      </c>
      <c r="D83" s="20">
        <v>66</v>
      </c>
      <c r="E83" t="s">
        <v>77</v>
      </c>
      <c r="F83" s="26">
        <v>45128</v>
      </c>
      <c r="G83" t="s">
        <v>76</v>
      </c>
      <c r="H83" s="5">
        <v>12.95</v>
      </c>
      <c r="I83" s="5">
        <v>46.97</v>
      </c>
      <c r="J83" s="5">
        <v>42.12</v>
      </c>
      <c r="K83" s="5">
        <v>6.88</v>
      </c>
      <c r="L83" s="5">
        <v>0.11</v>
      </c>
      <c r="M83" s="3">
        <f t="shared" si="18"/>
        <v>110</v>
      </c>
      <c r="N83" s="5">
        <v>7.02</v>
      </c>
      <c r="O83" s="23">
        <f t="shared" si="19"/>
        <v>7.0199999999999993E-3</v>
      </c>
      <c r="P83" s="23">
        <f t="shared" si="20"/>
        <v>0.12636</v>
      </c>
      <c r="Q83" s="7">
        <f t="shared" si="21"/>
        <v>1.2636E-4</v>
      </c>
      <c r="R83" s="23">
        <f t="shared" si="22"/>
        <v>0.45489600000000002</v>
      </c>
      <c r="S83" s="5">
        <v>3.21</v>
      </c>
      <c r="T83" s="5">
        <v>0.68</v>
      </c>
      <c r="U83" s="5">
        <f t="shared" si="23"/>
        <v>6800.0000000000009</v>
      </c>
      <c r="V83" s="8">
        <v>-0.63</v>
      </c>
      <c r="W83" s="8">
        <v>-2.2200000000000002</v>
      </c>
      <c r="X83" s="5">
        <f t="shared" si="24"/>
        <v>1.5900000000000003</v>
      </c>
      <c r="Y83" s="23">
        <f t="shared" si="25"/>
        <v>0.28609811320754713</v>
      </c>
      <c r="Z83" s="23">
        <f t="shared" si="26"/>
        <v>1945.4671698113207</v>
      </c>
      <c r="AA83" s="11">
        <f t="shared" si="27"/>
        <v>4.4113495939673175</v>
      </c>
      <c r="AB83" s="11">
        <f t="shared" si="28"/>
        <v>29997.177238977762</v>
      </c>
    </row>
    <row r="84" spans="1:28" ht="17.25" customHeight="1" x14ac:dyDescent="0.2">
      <c r="A84" t="s">
        <v>8</v>
      </c>
      <c r="B84" s="20">
        <v>1521</v>
      </c>
      <c r="C84" s="20">
        <v>156</v>
      </c>
      <c r="D84" s="20">
        <v>71</v>
      </c>
      <c r="E84" t="s">
        <v>77</v>
      </c>
      <c r="F84" s="26">
        <v>45127</v>
      </c>
      <c r="G84" t="s">
        <v>76</v>
      </c>
      <c r="H84" s="5">
        <v>11.45</v>
      </c>
      <c r="I84" s="5">
        <v>47.48</v>
      </c>
      <c r="J84" s="5">
        <v>44.15</v>
      </c>
      <c r="K84" s="5">
        <v>7.93</v>
      </c>
      <c r="L84" s="5">
        <v>7.0000000000000007E-2</v>
      </c>
      <c r="M84" s="3">
        <f t="shared" si="18"/>
        <v>70</v>
      </c>
      <c r="N84" s="5">
        <v>5.32</v>
      </c>
      <c r="O84" s="23">
        <f t="shared" si="19"/>
        <v>5.3200000000000001E-3</v>
      </c>
      <c r="P84" s="23">
        <f t="shared" si="20"/>
        <v>9.5759999999999998E-2</v>
      </c>
      <c r="Q84" s="7">
        <f t="shared" si="21"/>
        <v>9.5759999999999991E-5</v>
      </c>
      <c r="R84" s="23">
        <f t="shared" si="22"/>
        <v>0.34473599999999999</v>
      </c>
      <c r="S84" s="5">
        <v>3.35</v>
      </c>
      <c r="T84" s="5">
        <v>0.65</v>
      </c>
      <c r="U84" s="3">
        <f t="shared" si="23"/>
        <v>6500</v>
      </c>
      <c r="V84" s="8">
        <v>-0.53</v>
      </c>
      <c r="W84" s="8">
        <v>-1.89</v>
      </c>
      <c r="X84" s="5">
        <f t="shared" si="24"/>
        <v>1.3599999999999999</v>
      </c>
      <c r="Y84" s="23">
        <f t="shared" si="25"/>
        <v>0.25348235294117649</v>
      </c>
      <c r="Z84" s="23">
        <f t="shared" si="26"/>
        <v>1647.6352941176472</v>
      </c>
      <c r="AA84" s="11">
        <f t="shared" si="27"/>
        <v>3.9084468687626477</v>
      </c>
      <c r="AB84" s="11">
        <f t="shared" si="28"/>
        <v>25404.904646957209</v>
      </c>
    </row>
    <row r="85" spans="1:28" ht="17.25" customHeight="1" x14ac:dyDescent="0.2">
      <c r="A85" t="s">
        <v>8</v>
      </c>
      <c r="B85" s="20">
        <v>1521</v>
      </c>
      <c r="C85" s="20">
        <v>156</v>
      </c>
      <c r="D85" s="20">
        <v>74</v>
      </c>
      <c r="E85" t="s">
        <v>77</v>
      </c>
      <c r="F85" s="26">
        <v>45128</v>
      </c>
      <c r="G85" t="s">
        <v>76</v>
      </c>
      <c r="H85" s="5">
        <v>14.71</v>
      </c>
      <c r="I85" s="5">
        <v>46.52</v>
      </c>
      <c r="J85" s="5">
        <v>45.23</v>
      </c>
      <c r="K85" s="5">
        <v>8.18</v>
      </c>
      <c r="L85" s="5">
        <v>0.01</v>
      </c>
      <c r="M85" s="3">
        <f t="shared" si="18"/>
        <v>10</v>
      </c>
      <c r="N85" s="5">
        <v>0.88</v>
      </c>
      <c r="O85" s="23">
        <f t="shared" si="19"/>
        <v>8.8000000000000003E-4</v>
      </c>
      <c r="P85" s="23">
        <f t="shared" si="20"/>
        <v>1.584E-2</v>
      </c>
      <c r="Q85" s="7">
        <f t="shared" si="21"/>
        <v>1.5840000000000001E-5</v>
      </c>
      <c r="R85" s="23">
        <f t="shared" si="22"/>
        <v>5.7024000000000005E-2</v>
      </c>
      <c r="S85" s="5">
        <v>2.92</v>
      </c>
      <c r="T85" s="5">
        <v>0.64</v>
      </c>
      <c r="U85" s="3">
        <f t="shared" si="23"/>
        <v>6400</v>
      </c>
      <c r="V85" s="8">
        <v>-0.57999999999999996</v>
      </c>
      <c r="W85" s="8">
        <v>-1.79</v>
      </c>
      <c r="X85" s="5">
        <f t="shared" si="24"/>
        <v>1.21</v>
      </c>
      <c r="Y85" s="23">
        <f t="shared" si="25"/>
        <v>4.7127272727272733E-2</v>
      </c>
      <c r="Z85" s="23">
        <f t="shared" si="26"/>
        <v>301.61454545454546</v>
      </c>
      <c r="AA85" s="11">
        <f t="shared" si="27"/>
        <v>0.72665587717254976</v>
      </c>
      <c r="AB85" s="11">
        <f t="shared" si="28"/>
        <v>4650.5976139043187</v>
      </c>
    </row>
    <row r="86" spans="1:28" ht="17.25" customHeight="1" x14ac:dyDescent="0.2">
      <c r="A86" t="s">
        <v>8</v>
      </c>
      <c r="B86" s="20">
        <v>1521</v>
      </c>
      <c r="C86" s="20">
        <v>156</v>
      </c>
      <c r="D86" s="20">
        <v>75</v>
      </c>
      <c r="E86" t="s">
        <v>77</v>
      </c>
      <c r="F86" s="26">
        <v>45128</v>
      </c>
      <c r="G86" t="s">
        <v>76</v>
      </c>
      <c r="H86" s="5">
        <v>13.45</v>
      </c>
      <c r="I86" s="5">
        <v>46.92</v>
      </c>
      <c r="J86" s="5">
        <v>41.01</v>
      </c>
      <c r="K86" s="5">
        <v>6.36</v>
      </c>
      <c r="L86" s="5">
        <v>0.15</v>
      </c>
      <c r="M86" s="3">
        <f t="shared" si="18"/>
        <v>150</v>
      </c>
      <c r="N86" s="5">
        <v>8.73</v>
      </c>
      <c r="O86" s="23">
        <f t="shared" si="19"/>
        <v>8.7299999999999999E-3</v>
      </c>
      <c r="P86" s="23">
        <f t="shared" si="20"/>
        <v>0.15714</v>
      </c>
      <c r="Q86" s="7">
        <f t="shared" si="21"/>
        <v>1.5714E-4</v>
      </c>
      <c r="R86" s="23">
        <f t="shared" si="22"/>
        <v>0.56570399999999998</v>
      </c>
      <c r="S86" s="5">
        <v>2.78</v>
      </c>
      <c r="T86" s="5">
        <v>0.57999999999999996</v>
      </c>
      <c r="U86" s="3">
        <f t="shared" si="23"/>
        <v>5800</v>
      </c>
      <c r="V86" s="8">
        <v>-0.19</v>
      </c>
      <c r="W86" s="8">
        <v>-2.25</v>
      </c>
      <c r="X86" s="5">
        <f t="shared" si="24"/>
        <v>2.06</v>
      </c>
      <c r="Y86" s="23">
        <f t="shared" si="25"/>
        <v>0.27461359223300968</v>
      </c>
      <c r="Z86" s="23">
        <f t="shared" si="26"/>
        <v>1592.7588349514563</v>
      </c>
      <c r="AA86" s="11">
        <f t="shared" si="27"/>
        <v>4.2342696532087345</v>
      </c>
      <c r="AB86" s="11">
        <f t="shared" si="28"/>
        <v>24558.763988610659</v>
      </c>
    </row>
    <row r="87" spans="1:28" ht="17.25" customHeight="1" x14ac:dyDescent="0.2">
      <c r="A87" t="s">
        <v>8</v>
      </c>
      <c r="B87" s="20">
        <v>1521</v>
      </c>
      <c r="C87" s="20">
        <v>157</v>
      </c>
      <c r="D87" s="20">
        <v>67</v>
      </c>
      <c r="E87" t="s">
        <v>77</v>
      </c>
      <c r="F87" s="26">
        <v>45128</v>
      </c>
      <c r="G87" t="s">
        <v>76</v>
      </c>
      <c r="H87" s="5">
        <v>16.57</v>
      </c>
      <c r="I87" s="5">
        <v>45.22</v>
      </c>
      <c r="J87" s="5">
        <v>40.03</v>
      </c>
      <c r="K87" s="5">
        <v>5.78</v>
      </c>
      <c r="L87" s="5">
        <v>0.16</v>
      </c>
      <c r="M87" s="3">
        <f t="shared" si="18"/>
        <v>160</v>
      </c>
      <c r="N87" s="3">
        <v>9</v>
      </c>
      <c r="O87" s="23">
        <f t="shared" si="19"/>
        <v>8.9999999999999993E-3</v>
      </c>
      <c r="P87" s="23">
        <f t="shared" si="20"/>
        <v>0.16199999999999998</v>
      </c>
      <c r="Q87" s="7">
        <f t="shared" si="21"/>
        <v>1.6199999999999998E-4</v>
      </c>
      <c r="R87" s="23">
        <f t="shared" si="22"/>
        <v>0.58319999999999994</v>
      </c>
      <c r="S87" s="5">
        <v>2.46</v>
      </c>
      <c r="T87" s="5">
        <v>0.65</v>
      </c>
      <c r="U87" s="3">
        <f t="shared" si="23"/>
        <v>6500</v>
      </c>
      <c r="V87" s="8">
        <v>-0.62</v>
      </c>
      <c r="W87" s="8">
        <v>-2.06</v>
      </c>
      <c r="X87" s="5">
        <f t="shared" si="24"/>
        <v>1.44</v>
      </c>
      <c r="Y87" s="23">
        <f t="shared" si="25"/>
        <v>0.40499999999999997</v>
      </c>
      <c r="Z87" s="23">
        <f t="shared" si="26"/>
        <v>2632.5</v>
      </c>
      <c r="AA87" s="11">
        <f t="shared" si="27"/>
        <v>6.2446989444515983</v>
      </c>
      <c r="AB87" s="11">
        <f t="shared" si="28"/>
        <v>40590.543138935391</v>
      </c>
    </row>
    <row r="88" spans="1:28" ht="17.25" customHeight="1" x14ac:dyDescent="0.2">
      <c r="A88" t="s">
        <v>8</v>
      </c>
      <c r="B88" s="20">
        <v>1521</v>
      </c>
      <c r="C88" s="20">
        <v>157</v>
      </c>
      <c r="D88" s="20">
        <v>68</v>
      </c>
      <c r="E88" t="s">
        <v>77</v>
      </c>
      <c r="F88" s="26">
        <v>45128</v>
      </c>
      <c r="G88" t="s">
        <v>76</v>
      </c>
      <c r="H88" s="5">
        <v>17.940000000000001</v>
      </c>
      <c r="I88" s="5">
        <v>44.24</v>
      </c>
      <c r="J88" s="5">
        <v>40.15</v>
      </c>
      <c r="K88" s="5">
        <v>5.79</v>
      </c>
      <c r="L88" s="5">
        <v>0.14000000000000001</v>
      </c>
      <c r="M88" s="3">
        <f t="shared" si="18"/>
        <v>140</v>
      </c>
      <c r="N88" s="5">
        <v>7.8</v>
      </c>
      <c r="O88" s="23">
        <f t="shared" si="19"/>
        <v>7.7999999999999996E-3</v>
      </c>
      <c r="P88" s="23">
        <f t="shared" si="20"/>
        <v>0.1404</v>
      </c>
      <c r="Q88" s="7">
        <f t="shared" si="21"/>
        <v>1.404E-4</v>
      </c>
      <c r="R88" s="23">
        <f t="shared" si="22"/>
        <v>0.50544</v>
      </c>
      <c r="S88" s="5">
        <v>2.9</v>
      </c>
      <c r="T88" s="5">
        <v>0.85</v>
      </c>
      <c r="U88" s="3">
        <f t="shared" si="23"/>
        <v>8500</v>
      </c>
      <c r="V88" s="8">
        <v>-0.95</v>
      </c>
      <c r="W88" s="8">
        <v>-2.1</v>
      </c>
      <c r="X88" s="5">
        <f t="shared" si="24"/>
        <v>1.1500000000000001</v>
      </c>
      <c r="Y88" s="23">
        <f t="shared" si="25"/>
        <v>0.43951304347826081</v>
      </c>
      <c r="Z88" s="23">
        <f t="shared" si="26"/>
        <v>3735.8608695652169</v>
      </c>
      <c r="AA88" s="11">
        <f t="shared" si="27"/>
        <v>6.7768558979787779</v>
      </c>
      <c r="AB88" s="11">
        <f t="shared" si="28"/>
        <v>57603.27513281961</v>
      </c>
    </row>
    <row r="89" spans="1:28" ht="17.25" customHeight="1" x14ac:dyDescent="0.2">
      <c r="A89" t="s">
        <v>8</v>
      </c>
      <c r="B89" s="20">
        <v>1521</v>
      </c>
      <c r="C89" s="20">
        <v>157</v>
      </c>
      <c r="D89" s="20">
        <v>72</v>
      </c>
      <c r="E89" t="s">
        <v>77</v>
      </c>
      <c r="F89" s="26">
        <v>45127</v>
      </c>
      <c r="G89" t="s">
        <v>76</v>
      </c>
      <c r="H89" s="5">
        <v>11.8</v>
      </c>
      <c r="I89" s="5">
        <v>46.27</v>
      </c>
      <c r="J89" s="5">
        <v>42.64</v>
      </c>
      <c r="K89" s="5">
        <v>7.28</v>
      </c>
      <c r="L89" s="5">
        <v>0.09</v>
      </c>
      <c r="M89" s="3">
        <f t="shared" si="18"/>
        <v>90</v>
      </c>
      <c r="N89" s="5">
        <v>6.33</v>
      </c>
      <c r="O89" s="23">
        <f t="shared" si="19"/>
        <v>6.3299999999999997E-3</v>
      </c>
      <c r="P89" s="23">
        <f t="shared" si="20"/>
        <v>0.11394</v>
      </c>
      <c r="Q89" s="7">
        <f t="shared" si="21"/>
        <v>1.1394E-4</v>
      </c>
      <c r="R89" s="23">
        <f t="shared" si="22"/>
        <v>0.41018399999999999</v>
      </c>
      <c r="S89" s="5">
        <v>1.89</v>
      </c>
      <c r="T89" s="5">
        <v>1.52</v>
      </c>
      <c r="U89" s="3">
        <f t="shared" si="23"/>
        <v>15200</v>
      </c>
      <c r="V89" s="8">
        <v>-0.55000000000000004</v>
      </c>
      <c r="W89" s="8">
        <v>-2.14</v>
      </c>
      <c r="X89" s="5">
        <f t="shared" si="24"/>
        <v>1.59</v>
      </c>
      <c r="Y89" s="23">
        <f t="shared" si="25"/>
        <v>0.25797735849056602</v>
      </c>
      <c r="Z89" s="23">
        <f t="shared" si="26"/>
        <v>3921.2558490566034</v>
      </c>
      <c r="AA89" s="11">
        <f t="shared" si="27"/>
        <v>3.9777554031072824</v>
      </c>
      <c r="AB89" s="11">
        <f t="shared" si="28"/>
        <v>60461.882127230689</v>
      </c>
    </row>
    <row r="90" spans="1:28" ht="17.25" customHeight="1" x14ac:dyDescent="0.2">
      <c r="A90" t="s">
        <v>8</v>
      </c>
      <c r="B90" s="20">
        <v>1521</v>
      </c>
      <c r="C90" s="20">
        <v>158</v>
      </c>
      <c r="D90" s="20">
        <v>70</v>
      </c>
      <c r="E90" t="s">
        <v>77</v>
      </c>
      <c r="F90" s="26">
        <v>45128</v>
      </c>
      <c r="G90" t="s">
        <v>76</v>
      </c>
      <c r="H90" s="5">
        <v>12.58</v>
      </c>
      <c r="I90" s="5">
        <v>47.09</v>
      </c>
      <c r="J90" s="5">
        <v>41.61</v>
      </c>
      <c r="K90" s="5">
        <v>6.7</v>
      </c>
      <c r="L90" s="5">
        <v>0.13</v>
      </c>
      <c r="M90" s="3">
        <f t="shared" si="18"/>
        <v>130</v>
      </c>
      <c r="N90" s="5">
        <v>7.89</v>
      </c>
      <c r="O90" s="23">
        <f t="shared" si="19"/>
        <v>7.8899999999999994E-3</v>
      </c>
      <c r="P90" s="23">
        <f t="shared" si="20"/>
        <v>0.14201999999999998</v>
      </c>
      <c r="Q90" s="7">
        <f t="shared" si="21"/>
        <v>1.4201999999999997E-4</v>
      </c>
      <c r="R90" s="23">
        <f t="shared" si="22"/>
        <v>0.51127199999999995</v>
      </c>
      <c r="S90" s="5">
        <v>1.25</v>
      </c>
      <c r="T90" s="5">
        <v>0.24</v>
      </c>
      <c r="U90" s="3">
        <f t="shared" si="23"/>
        <v>2400</v>
      </c>
      <c r="V90" s="8">
        <v>-0.54</v>
      </c>
      <c r="W90" s="8">
        <v>-1.9</v>
      </c>
      <c r="X90" s="5">
        <f t="shared" si="24"/>
        <v>1.3599999999999999</v>
      </c>
      <c r="Y90" s="23">
        <f t="shared" si="25"/>
        <v>0.37593529411764703</v>
      </c>
      <c r="Z90" s="23">
        <f t="shared" si="26"/>
        <v>902.24470588235283</v>
      </c>
      <c r="AA90" s="11">
        <f t="shared" si="27"/>
        <v>5.7965499613791893</v>
      </c>
      <c r="AB90" s="11">
        <f t="shared" si="28"/>
        <v>13911.719907310055</v>
      </c>
    </row>
    <row r="91" spans="1:28" ht="17.25" customHeight="1" x14ac:dyDescent="0.2">
      <c r="A91" t="s">
        <v>8</v>
      </c>
      <c r="B91" s="20">
        <v>1521</v>
      </c>
      <c r="C91" s="20">
        <v>158</v>
      </c>
      <c r="D91" s="20">
        <v>73</v>
      </c>
      <c r="E91" t="s">
        <v>77</v>
      </c>
      <c r="F91" s="26">
        <v>45128</v>
      </c>
      <c r="G91" t="s">
        <v>76</v>
      </c>
      <c r="H91" s="5">
        <v>14.58</v>
      </c>
      <c r="I91" s="5">
        <v>46.65</v>
      </c>
      <c r="J91" s="5">
        <v>41.68</v>
      </c>
      <c r="K91" s="5">
        <v>6.55</v>
      </c>
      <c r="L91" s="5">
        <v>0.15</v>
      </c>
      <c r="M91" s="3">
        <f t="shared" si="18"/>
        <v>150</v>
      </c>
      <c r="N91" s="5">
        <v>9.0500000000000007</v>
      </c>
      <c r="O91" s="23">
        <f t="shared" si="19"/>
        <v>9.0500000000000008E-3</v>
      </c>
      <c r="P91" s="23">
        <f t="shared" si="20"/>
        <v>0.16290000000000002</v>
      </c>
      <c r="Q91" s="7">
        <f t="shared" si="21"/>
        <v>1.6290000000000003E-4</v>
      </c>
      <c r="R91" s="23">
        <f t="shared" si="22"/>
        <v>0.58644000000000007</v>
      </c>
      <c r="S91" s="5">
        <v>1.75</v>
      </c>
      <c r="T91" s="5">
        <v>0.39</v>
      </c>
      <c r="U91" s="3">
        <f t="shared" si="23"/>
        <v>3900</v>
      </c>
      <c r="V91" s="8">
        <v>-0.5</v>
      </c>
      <c r="W91" s="8">
        <v>-2.19</v>
      </c>
      <c r="X91" s="5">
        <f t="shared" si="24"/>
        <v>1.69</v>
      </c>
      <c r="Y91" s="23">
        <f t="shared" si="25"/>
        <v>0.34700591715976337</v>
      </c>
      <c r="Z91" s="23">
        <f t="shared" si="26"/>
        <v>1353.3230769230772</v>
      </c>
      <c r="AA91" s="11">
        <f t="shared" si="27"/>
        <v>5.3504876163111934</v>
      </c>
      <c r="AB91" s="11">
        <f t="shared" si="28"/>
        <v>20866.901703613654</v>
      </c>
    </row>
    <row r="92" spans="1:28" ht="17.25" customHeight="1" x14ac:dyDescent="0.2">
      <c r="A92" t="s">
        <v>8</v>
      </c>
      <c r="B92" s="20">
        <v>1521</v>
      </c>
      <c r="C92" s="20">
        <v>158</v>
      </c>
      <c r="D92" s="20">
        <v>81</v>
      </c>
      <c r="E92" t="s">
        <v>77</v>
      </c>
      <c r="F92" s="26">
        <v>45128</v>
      </c>
      <c r="G92" t="s">
        <v>76</v>
      </c>
      <c r="H92" s="5">
        <v>11.99</v>
      </c>
      <c r="I92" s="5">
        <v>47.03</v>
      </c>
      <c r="J92" s="5">
        <v>43.39</v>
      </c>
      <c r="K92" s="5">
        <v>7.54</v>
      </c>
      <c r="L92" s="5">
        <v>7.0000000000000007E-2</v>
      </c>
      <c r="M92" s="3">
        <f t="shared" si="18"/>
        <v>70</v>
      </c>
      <c r="N92" s="5">
        <v>4.9800000000000004</v>
      </c>
      <c r="O92" s="23">
        <f t="shared" si="19"/>
        <v>4.9800000000000001E-3</v>
      </c>
      <c r="P92" s="23">
        <f t="shared" si="20"/>
        <v>8.9639999999999997E-2</v>
      </c>
      <c r="Q92" s="7">
        <f t="shared" si="21"/>
        <v>8.9640000000000002E-5</v>
      </c>
      <c r="R92" s="23">
        <f t="shared" si="22"/>
        <v>0.32270399999999999</v>
      </c>
      <c r="S92" s="5">
        <v>0.53</v>
      </c>
      <c r="T92" s="5">
        <v>0.2</v>
      </c>
      <c r="U92" s="3">
        <f t="shared" si="23"/>
        <v>2000</v>
      </c>
      <c r="V92" s="8">
        <v>-0.78</v>
      </c>
      <c r="W92" s="8">
        <v>-2.31</v>
      </c>
      <c r="X92" s="5">
        <f t="shared" si="24"/>
        <v>1.53</v>
      </c>
      <c r="Y92" s="23">
        <f t="shared" si="25"/>
        <v>0.21091764705882352</v>
      </c>
      <c r="Z92" s="23">
        <f t="shared" si="26"/>
        <v>421.83529411764704</v>
      </c>
      <c r="AA92" s="11">
        <f t="shared" si="27"/>
        <v>3.2521412542085186</v>
      </c>
      <c r="AB92" s="11">
        <f t="shared" si="28"/>
        <v>6504.2825084170372</v>
      </c>
    </row>
    <row r="93" spans="1:28" ht="17.25" customHeight="1" x14ac:dyDescent="0.2">
      <c r="A93" t="s">
        <v>9</v>
      </c>
      <c r="B93" s="20">
        <v>666</v>
      </c>
      <c r="C93" s="20">
        <v>101</v>
      </c>
      <c r="D93" s="20">
        <v>1</v>
      </c>
      <c r="E93" t="s">
        <v>77</v>
      </c>
      <c r="F93" s="26">
        <v>45127</v>
      </c>
      <c r="G93" t="s">
        <v>76</v>
      </c>
      <c r="H93" s="5">
        <v>11.01</v>
      </c>
      <c r="I93" s="5">
        <v>47.83</v>
      </c>
      <c r="J93" s="5">
        <v>40.630000000000003</v>
      </c>
      <c r="K93" s="5">
        <v>6.42</v>
      </c>
      <c r="L93" s="5">
        <v>0.21</v>
      </c>
      <c r="M93" s="3">
        <f t="shared" si="18"/>
        <v>210</v>
      </c>
      <c r="N93" s="5">
        <v>12.26</v>
      </c>
      <c r="O93" s="23">
        <f t="shared" si="19"/>
        <v>1.226E-2</v>
      </c>
      <c r="P93" s="23">
        <f t="shared" si="20"/>
        <v>0.22067999999999999</v>
      </c>
      <c r="Q93" s="7">
        <f t="shared" si="21"/>
        <v>2.2067999999999998E-4</v>
      </c>
      <c r="R93" s="23">
        <f t="shared" si="22"/>
        <v>0.79444799999999993</v>
      </c>
      <c r="S93" s="5">
        <v>5.47</v>
      </c>
      <c r="T93" s="5">
        <v>1.21</v>
      </c>
      <c r="U93" s="3">
        <f t="shared" si="23"/>
        <v>12100</v>
      </c>
      <c r="V93" s="8">
        <v>-0.39</v>
      </c>
      <c r="W93" s="8">
        <v>-2.36</v>
      </c>
      <c r="X93" s="5">
        <f t="shared" si="24"/>
        <v>1.9699999999999998</v>
      </c>
      <c r="Y93" s="23">
        <f t="shared" si="25"/>
        <v>0.40327309644670051</v>
      </c>
      <c r="Z93" s="23">
        <f t="shared" si="26"/>
        <v>4879.604467005076</v>
      </c>
      <c r="AA93" s="11">
        <f t="shared" si="27"/>
        <v>6.2180718017442924</v>
      </c>
      <c r="AB93" s="11">
        <f t="shared" si="28"/>
        <v>75238.668801105945</v>
      </c>
    </row>
    <row r="94" spans="1:28" ht="17.25" customHeight="1" x14ac:dyDescent="0.2">
      <c r="A94" t="s">
        <v>9</v>
      </c>
      <c r="B94" s="20">
        <v>666</v>
      </c>
      <c r="C94" s="20">
        <v>101</v>
      </c>
      <c r="D94" s="20">
        <v>2</v>
      </c>
      <c r="E94" t="s">
        <v>77</v>
      </c>
      <c r="F94" s="26">
        <v>45127</v>
      </c>
      <c r="G94" t="s">
        <v>76</v>
      </c>
      <c r="H94" s="5">
        <v>10.97</v>
      </c>
      <c r="I94" s="5">
        <v>47.73</v>
      </c>
      <c r="J94" s="5">
        <v>39.96</v>
      </c>
      <c r="K94" s="5">
        <v>6.15</v>
      </c>
      <c r="L94" s="5">
        <v>0.25</v>
      </c>
      <c r="M94" s="3">
        <f t="shared" si="18"/>
        <v>250</v>
      </c>
      <c r="N94" s="5">
        <v>14.17</v>
      </c>
      <c r="O94" s="23">
        <f t="shared" si="19"/>
        <v>1.417E-2</v>
      </c>
      <c r="P94" s="23">
        <f t="shared" si="20"/>
        <v>0.25506000000000001</v>
      </c>
      <c r="Q94" s="7">
        <f t="shared" si="21"/>
        <v>2.5505999999999999E-4</v>
      </c>
      <c r="R94" s="23">
        <f t="shared" si="22"/>
        <v>0.91821599999999992</v>
      </c>
      <c r="S94" s="5">
        <v>6.42</v>
      </c>
      <c r="T94" s="5">
        <v>1.41</v>
      </c>
      <c r="U94" s="3">
        <f t="shared" si="23"/>
        <v>14100</v>
      </c>
      <c r="V94" s="8">
        <v>-0.33</v>
      </c>
      <c r="W94" s="8">
        <v>-2.36</v>
      </c>
      <c r="X94" s="5">
        <f t="shared" si="24"/>
        <v>2.0299999999999998</v>
      </c>
      <c r="Y94" s="23">
        <f t="shared" si="25"/>
        <v>0.45232315270935963</v>
      </c>
      <c r="Z94" s="23">
        <f t="shared" si="26"/>
        <v>6377.7564532019705</v>
      </c>
      <c r="AA94" s="11">
        <f t="shared" si="27"/>
        <v>6.974375096975697</v>
      </c>
      <c r="AB94" s="11">
        <f t="shared" si="28"/>
        <v>98338.688867357327</v>
      </c>
    </row>
    <row r="95" spans="1:28" ht="17.25" customHeight="1" x14ac:dyDescent="0.2">
      <c r="A95" t="s">
        <v>9</v>
      </c>
      <c r="B95" s="20">
        <v>666</v>
      </c>
      <c r="C95" s="20">
        <v>101</v>
      </c>
      <c r="D95" s="20">
        <v>3</v>
      </c>
      <c r="E95" t="s">
        <v>77</v>
      </c>
      <c r="F95" s="26">
        <v>45127</v>
      </c>
      <c r="G95" t="s">
        <v>76</v>
      </c>
      <c r="H95" s="5">
        <v>10.91</v>
      </c>
      <c r="I95" s="5">
        <v>48.08</v>
      </c>
      <c r="J95" s="5">
        <v>41.13</v>
      </c>
      <c r="K95" s="5">
        <v>6.61</v>
      </c>
      <c r="L95" s="5">
        <v>0.21</v>
      </c>
      <c r="M95" s="3">
        <f t="shared" si="18"/>
        <v>210</v>
      </c>
      <c r="N95" s="5">
        <v>12.68</v>
      </c>
      <c r="O95" s="23">
        <f t="shared" si="19"/>
        <v>1.268E-2</v>
      </c>
      <c r="P95" s="23">
        <f t="shared" si="20"/>
        <v>0.22824</v>
      </c>
      <c r="Q95" s="7">
        <f t="shared" si="21"/>
        <v>2.2824E-4</v>
      </c>
      <c r="R95" s="23">
        <f t="shared" si="22"/>
        <v>0.82166399999999995</v>
      </c>
      <c r="S95" s="5">
        <v>5.07</v>
      </c>
      <c r="T95" s="5">
        <v>1.03</v>
      </c>
      <c r="U95" s="3">
        <f t="shared" si="23"/>
        <v>10300</v>
      </c>
      <c r="V95" s="8">
        <v>-0.38</v>
      </c>
      <c r="W95" s="8">
        <v>-1.81</v>
      </c>
      <c r="X95" s="5">
        <f t="shared" si="24"/>
        <v>1.4300000000000002</v>
      </c>
      <c r="Y95" s="23">
        <f t="shared" si="25"/>
        <v>0.57459020979020969</v>
      </c>
      <c r="Z95" s="23">
        <f t="shared" si="26"/>
        <v>5918.2791608391599</v>
      </c>
      <c r="AA95" s="11">
        <f t="shared" si="27"/>
        <v>8.8596120409114683</v>
      </c>
      <c r="AB95" s="11">
        <f t="shared" si="28"/>
        <v>91254.004021388129</v>
      </c>
    </row>
    <row r="96" spans="1:28" ht="17.25" customHeight="1" x14ac:dyDescent="0.2">
      <c r="A96" t="s">
        <v>9</v>
      </c>
      <c r="B96" s="20">
        <v>666</v>
      </c>
      <c r="C96" s="20">
        <v>105</v>
      </c>
      <c r="D96" s="20">
        <v>7</v>
      </c>
      <c r="E96" t="s">
        <v>77</v>
      </c>
      <c r="F96" s="26">
        <v>45127</v>
      </c>
      <c r="G96" t="s">
        <v>76</v>
      </c>
      <c r="H96" s="5">
        <v>11.7</v>
      </c>
      <c r="I96" s="5">
        <v>47.57</v>
      </c>
      <c r="J96" s="5">
        <v>41.77</v>
      </c>
      <c r="K96" s="5">
        <v>6.83</v>
      </c>
      <c r="L96" s="5">
        <v>0.15</v>
      </c>
      <c r="M96" s="3">
        <f t="shared" si="18"/>
        <v>150</v>
      </c>
      <c r="N96" s="5">
        <v>9.48</v>
      </c>
      <c r="O96" s="23">
        <f t="shared" si="19"/>
        <v>9.4800000000000006E-3</v>
      </c>
      <c r="P96" s="23">
        <f t="shared" si="20"/>
        <v>0.17064000000000001</v>
      </c>
      <c r="Q96" s="7">
        <f t="shared" si="21"/>
        <v>1.7064000000000001E-4</v>
      </c>
      <c r="R96" s="23">
        <f t="shared" si="22"/>
        <v>0.61430400000000007</v>
      </c>
      <c r="S96" s="5">
        <v>3.34</v>
      </c>
      <c r="T96" s="5">
        <v>0.91</v>
      </c>
      <c r="U96" s="3">
        <f t="shared" si="23"/>
        <v>9100</v>
      </c>
      <c r="V96" s="8">
        <v>-0.48</v>
      </c>
      <c r="W96" s="8">
        <v>-2.17</v>
      </c>
      <c r="X96" s="5">
        <f t="shared" si="24"/>
        <v>1.69</v>
      </c>
      <c r="Y96" s="23">
        <f t="shared" si="25"/>
        <v>0.36349349112426038</v>
      </c>
      <c r="Z96" s="23">
        <f t="shared" si="26"/>
        <v>3307.7907692307695</v>
      </c>
      <c r="AA96" s="11">
        <f t="shared" si="27"/>
        <v>5.6047096798486313</v>
      </c>
      <c r="AB96" s="11">
        <f t="shared" si="28"/>
        <v>51002.858086622546</v>
      </c>
    </row>
    <row r="97" spans="1:28" ht="17.25" customHeight="1" x14ac:dyDescent="0.2">
      <c r="A97" t="s">
        <v>9</v>
      </c>
      <c r="B97" s="20">
        <v>666</v>
      </c>
      <c r="C97" s="20">
        <v>105</v>
      </c>
      <c r="D97" s="20">
        <v>8</v>
      </c>
      <c r="E97" t="s">
        <v>77</v>
      </c>
      <c r="F97" s="26">
        <v>45127</v>
      </c>
      <c r="G97" t="s">
        <v>76</v>
      </c>
      <c r="H97" s="5">
        <v>11.85</v>
      </c>
      <c r="I97" s="5">
        <v>46.81</v>
      </c>
      <c r="J97" s="5">
        <v>40.909999999999997</v>
      </c>
      <c r="K97" s="5">
        <v>6.5</v>
      </c>
      <c r="L97" s="5">
        <v>0.16</v>
      </c>
      <c r="M97" s="3">
        <f t="shared" si="18"/>
        <v>160</v>
      </c>
      <c r="N97" s="5">
        <v>9.8699999999999992</v>
      </c>
      <c r="O97" s="23">
        <f t="shared" si="19"/>
        <v>9.8699999999999986E-3</v>
      </c>
      <c r="P97" s="23">
        <f t="shared" si="20"/>
        <v>0.17765999999999998</v>
      </c>
      <c r="Q97" s="7">
        <f t="shared" si="21"/>
        <v>1.7765999999999998E-4</v>
      </c>
      <c r="R97" s="23">
        <f t="shared" si="22"/>
        <v>0.63957599999999992</v>
      </c>
      <c r="S97" s="5">
        <v>2.64</v>
      </c>
      <c r="T97" s="5">
        <v>0.69</v>
      </c>
      <c r="U97" s="5">
        <f t="shared" si="23"/>
        <v>6899.9999999999991</v>
      </c>
      <c r="V97" s="8">
        <v>-0.51</v>
      </c>
      <c r="W97" s="8">
        <v>-2.2799999999999998</v>
      </c>
      <c r="X97" s="5">
        <f t="shared" si="24"/>
        <v>1.7699999999999998</v>
      </c>
      <c r="Y97" s="23">
        <f t="shared" si="25"/>
        <v>0.36134237288135596</v>
      </c>
      <c r="Z97" s="23">
        <f t="shared" si="26"/>
        <v>2493.262372881356</v>
      </c>
      <c r="AA97" s="11">
        <f t="shared" si="27"/>
        <v>5.5715415667107147</v>
      </c>
      <c r="AB97" s="11">
        <f t="shared" si="28"/>
        <v>38443.636810303928</v>
      </c>
    </row>
    <row r="98" spans="1:28" ht="17.25" customHeight="1" x14ac:dyDescent="0.2">
      <c r="A98" t="s">
        <v>9</v>
      </c>
      <c r="B98" s="20">
        <v>666</v>
      </c>
      <c r="C98" s="20">
        <v>105</v>
      </c>
      <c r="D98" s="20">
        <v>9</v>
      </c>
      <c r="E98" t="s">
        <v>77</v>
      </c>
      <c r="F98" s="26">
        <v>45128</v>
      </c>
      <c r="G98" t="s">
        <v>76</v>
      </c>
      <c r="H98" s="5">
        <v>16.329999999999998</v>
      </c>
      <c r="I98" s="5">
        <v>45.49</v>
      </c>
      <c r="J98" s="5">
        <v>42.03</v>
      </c>
      <c r="K98" s="5">
        <v>6.61</v>
      </c>
      <c r="L98" s="5">
        <v>0.08</v>
      </c>
      <c r="M98" s="3">
        <f t="shared" si="18"/>
        <v>80</v>
      </c>
      <c r="N98" s="5">
        <v>4.72</v>
      </c>
      <c r="O98" s="23">
        <f t="shared" si="19"/>
        <v>4.7199999999999994E-3</v>
      </c>
      <c r="P98" s="23">
        <f t="shared" si="20"/>
        <v>8.4959999999999994E-2</v>
      </c>
      <c r="Q98" s="7">
        <f t="shared" si="21"/>
        <v>8.496E-5</v>
      </c>
      <c r="R98" s="23">
        <f t="shared" si="22"/>
        <v>0.30585600000000002</v>
      </c>
      <c r="S98" s="5">
        <v>5.01</v>
      </c>
      <c r="T98" s="5">
        <v>1.0900000000000001</v>
      </c>
      <c r="U98" s="3">
        <f t="shared" si="23"/>
        <v>10900</v>
      </c>
      <c r="V98" s="8">
        <v>-0.97</v>
      </c>
      <c r="W98" s="8">
        <v>-2.34</v>
      </c>
      <c r="X98" s="5">
        <f t="shared" si="24"/>
        <v>1.3699999999999999</v>
      </c>
      <c r="Y98" s="23">
        <f t="shared" si="25"/>
        <v>0.22325255474452557</v>
      </c>
      <c r="Z98" s="23">
        <f t="shared" si="26"/>
        <v>2433.4528467153286</v>
      </c>
      <c r="AA98" s="11">
        <f t="shared" si="27"/>
        <v>3.4423333159487943</v>
      </c>
      <c r="AB98" s="11">
        <f t="shared" si="28"/>
        <v>37521.433143841859</v>
      </c>
    </row>
    <row r="99" spans="1:28" ht="17.25" customHeight="1" x14ac:dyDescent="0.2">
      <c r="A99" t="s">
        <v>9</v>
      </c>
      <c r="B99" s="20">
        <v>666</v>
      </c>
      <c r="C99" s="20">
        <v>118</v>
      </c>
      <c r="D99" s="20">
        <v>10</v>
      </c>
      <c r="E99" t="s">
        <v>77</v>
      </c>
      <c r="F99" s="26">
        <v>45128</v>
      </c>
      <c r="G99" t="s">
        <v>76</v>
      </c>
      <c r="H99" s="5">
        <v>12.42</v>
      </c>
      <c r="I99" s="5">
        <v>47.09</v>
      </c>
      <c r="J99" s="5">
        <v>41.49</v>
      </c>
      <c r="K99" s="5">
        <v>6.66</v>
      </c>
      <c r="L99" s="5">
        <v>0.13</v>
      </c>
      <c r="M99" s="3">
        <f t="shared" si="18"/>
        <v>130</v>
      </c>
      <c r="N99" s="5">
        <v>8.23</v>
      </c>
      <c r="O99" s="23">
        <f t="shared" ref="O99:O122" si="29">N99/1000</f>
        <v>8.2300000000000012E-3</v>
      </c>
      <c r="P99" s="23">
        <f t="shared" ref="P99:P122" si="30">O99*18</f>
        <v>0.14814000000000002</v>
      </c>
      <c r="Q99" s="7">
        <f t="shared" ref="Q99:Q122" si="31">P99/1000</f>
        <v>1.4814000000000003E-4</v>
      </c>
      <c r="R99" s="23">
        <f t="shared" ref="R99:R122" si="32">Q99*3600</f>
        <v>0.53330400000000011</v>
      </c>
      <c r="S99" s="5">
        <v>3.56</v>
      </c>
      <c r="T99" s="5">
        <v>1</v>
      </c>
      <c r="U99" s="3">
        <f t="shared" ref="U99:U122" si="33">T99*10000</f>
        <v>10000</v>
      </c>
      <c r="V99" s="8">
        <v>-0.43</v>
      </c>
      <c r="W99" s="8">
        <v>-1.96</v>
      </c>
      <c r="X99" s="5">
        <f t="shared" ref="X99:X122" si="34">V99-W99</f>
        <v>1.53</v>
      </c>
      <c r="Y99" s="23">
        <f t="shared" ref="Y99:Y122" si="35">R99/X99</f>
        <v>0.348564705882353</v>
      </c>
      <c r="Z99" s="23">
        <f t="shared" si="26"/>
        <v>3485.6470588235302</v>
      </c>
      <c r="AA99" s="11">
        <f t="shared" si="27"/>
        <v>5.3745225948064492</v>
      </c>
      <c r="AB99" s="11">
        <f t="shared" si="28"/>
        <v>53745.225948064493</v>
      </c>
    </row>
    <row r="100" spans="1:28" ht="17.25" customHeight="1" x14ac:dyDescent="0.2">
      <c r="A100" t="s">
        <v>9</v>
      </c>
      <c r="B100" s="20">
        <v>666</v>
      </c>
      <c r="C100" s="20">
        <v>118</v>
      </c>
      <c r="D100" s="20">
        <v>11</v>
      </c>
      <c r="E100" t="s">
        <v>77</v>
      </c>
      <c r="F100" s="26">
        <v>45128</v>
      </c>
      <c r="G100" t="s">
        <v>76</v>
      </c>
      <c r="H100" s="5">
        <v>14.7</v>
      </c>
      <c r="I100" s="5">
        <v>46.38</v>
      </c>
      <c r="J100" s="5">
        <v>43.5</v>
      </c>
      <c r="K100" s="5">
        <v>7.36</v>
      </c>
      <c r="L100" s="5">
        <v>0.06</v>
      </c>
      <c r="M100" s="3">
        <f t="shared" si="18"/>
        <v>60</v>
      </c>
      <c r="N100" s="5">
        <v>4.1399999999999997</v>
      </c>
      <c r="O100" s="23">
        <f t="shared" si="29"/>
        <v>4.1399999999999996E-3</v>
      </c>
      <c r="P100" s="23">
        <f t="shared" si="30"/>
        <v>7.4519999999999989E-2</v>
      </c>
      <c r="Q100" s="7">
        <f t="shared" si="31"/>
        <v>7.4519999999999984E-5</v>
      </c>
      <c r="R100" s="23">
        <f t="shared" si="32"/>
        <v>0.26827199999999995</v>
      </c>
      <c r="S100" s="5">
        <v>3.32</v>
      </c>
      <c r="T100" s="5">
        <v>0.91</v>
      </c>
      <c r="U100" s="3">
        <f t="shared" si="33"/>
        <v>9100</v>
      </c>
      <c r="V100" s="8">
        <v>-0.77</v>
      </c>
      <c r="W100" s="8">
        <v>-1.83</v>
      </c>
      <c r="X100" s="5">
        <f t="shared" si="34"/>
        <v>1.06</v>
      </c>
      <c r="Y100" s="23">
        <f t="shared" si="35"/>
        <v>0.25308679245283011</v>
      </c>
      <c r="Z100" s="23">
        <f t="shared" si="26"/>
        <v>2303.0898113207541</v>
      </c>
      <c r="AA100" s="11">
        <f t="shared" si="27"/>
        <v>3.902347717740319</v>
      </c>
      <c r="AB100" s="11">
        <f t="shared" si="28"/>
        <v>35511.364231436899</v>
      </c>
    </row>
    <row r="101" spans="1:28" ht="17.25" customHeight="1" x14ac:dyDescent="0.2">
      <c r="A101" t="s">
        <v>9</v>
      </c>
      <c r="B101" s="20">
        <v>666</v>
      </c>
      <c r="C101" s="20">
        <v>118</v>
      </c>
      <c r="D101" s="20">
        <v>12</v>
      </c>
      <c r="E101" t="s">
        <v>77</v>
      </c>
      <c r="F101" s="26">
        <v>45127</v>
      </c>
      <c r="G101" t="s">
        <v>76</v>
      </c>
      <c r="H101" s="5">
        <v>10.42</v>
      </c>
      <c r="I101" s="3">
        <v>48</v>
      </c>
      <c r="J101" s="5">
        <v>41.98</v>
      </c>
      <c r="K101" s="5">
        <v>7.04</v>
      </c>
      <c r="L101" s="5">
        <v>0.12</v>
      </c>
      <c r="M101" s="3">
        <f t="shared" si="18"/>
        <v>120</v>
      </c>
      <c r="N101" s="5">
        <v>8.0500000000000007</v>
      </c>
      <c r="O101" s="23">
        <f t="shared" si="29"/>
        <v>8.0499999999999999E-3</v>
      </c>
      <c r="P101" s="23">
        <f t="shared" si="30"/>
        <v>0.1449</v>
      </c>
      <c r="Q101" s="7">
        <f t="shared" si="31"/>
        <v>1.449E-4</v>
      </c>
      <c r="R101" s="23">
        <f t="shared" si="32"/>
        <v>0.52163999999999999</v>
      </c>
      <c r="S101" s="5">
        <v>1.61</v>
      </c>
      <c r="T101" s="5">
        <v>0.5</v>
      </c>
      <c r="U101" s="3">
        <f t="shared" si="33"/>
        <v>5000</v>
      </c>
      <c r="V101" s="8">
        <v>-0.44</v>
      </c>
      <c r="W101" s="8">
        <v>-2.02</v>
      </c>
      <c r="X101" s="5">
        <f t="shared" si="34"/>
        <v>1.58</v>
      </c>
      <c r="Y101" s="23">
        <f t="shared" si="35"/>
        <v>0.33015189873417722</v>
      </c>
      <c r="Z101" s="23">
        <f t="shared" si="26"/>
        <v>1650.7594936708861</v>
      </c>
      <c r="AA101" s="11">
        <f t="shared" si="27"/>
        <v>5.0906153420592775</v>
      </c>
      <c r="AB101" s="11">
        <f t="shared" si="28"/>
        <v>25453.076710296387</v>
      </c>
    </row>
    <row r="102" spans="1:28" ht="17.25" customHeight="1" x14ac:dyDescent="0.2">
      <c r="A102" t="s">
        <v>9</v>
      </c>
      <c r="B102" s="20">
        <v>666</v>
      </c>
      <c r="C102" s="20">
        <v>122</v>
      </c>
      <c r="D102" s="20">
        <v>16</v>
      </c>
      <c r="E102" t="s">
        <v>77</v>
      </c>
      <c r="F102" s="26">
        <v>45128</v>
      </c>
      <c r="G102" t="s">
        <v>76</v>
      </c>
      <c r="H102" s="5">
        <v>14.21</v>
      </c>
      <c r="I102" s="5">
        <v>46.72</v>
      </c>
      <c r="J102" s="5">
        <v>41.6</v>
      </c>
      <c r="K102" s="5">
        <v>6.54</v>
      </c>
      <c r="L102" s="5">
        <v>0.13</v>
      </c>
      <c r="M102" s="3">
        <f t="shared" si="18"/>
        <v>130</v>
      </c>
      <c r="N102" s="5">
        <v>7.78</v>
      </c>
      <c r="O102" s="23">
        <f t="shared" si="29"/>
        <v>7.7800000000000005E-3</v>
      </c>
      <c r="P102" s="23">
        <f t="shared" si="30"/>
        <v>0.14004</v>
      </c>
      <c r="Q102" s="7">
        <f t="shared" si="31"/>
        <v>1.4003999999999999E-4</v>
      </c>
      <c r="R102" s="23">
        <f t="shared" si="32"/>
        <v>0.50414399999999993</v>
      </c>
      <c r="S102" s="5">
        <v>7.05</v>
      </c>
      <c r="T102" s="5">
        <v>2.21</v>
      </c>
      <c r="U102" s="3">
        <f t="shared" si="33"/>
        <v>22100</v>
      </c>
      <c r="V102" s="8">
        <v>-0.51</v>
      </c>
      <c r="W102" s="8">
        <v>-2.23</v>
      </c>
      <c r="X102" s="5">
        <f t="shared" si="34"/>
        <v>1.72</v>
      </c>
      <c r="Y102" s="23">
        <f t="shared" si="35"/>
        <v>0.29310697674418601</v>
      </c>
      <c r="Z102" s="23">
        <f t="shared" si="26"/>
        <v>6477.6641860465106</v>
      </c>
      <c r="AA102" s="11">
        <f t="shared" si="27"/>
        <v>4.519419329100784</v>
      </c>
      <c r="AB102" s="11">
        <f t="shared" si="28"/>
        <v>99879.167173127324</v>
      </c>
    </row>
    <row r="103" spans="1:28" ht="17.25" customHeight="1" x14ac:dyDescent="0.2">
      <c r="A103" t="s">
        <v>9</v>
      </c>
      <c r="B103" s="20">
        <v>666</v>
      </c>
      <c r="C103" s="20">
        <v>122</v>
      </c>
      <c r="D103" s="20">
        <v>17</v>
      </c>
      <c r="E103" t="s">
        <v>77</v>
      </c>
      <c r="F103" s="26">
        <v>45128</v>
      </c>
      <c r="G103" t="s">
        <v>76</v>
      </c>
      <c r="H103" s="5">
        <v>13.63</v>
      </c>
      <c r="I103" s="5">
        <v>46.83</v>
      </c>
      <c r="J103" s="5">
        <v>42.85</v>
      </c>
      <c r="K103" s="5">
        <v>7.14</v>
      </c>
      <c r="L103" s="5">
        <v>0.09</v>
      </c>
      <c r="M103" s="3">
        <f t="shared" si="18"/>
        <v>90</v>
      </c>
      <c r="N103" s="5">
        <v>6.19</v>
      </c>
      <c r="O103" s="23">
        <f t="shared" si="29"/>
        <v>6.1900000000000002E-3</v>
      </c>
      <c r="P103" s="23">
        <f t="shared" si="30"/>
        <v>0.11142000000000001</v>
      </c>
      <c r="Q103" s="7">
        <f t="shared" si="31"/>
        <v>1.1142E-4</v>
      </c>
      <c r="R103" s="23">
        <f t="shared" si="32"/>
        <v>0.40111200000000002</v>
      </c>
      <c r="S103" s="5">
        <v>4.82</v>
      </c>
      <c r="T103" s="5">
        <v>1.19</v>
      </c>
      <c r="U103" s="3">
        <f t="shared" si="33"/>
        <v>11900</v>
      </c>
      <c r="V103" s="8">
        <v>-0.41</v>
      </c>
      <c r="W103" s="8">
        <v>-2.27</v>
      </c>
      <c r="X103" s="5">
        <f t="shared" si="34"/>
        <v>1.86</v>
      </c>
      <c r="Y103" s="23">
        <f t="shared" si="35"/>
        <v>0.21565161290322582</v>
      </c>
      <c r="Z103" s="23">
        <f t="shared" si="26"/>
        <v>2566.2541935483873</v>
      </c>
      <c r="AA103" s="11">
        <f t="shared" si="27"/>
        <v>3.3251343196692815</v>
      </c>
      <c r="AB103" s="11">
        <f t="shared" si="28"/>
        <v>39569.098404064447</v>
      </c>
    </row>
    <row r="104" spans="1:28" ht="17.25" customHeight="1" x14ac:dyDescent="0.2">
      <c r="A104" t="s">
        <v>9</v>
      </c>
      <c r="B104" s="20">
        <v>666</v>
      </c>
      <c r="C104" s="20">
        <v>122</v>
      </c>
      <c r="D104" s="20">
        <v>18</v>
      </c>
      <c r="E104" t="s">
        <v>77</v>
      </c>
      <c r="F104" s="26">
        <v>45127</v>
      </c>
      <c r="G104" t="s">
        <v>76</v>
      </c>
      <c r="H104" s="5">
        <v>10.92</v>
      </c>
      <c r="I104" s="5">
        <v>47.88</v>
      </c>
      <c r="J104" s="5">
        <v>42.18</v>
      </c>
      <c r="K104" s="5">
        <v>7.07</v>
      </c>
      <c r="L104" s="5">
        <v>0.15</v>
      </c>
      <c r="M104" s="3">
        <f t="shared" si="18"/>
        <v>150</v>
      </c>
      <c r="N104" s="5">
        <v>10.25</v>
      </c>
      <c r="O104" s="23">
        <f t="shared" si="29"/>
        <v>1.025E-2</v>
      </c>
      <c r="P104" s="23">
        <f t="shared" si="30"/>
        <v>0.1845</v>
      </c>
      <c r="Q104" s="7">
        <f t="shared" si="31"/>
        <v>1.8449999999999999E-4</v>
      </c>
      <c r="R104" s="23">
        <f t="shared" si="32"/>
        <v>0.6641999999999999</v>
      </c>
      <c r="S104" s="5">
        <v>7.37</v>
      </c>
      <c r="T104" s="5">
        <v>1.96</v>
      </c>
      <c r="U104" s="3">
        <f t="shared" si="33"/>
        <v>19600</v>
      </c>
      <c r="V104" s="8">
        <v>-0.37</v>
      </c>
      <c r="W104" s="8">
        <v>-2.21</v>
      </c>
      <c r="X104" s="5">
        <f t="shared" si="34"/>
        <v>1.8399999999999999</v>
      </c>
      <c r="Y104" s="23">
        <f t="shared" si="35"/>
        <v>0.36097826086956519</v>
      </c>
      <c r="Z104" s="23">
        <f t="shared" si="26"/>
        <v>7075.173913043478</v>
      </c>
      <c r="AA104" s="11">
        <f t="shared" si="27"/>
        <v>5.5659273200546853</v>
      </c>
      <c r="AB104" s="11">
        <f t="shared" si="28"/>
        <v>109092.17547307184</v>
      </c>
    </row>
    <row r="105" spans="1:28" ht="17.25" customHeight="1" x14ac:dyDescent="0.2">
      <c r="A105" t="s">
        <v>9</v>
      </c>
      <c r="B105" s="20">
        <v>666</v>
      </c>
      <c r="C105" s="20">
        <v>123</v>
      </c>
      <c r="D105" s="20">
        <v>19</v>
      </c>
      <c r="E105" t="s">
        <v>77</v>
      </c>
      <c r="F105" s="26">
        <v>45127</v>
      </c>
      <c r="G105" t="s">
        <v>76</v>
      </c>
      <c r="H105" s="5">
        <v>10.89</v>
      </c>
      <c r="I105" s="5">
        <v>47.71</v>
      </c>
      <c r="J105" s="5">
        <v>41.27</v>
      </c>
      <c r="K105" s="5">
        <v>6.7</v>
      </c>
      <c r="L105" s="5">
        <v>0.16</v>
      </c>
      <c r="M105" s="3">
        <f t="shared" si="18"/>
        <v>160</v>
      </c>
      <c r="N105" s="5">
        <v>10.210000000000001</v>
      </c>
      <c r="O105" s="23">
        <f t="shared" si="29"/>
        <v>1.021E-2</v>
      </c>
      <c r="P105" s="23">
        <f t="shared" si="30"/>
        <v>0.18378</v>
      </c>
      <c r="Q105" s="7">
        <f t="shared" si="31"/>
        <v>1.8378000000000001E-4</v>
      </c>
      <c r="R105" s="23">
        <f t="shared" si="32"/>
        <v>0.66160799999999997</v>
      </c>
      <c r="S105" s="5">
        <v>6.06</v>
      </c>
      <c r="T105" s="5">
        <v>1.55</v>
      </c>
      <c r="U105" s="3">
        <f t="shared" si="33"/>
        <v>15500</v>
      </c>
      <c r="V105" s="8">
        <v>-0.4</v>
      </c>
      <c r="W105" s="8">
        <v>-2.5</v>
      </c>
      <c r="X105" s="5">
        <f t="shared" si="34"/>
        <v>2.1</v>
      </c>
      <c r="Y105" s="23">
        <f t="shared" si="35"/>
        <v>0.31505142857142854</v>
      </c>
      <c r="Z105" s="23">
        <f t="shared" si="26"/>
        <v>4883.2971428571427</v>
      </c>
      <c r="AA105" s="11">
        <f t="shared" si="27"/>
        <v>4.8577810455505377</v>
      </c>
      <c r="AB105" s="11">
        <f t="shared" si="28"/>
        <v>75295.606206033335</v>
      </c>
    </row>
    <row r="106" spans="1:28" ht="17.25" customHeight="1" x14ac:dyDescent="0.2">
      <c r="A106" t="s">
        <v>9</v>
      </c>
      <c r="B106" s="20">
        <v>666</v>
      </c>
      <c r="C106" s="20">
        <v>123</v>
      </c>
      <c r="D106" s="20">
        <v>20</v>
      </c>
      <c r="E106" t="s">
        <v>77</v>
      </c>
      <c r="F106" s="26">
        <v>45127</v>
      </c>
      <c r="G106" t="s">
        <v>76</v>
      </c>
      <c r="H106" s="5">
        <v>14.8</v>
      </c>
      <c r="I106" s="5">
        <v>42.43</v>
      </c>
      <c r="J106" s="5">
        <v>40.28</v>
      </c>
      <c r="K106" s="5">
        <v>6.25</v>
      </c>
      <c r="L106" s="5">
        <v>0.14000000000000001</v>
      </c>
      <c r="M106" s="3">
        <f t="shared" si="18"/>
        <v>140</v>
      </c>
      <c r="N106" s="5">
        <v>7.99</v>
      </c>
      <c r="O106" s="23">
        <f t="shared" si="29"/>
        <v>7.9900000000000006E-3</v>
      </c>
      <c r="P106" s="23">
        <f t="shared" si="30"/>
        <v>0.14382</v>
      </c>
      <c r="Q106" s="7">
        <f t="shared" si="31"/>
        <v>1.4382000000000002E-4</v>
      </c>
      <c r="R106" s="23">
        <f t="shared" si="32"/>
        <v>0.5177520000000001</v>
      </c>
      <c r="S106" s="5">
        <v>5.82</v>
      </c>
      <c r="T106" s="5">
        <v>2.02</v>
      </c>
      <c r="U106" s="3">
        <f t="shared" si="33"/>
        <v>20200</v>
      </c>
      <c r="V106" s="8">
        <v>-0.37</v>
      </c>
      <c r="W106" s="8">
        <v>-2.59</v>
      </c>
      <c r="X106" s="5">
        <f t="shared" si="34"/>
        <v>2.2199999999999998</v>
      </c>
      <c r="Y106" s="23">
        <f t="shared" si="35"/>
        <v>0.23322162162162169</v>
      </c>
      <c r="Z106" s="23">
        <f t="shared" si="26"/>
        <v>4711.0767567567582</v>
      </c>
      <c r="AA106" s="11">
        <f t="shared" si="27"/>
        <v>3.5960464552193359</v>
      </c>
      <c r="AB106" s="11">
        <f t="shared" si="28"/>
        <v>72640.138395430578</v>
      </c>
    </row>
    <row r="107" spans="1:28" ht="17.25" customHeight="1" x14ac:dyDescent="0.2">
      <c r="A107" t="s">
        <v>9</v>
      </c>
      <c r="B107" s="20">
        <v>666</v>
      </c>
      <c r="C107" s="20">
        <v>123</v>
      </c>
      <c r="D107" s="20">
        <v>22</v>
      </c>
      <c r="E107" t="s">
        <v>77</v>
      </c>
      <c r="F107" s="26">
        <v>45127</v>
      </c>
      <c r="G107" t="s">
        <v>76</v>
      </c>
      <c r="H107" s="5">
        <v>11.23</v>
      </c>
      <c r="I107" s="5">
        <v>47.46</v>
      </c>
      <c r="J107" s="5">
        <v>41.53</v>
      </c>
      <c r="K107" s="5">
        <v>6.78</v>
      </c>
      <c r="L107" s="5">
        <v>0.15</v>
      </c>
      <c r="M107" s="3">
        <f t="shared" si="18"/>
        <v>150</v>
      </c>
      <c r="N107" s="5">
        <v>9.3000000000000007</v>
      </c>
      <c r="O107" s="23">
        <f t="shared" si="29"/>
        <v>9.300000000000001E-3</v>
      </c>
      <c r="P107" s="23">
        <f t="shared" si="30"/>
        <v>0.16740000000000002</v>
      </c>
      <c r="Q107" s="7">
        <f t="shared" si="31"/>
        <v>1.6740000000000003E-4</v>
      </c>
      <c r="R107" s="23">
        <f t="shared" si="32"/>
        <v>0.60264000000000006</v>
      </c>
      <c r="S107" s="5">
        <v>4.78</v>
      </c>
      <c r="T107" s="5">
        <v>1.58</v>
      </c>
      <c r="U107" s="3">
        <f t="shared" si="33"/>
        <v>15800</v>
      </c>
      <c r="V107" s="8">
        <v>-0.78</v>
      </c>
      <c r="W107" s="8">
        <v>-2.29</v>
      </c>
      <c r="X107" s="5">
        <f t="shared" si="34"/>
        <v>1.51</v>
      </c>
      <c r="Y107" s="23">
        <f t="shared" si="35"/>
        <v>0.39909933774834438</v>
      </c>
      <c r="Z107" s="23">
        <f t="shared" si="26"/>
        <v>6305.7695364238416</v>
      </c>
      <c r="AA107" s="11">
        <f t="shared" si="27"/>
        <v>6.1537165757244896</v>
      </c>
      <c r="AB107" s="11">
        <f t="shared" si="28"/>
        <v>97228.721896446936</v>
      </c>
    </row>
    <row r="108" spans="1:28" ht="17.25" customHeight="1" x14ac:dyDescent="0.2">
      <c r="A108" t="s">
        <v>10</v>
      </c>
      <c r="B108" s="20">
        <v>1212</v>
      </c>
      <c r="C108" s="20">
        <v>3</v>
      </c>
      <c r="D108" s="20">
        <v>29</v>
      </c>
      <c r="E108" t="s">
        <v>77</v>
      </c>
      <c r="F108" s="26">
        <v>45127</v>
      </c>
      <c r="G108" t="s">
        <v>76</v>
      </c>
      <c r="H108" s="5">
        <v>10.98</v>
      </c>
      <c r="I108" s="5">
        <v>48.24</v>
      </c>
      <c r="J108" s="5">
        <v>41.9</v>
      </c>
      <c r="K108" s="5">
        <v>6.92</v>
      </c>
      <c r="L108" s="5">
        <v>0.12</v>
      </c>
      <c r="M108" s="3">
        <f t="shared" si="18"/>
        <v>120</v>
      </c>
      <c r="N108" s="5">
        <v>7.88</v>
      </c>
      <c r="O108" s="23">
        <f t="shared" si="29"/>
        <v>7.8799999999999999E-3</v>
      </c>
      <c r="P108" s="23">
        <f t="shared" si="30"/>
        <v>0.14183999999999999</v>
      </c>
      <c r="Q108" s="7">
        <f t="shared" si="31"/>
        <v>1.4183999999999998E-4</v>
      </c>
      <c r="R108" s="23">
        <f t="shared" si="32"/>
        <v>0.51062399999999997</v>
      </c>
      <c r="S108" s="5">
        <v>8.68</v>
      </c>
      <c r="T108" s="5">
        <v>2.3199999999999998</v>
      </c>
      <c r="U108" s="3">
        <f t="shared" si="33"/>
        <v>23200</v>
      </c>
      <c r="V108" s="8">
        <v>-0.74</v>
      </c>
      <c r="W108" s="8">
        <v>-2.6</v>
      </c>
      <c r="X108" s="5">
        <f t="shared" si="34"/>
        <v>1.86</v>
      </c>
      <c r="Y108" s="23">
        <f t="shared" si="35"/>
        <v>0.27452903225806446</v>
      </c>
      <c r="Z108" s="23">
        <f t="shared" si="26"/>
        <v>6369.0735483870958</v>
      </c>
      <c r="AA108" s="11">
        <f t="shared" si="27"/>
        <v>4.2329658221314919</v>
      </c>
      <c r="AB108" s="11">
        <f t="shared" si="28"/>
        <v>98204.807073450618</v>
      </c>
    </row>
    <row r="109" spans="1:28" ht="17.25" customHeight="1" x14ac:dyDescent="0.2">
      <c r="A109" t="s">
        <v>10</v>
      </c>
      <c r="B109" s="20">
        <v>1212</v>
      </c>
      <c r="C109" s="20">
        <v>3</v>
      </c>
      <c r="D109" s="20">
        <v>30</v>
      </c>
      <c r="E109" t="s">
        <v>77</v>
      </c>
      <c r="F109" s="26">
        <v>45127</v>
      </c>
      <c r="G109" t="s">
        <v>76</v>
      </c>
      <c r="H109" s="5">
        <v>10.61</v>
      </c>
      <c r="I109" s="5">
        <v>47.76</v>
      </c>
      <c r="J109" s="5">
        <v>42.15</v>
      </c>
      <c r="K109" s="5">
        <v>7.1</v>
      </c>
      <c r="L109" s="5">
        <v>0.12</v>
      </c>
      <c r="M109" s="3">
        <f t="shared" si="18"/>
        <v>120</v>
      </c>
      <c r="N109" s="5">
        <v>8.2799999999999994</v>
      </c>
      <c r="O109" s="23">
        <f t="shared" si="29"/>
        <v>8.2799999999999992E-3</v>
      </c>
      <c r="P109" s="23">
        <f t="shared" si="30"/>
        <v>0.14903999999999998</v>
      </c>
      <c r="Q109" s="7">
        <f t="shared" si="31"/>
        <v>1.4903999999999997E-4</v>
      </c>
      <c r="R109" s="23">
        <f t="shared" si="32"/>
        <v>0.53654399999999991</v>
      </c>
      <c r="S109" s="5">
        <v>7</v>
      </c>
      <c r="T109" s="5">
        <v>2.4300000000000002</v>
      </c>
      <c r="U109" s="3">
        <f t="shared" si="33"/>
        <v>24300</v>
      </c>
      <c r="V109" s="8">
        <v>-0.47</v>
      </c>
      <c r="W109" s="8">
        <v>-2.0299999999999998</v>
      </c>
      <c r="X109" s="5">
        <f t="shared" si="34"/>
        <v>1.5599999999999998</v>
      </c>
      <c r="Y109" s="23">
        <f t="shared" si="35"/>
        <v>0.34393846153846153</v>
      </c>
      <c r="Z109" s="23">
        <f t="shared" si="26"/>
        <v>8357.704615384615</v>
      </c>
      <c r="AA109" s="11">
        <f t="shared" si="27"/>
        <v>5.3031904882112029</v>
      </c>
      <c r="AB109" s="11">
        <f t="shared" si="28"/>
        <v>128867.52886353224</v>
      </c>
    </row>
    <row r="110" spans="1:28" ht="17.25" customHeight="1" x14ac:dyDescent="0.2">
      <c r="A110" t="s">
        <v>10</v>
      </c>
      <c r="B110" s="20">
        <v>1212</v>
      </c>
      <c r="C110" s="20">
        <v>3</v>
      </c>
      <c r="D110" s="20">
        <v>31</v>
      </c>
      <c r="E110" t="s">
        <v>77</v>
      </c>
      <c r="F110" s="26">
        <v>45128</v>
      </c>
      <c r="G110" t="s">
        <v>76</v>
      </c>
      <c r="H110" s="5">
        <v>15.57</v>
      </c>
      <c r="I110" s="5">
        <v>45.94</v>
      </c>
      <c r="J110" s="5">
        <v>41.15</v>
      </c>
      <c r="K110" s="5">
        <v>6.28</v>
      </c>
      <c r="L110" s="5">
        <v>0.15</v>
      </c>
      <c r="M110" s="3">
        <f t="shared" si="18"/>
        <v>150</v>
      </c>
      <c r="N110" s="5">
        <v>8.86</v>
      </c>
      <c r="O110" s="23">
        <f t="shared" si="29"/>
        <v>8.8599999999999998E-3</v>
      </c>
      <c r="P110" s="23">
        <f t="shared" si="30"/>
        <v>0.15948000000000001</v>
      </c>
      <c r="Q110" s="7">
        <f t="shared" si="31"/>
        <v>1.5948000000000001E-4</v>
      </c>
      <c r="R110" s="23">
        <f t="shared" si="32"/>
        <v>0.57412800000000008</v>
      </c>
      <c r="S110" s="5">
        <v>6.14</v>
      </c>
      <c r="T110" s="5">
        <v>1.8</v>
      </c>
      <c r="U110" s="3">
        <f t="shared" si="33"/>
        <v>18000</v>
      </c>
      <c r="V110" s="8">
        <v>-0.76</v>
      </c>
      <c r="W110" s="8">
        <v>-2.2000000000000002</v>
      </c>
      <c r="X110" s="5">
        <f t="shared" si="34"/>
        <v>1.4400000000000002</v>
      </c>
      <c r="Y110" s="23">
        <f t="shared" si="35"/>
        <v>0.3987</v>
      </c>
      <c r="Z110" s="23">
        <f t="shared" si="26"/>
        <v>7176.6</v>
      </c>
      <c r="AA110" s="11">
        <f t="shared" si="27"/>
        <v>6.1475591830934624</v>
      </c>
      <c r="AB110" s="11">
        <f t="shared" si="28"/>
        <v>110656.06529568232</v>
      </c>
    </row>
    <row r="111" spans="1:28" ht="17.25" customHeight="1" x14ac:dyDescent="0.2">
      <c r="A111" t="s">
        <v>10</v>
      </c>
      <c r="B111" s="20">
        <v>1212</v>
      </c>
      <c r="C111" s="20">
        <v>4</v>
      </c>
      <c r="D111" s="20">
        <v>32</v>
      </c>
      <c r="E111" t="s">
        <v>77</v>
      </c>
      <c r="F111" s="26">
        <v>45127</v>
      </c>
      <c r="G111" t="s">
        <v>76</v>
      </c>
      <c r="H111" s="5">
        <v>11.04</v>
      </c>
      <c r="I111" s="5">
        <v>48.34</v>
      </c>
      <c r="J111" s="5">
        <v>45.29</v>
      </c>
      <c r="K111" s="5">
        <v>8.48</v>
      </c>
      <c r="L111" s="5">
        <v>0.03</v>
      </c>
      <c r="M111" s="3">
        <f t="shared" si="18"/>
        <v>30</v>
      </c>
      <c r="N111" s="5">
        <v>2.06</v>
      </c>
      <c r="O111" s="23">
        <f t="shared" si="29"/>
        <v>2.0600000000000002E-3</v>
      </c>
      <c r="P111" s="23">
        <f t="shared" si="30"/>
        <v>3.7080000000000002E-2</v>
      </c>
      <c r="Q111" s="7">
        <f t="shared" si="31"/>
        <v>3.7080000000000004E-5</v>
      </c>
      <c r="R111" s="23">
        <f t="shared" si="32"/>
        <v>0.13348800000000002</v>
      </c>
      <c r="S111" s="5">
        <v>6.68</v>
      </c>
      <c r="T111" s="5">
        <v>1.44</v>
      </c>
      <c r="U111" s="3">
        <f t="shared" si="33"/>
        <v>14400</v>
      </c>
      <c r="V111" s="8">
        <v>-0.38</v>
      </c>
      <c r="W111" s="8">
        <v>-2.5099999999999998</v>
      </c>
      <c r="X111" s="5">
        <f t="shared" si="34"/>
        <v>2.13</v>
      </c>
      <c r="Y111" s="23">
        <f t="shared" si="35"/>
        <v>6.2670422535211281E-2</v>
      </c>
      <c r="Z111" s="23">
        <f t="shared" si="26"/>
        <v>902.45408450704247</v>
      </c>
      <c r="AA111" s="11">
        <f t="shared" si="27"/>
        <v>0.96631585544190013</v>
      </c>
      <c r="AB111" s="11">
        <f t="shared" si="28"/>
        <v>13914.948318363362</v>
      </c>
    </row>
    <row r="112" spans="1:28" ht="17.25" customHeight="1" x14ac:dyDescent="0.2">
      <c r="A112" t="s">
        <v>10</v>
      </c>
      <c r="B112" s="20">
        <v>1212</v>
      </c>
      <c r="C112" s="20">
        <v>4</v>
      </c>
      <c r="D112" s="20">
        <v>33</v>
      </c>
      <c r="E112" t="s">
        <v>77</v>
      </c>
      <c r="F112" s="26">
        <v>45128</v>
      </c>
      <c r="G112" t="s">
        <v>76</v>
      </c>
      <c r="H112" s="5">
        <v>13.86</v>
      </c>
      <c r="I112" s="5">
        <v>46.68</v>
      </c>
      <c r="J112" s="5">
        <v>42.89</v>
      </c>
      <c r="K112" s="5">
        <v>7.15</v>
      </c>
      <c r="L112" s="5">
        <v>0.08</v>
      </c>
      <c r="M112" s="3">
        <f t="shared" si="18"/>
        <v>80</v>
      </c>
      <c r="N112" s="5">
        <v>5.3</v>
      </c>
      <c r="O112" s="23">
        <f t="shared" si="29"/>
        <v>5.3E-3</v>
      </c>
      <c r="P112" s="23">
        <f t="shared" si="30"/>
        <v>9.5399999999999999E-2</v>
      </c>
      <c r="Q112" s="7">
        <f t="shared" si="31"/>
        <v>9.5400000000000001E-5</v>
      </c>
      <c r="R112" s="23">
        <f t="shared" si="32"/>
        <v>0.34344000000000002</v>
      </c>
      <c r="S112" s="5">
        <v>14.08</v>
      </c>
      <c r="T112" s="5">
        <v>4.13</v>
      </c>
      <c r="U112" s="3">
        <f t="shared" si="33"/>
        <v>41300</v>
      </c>
      <c r="V112" s="8">
        <v>-0.43</v>
      </c>
      <c r="W112" s="8">
        <v>-1.73</v>
      </c>
      <c r="X112" s="5">
        <f t="shared" si="34"/>
        <v>1.3</v>
      </c>
      <c r="Y112" s="23">
        <f t="shared" si="35"/>
        <v>0.26418461538461541</v>
      </c>
      <c r="Z112" s="23">
        <f t="shared" si="26"/>
        <v>10910.824615384616</v>
      </c>
      <c r="AA112" s="11">
        <f t="shared" si="27"/>
        <v>4.0734651576115048</v>
      </c>
      <c r="AB112" s="11">
        <f t="shared" si="28"/>
        <v>168234.11100935514</v>
      </c>
    </row>
    <row r="113" spans="1:28" ht="17.25" customHeight="1" x14ac:dyDescent="0.2">
      <c r="A113" t="s">
        <v>10</v>
      </c>
      <c r="B113" s="20">
        <v>1212</v>
      </c>
      <c r="C113" s="20">
        <v>4</v>
      </c>
      <c r="D113" s="20">
        <v>34</v>
      </c>
      <c r="E113" t="s">
        <v>77</v>
      </c>
      <c r="F113" s="26">
        <v>45127</v>
      </c>
      <c r="G113" t="s">
        <v>76</v>
      </c>
      <c r="H113" s="5">
        <v>10.88</v>
      </c>
      <c r="I113" s="5">
        <v>47.77</v>
      </c>
      <c r="J113" s="5">
        <v>43.78</v>
      </c>
      <c r="K113" s="5">
        <v>7.83</v>
      </c>
      <c r="L113" s="5">
        <v>0.05</v>
      </c>
      <c r="M113" s="3">
        <f t="shared" si="18"/>
        <v>50</v>
      </c>
      <c r="N113" s="5">
        <v>3.19</v>
      </c>
      <c r="O113" s="23">
        <f t="shared" si="29"/>
        <v>3.1900000000000001E-3</v>
      </c>
      <c r="P113" s="23">
        <f t="shared" si="30"/>
        <v>5.7419999999999999E-2</v>
      </c>
      <c r="Q113" s="7">
        <f t="shared" si="31"/>
        <v>5.7419999999999996E-5</v>
      </c>
      <c r="R113" s="23">
        <f t="shared" si="32"/>
        <v>0.20671199999999998</v>
      </c>
      <c r="S113" s="5">
        <v>4.71</v>
      </c>
      <c r="T113" s="5">
        <v>1.38</v>
      </c>
      <c r="U113" s="5">
        <f t="shared" si="33"/>
        <v>13799.999999999998</v>
      </c>
      <c r="V113" s="8">
        <v>-0.44</v>
      </c>
      <c r="W113" s="8">
        <v>-1.88</v>
      </c>
      <c r="X113" s="5">
        <f t="shared" si="34"/>
        <v>1.44</v>
      </c>
      <c r="Y113" s="23">
        <f t="shared" si="35"/>
        <v>0.14354999999999998</v>
      </c>
      <c r="Z113" s="23">
        <f t="shared" si="26"/>
        <v>1980.9899999999996</v>
      </c>
      <c r="AA113" s="11">
        <f t="shared" si="27"/>
        <v>2.2133988480889548</v>
      </c>
      <c r="AB113" s="11">
        <f t="shared" si="28"/>
        <v>30544.904103627574</v>
      </c>
    </row>
    <row r="114" spans="1:28" ht="17.25" customHeight="1" x14ac:dyDescent="0.2">
      <c r="A114" t="s">
        <v>10</v>
      </c>
      <c r="B114" s="20">
        <v>1212</v>
      </c>
      <c r="C114" s="20">
        <v>7</v>
      </c>
      <c r="D114" s="20">
        <v>36</v>
      </c>
      <c r="E114" t="s">
        <v>77</v>
      </c>
      <c r="F114" s="26">
        <v>45128</v>
      </c>
      <c r="G114" t="s">
        <v>76</v>
      </c>
      <c r="H114" s="5">
        <v>19.96</v>
      </c>
      <c r="I114" s="5">
        <v>42.43</v>
      </c>
      <c r="J114" s="5">
        <v>40.57</v>
      </c>
      <c r="K114" s="5">
        <v>5.93</v>
      </c>
      <c r="L114" s="5">
        <v>0.1</v>
      </c>
      <c r="M114" s="3">
        <f t="shared" si="18"/>
        <v>100</v>
      </c>
      <c r="N114" s="5">
        <v>5.34</v>
      </c>
      <c r="O114" s="23">
        <f t="shared" si="29"/>
        <v>5.3400000000000001E-3</v>
      </c>
      <c r="P114" s="23">
        <f t="shared" si="30"/>
        <v>9.6119999999999997E-2</v>
      </c>
      <c r="Q114" s="7">
        <f t="shared" si="31"/>
        <v>9.6119999999999995E-5</v>
      </c>
      <c r="R114" s="23">
        <f t="shared" si="32"/>
        <v>0.34603200000000001</v>
      </c>
      <c r="S114" s="5">
        <v>6.11</v>
      </c>
      <c r="T114" s="5">
        <v>0.97</v>
      </c>
      <c r="U114" s="3">
        <f t="shared" si="33"/>
        <v>9700</v>
      </c>
      <c r="V114" s="8">
        <v>-0.72</v>
      </c>
      <c r="W114" s="8">
        <v>-2.19</v>
      </c>
      <c r="X114" s="5">
        <f t="shared" si="34"/>
        <v>1.47</v>
      </c>
      <c r="Y114" s="23">
        <f t="shared" si="35"/>
        <v>0.23539591836734694</v>
      </c>
      <c r="Z114" s="23">
        <f t="shared" si="26"/>
        <v>2283.3404081632652</v>
      </c>
      <c r="AA114" s="11">
        <f t="shared" si="27"/>
        <v>3.6295719579179906</v>
      </c>
      <c r="AB114" s="11">
        <f t="shared" si="28"/>
        <v>35206.847991804512</v>
      </c>
    </row>
    <row r="115" spans="1:28" ht="17.25" customHeight="1" x14ac:dyDescent="0.2">
      <c r="A115" t="s">
        <v>10</v>
      </c>
      <c r="B115" s="20">
        <v>1212</v>
      </c>
      <c r="C115" s="20">
        <v>7</v>
      </c>
      <c r="D115" s="20">
        <v>37</v>
      </c>
      <c r="E115" t="s">
        <v>77</v>
      </c>
      <c r="F115" s="26">
        <v>45127</v>
      </c>
      <c r="G115" t="s">
        <v>76</v>
      </c>
      <c r="H115" s="5">
        <v>11.04</v>
      </c>
      <c r="I115" s="5">
        <v>47.77</v>
      </c>
      <c r="J115" s="5">
        <v>46.26</v>
      </c>
      <c r="K115" s="5">
        <v>9.01</v>
      </c>
      <c r="L115" s="5">
        <v>0.01</v>
      </c>
      <c r="M115" s="3">
        <f t="shared" si="18"/>
        <v>10</v>
      </c>
      <c r="N115" s="5">
        <v>0.95</v>
      </c>
      <c r="O115" s="23">
        <f t="shared" si="29"/>
        <v>9.5E-4</v>
      </c>
      <c r="P115" s="23">
        <f t="shared" si="30"/>
        <v>1.7100000000000001E-2</v>
      </c>
      <c r="Q115" s="7">
        <f t="shared" si="31"/>
        <v>1.7100000000000002E-5</v>
      </c>
      <c r="R115" s="23">
        <f t="shared" si="32"/>
        <v>6.1560000000000011E-2</v>
      </c>
      <c r="S115" s="5">
        <v>3.68</v>
      </c>
      <c r="T115" s="5">
        <v>0.9</v>
      </c>
      <c r="U115" s="3">
        <f t="shared" si="33"/>
        <v>9000</v>
      </c>
      <c r="V115" s="8">
        <v>-0.55000000000000004</v>
      </c>
      <c r="W115" s="8">
        <v>-2.44</v>
      </c>
      <c r="X115" s="5">
        <f t="shared" si="34"/>
        <v>1.89</v>
      </c>
      <c r="Y115" s="23">
        <f t="shared" si="35"/>
        <v>3.2571428571428578E-2</v>
      </c>
      <c r="Z115" s="23">
        <f t="shared" si="26"/>
        <v>293.14285714285722</v>
      </c>
      <c r="AA115" s="11">
        <f t="shared" si="27"/>
        <v>0.5022191743685942</v>
      </c>
      <c r="AB115" s="11">
        <f t="shared" si="28"/>
        <v>4519.9725693173477</v>
      </c>
    </row>
    <row r="116" spans="1:28" ht="17.25" customHeight="1" x14ac:dyDescent="0.2">
      <c r="A116" t="s">
        <v>10</v>
      </c>
      <c r="B116" s="20">
        <v>1212</v>
      </c>
      <c r="C116" s="20">
        <v>7</v>
      </c>
      <c r="D116" s="20">
        <v>83</v>
      </c>
      <c r="E116" t="s">
        <v>77</v>
      </c>
      <c r="F116" s="26">
        <v>45127</v>
      </c>
      <c r="G116" t="s">
        <v>76</v>
      </c>
      <c r="H116" s="5">
        <v>10.84</v>
      </c>
      <c r="I116" s="5">
        <v>47.88</v>
      </c>
      <c r="J116" s="5">
        <v>43.88</v>
      </c>
      <c r="K116" s="5">
        <v>7.84</v>
      </c>
      <c r="L116" s="5">
        <v>0.09</v>
      </c>
      <c r="M116" s="3">
        <f t="shared" si="18"/>
        <v>90</v>
      </c>
      <c r="N116" s="5">
        <v>6.65</v>
      </c>
      <c r="O116" s="23">
        <f t="shared" si="29"/>
        <v>6.6500000000000005E-3</v>
      </c>
      <c r="P116" s="23">
        <f t="shared" si="30"/>
        <v>0.11970000000000001</v>
      </c>
      <c r="Q116" s="7">
        <f t="shared" si="31"/>
        <v>1.1970000000000001E-4</v>
      </c>
      <c r="R116" s="23">
        <f t="shared" si="32"/>
        <v>0.43092000000000003</v>
      </c>
      <c r="S116" s="5">
        <v>7.91</v>
      </c>
      <c r="T116" s="5">
        <v>2.14</v>
      </c>
      <c r="U116" s="3">
        <f t="shared" si="33"/>
        <v>21400</v>
      </c>
      <c r="V116" s="8">
        <v>-0.28999999999999998</v>
      </c>
      <c r="W116" s="8">
        <v>-2.44</v>
      </c>
      <c r="X116" s="5">
        <f t="shared" si="34"/>
        <v>2.15</v>
      </c>
      <c r="Y116" s="23">
        <f t="shared" si="35"/>
        <v>0.2004279069767442</v>
      </c>
      <c r="Z116" s="23">
        <f t="shared" si="26"/>
        <v>4289.157209302326</v>
      </c>
      <c r="AA116" s="11">
        <f t="shared" si="27"/>
        <v>3.0903998497193026</v>
      </c>
      <c r="AB116" s="11">
        <f t="shared" si="28"/>
        <v>66134.556783993074</v>
      </c>
    </row>
    <row r="117" spans="1:28" ht="17.25" customHeight="1" x14ac:dyDescent="0.2">
      <c r="A117" t="s">
        <v>10</v>
      </c>
      <c r="B117" s="20">
        <v>1212</v>
      </c>
      <c r="C117" s="20">
        <v>8</v>
      </c>
      <c r="D117" s="20">
        <v>38</v>
      </c>
      <c r="E117" t="s">
        <v>77</v>
      </c>
      <c r="F117" s="26">
        <v>45127</v>
      </c>
      <c r="G117" t="s">
        <v>76</v>
      </c>
      <c r="H117" s="5">
        <v>11.48</v>
      </c>
      <c r="I117" s="5">
        <v>47.2</v>
      </c>
      <c r="J117" s="5">
        <v>41.34</v>
      </c>
      <c r="K117" s="5">
        <v>6.69</v>
      </c>
      <c r="L117" s="5">
        <v>0.17</v>
      </c>
      <c r="M117" s="3">
        <f t="shared" si="18"/>
        <v>170</v>
      </c>
      <c r="N117" s="5">
        <v>10.5</v>
      </c>
      <c r="O117" s="23">
        <f t="shared" si="29"/>
        <v>1.0500000000000001E-2</v>
      </c>
      <c r="P117" s="23">
        <f t="shared" si="30"/>
        <v>0.189</v>
      </c>
      <c r="Q117" s="7">
        <f t="shared" si="31"/>
        <v>1.8900000000000001E-4</v>
      </c>
      <c r="R117" s="23">
        <f t="shared" si="32"/>
        <v>0.6804</v>
      </c>
      <c r="S117" s="5">
        <v>13.38</v>
      </c>
      <c r="T117" s="5">
        <v>3.28</v>
      </c>
      <c r="U117" s="3">
        <f t="shared" si="33"/>
        <v>32800</v>
      </c>
      <c r="V117" s="8">
        <v>-0.3</v>
      </c>
      <c r="W117" s="8">
        <v>-2.2599999999999998</v>
      </c>
      <c r="X117" s="5">
        <f t="shared" si="34"/>
        <v>1.9599999999999997</v>
      </c>
      <c r="Y117" s="23">
        <f t="shared" si="35"/>
        <v>0.3471428571428572</v>
      </c>
      <c r="Z117" s="23">
        <f t="shared" si="26"/>
        <v>11386.285714285716</v>
      </c>
      <c r="AA117" s="11">
        <f t="shared" si="27"/>
        <v>5.3525990952442291</v>
      </c>
      <c r="AB117" s="11">
        <f t="shared" si="28"/>
        <v>175565.2503240107</v>
      </c>
    </row>
    <row r="118" spans="1:28" ht="17.25" customHeight="1" x14ac:dyDescent="0.2">
      <c r="A118" t="s">
        <v>10</v>
      </c>
      <c r="B118" s="20">
        <v>1212</v>
      </c>
      <c r="C118" s="20">
        <v>8</v>
      </c>
      <c r="D118" s="20">
        <v>39</v>
      </c>
      <c r="E118" t="s">
        <v>77</v>
      </c>
      <c r="F118" s="26">
        <v>45128</v>
      </c>
      <c r="G118" t="s">
        <v>76</v>
      </c>
      <c r="H118" s="5">
        <v>12.1</v>
      </c>
      <c r="I118" s="5">
        <v>47.04</v>
      </c>
      <c r="J118" s="5">
        <v>41.31</v>
      </c>
      <c r="K118" s="5">
        <v>6.62</v>
      </c>
      <c r="L118" s="5">
        <v>0.12</v>
      </c>
      <c r="M118" s="3">
        <f t="shared" si="18"/>
        <v>120</v>
      </c>
      <c r="N118" s="5">
        <v>7.53</v>
      </c>
      <c r="O118" s="23">
        <f t="shared" si="29"/>
        <v>7.5300000000000002E-3</v>
      </c>
      <c r="P118" s="23">
        <f t="shared" si="30"/>
        <v>0.13553999999999999</v>
      </c>
      <c r="Q118" s="7">
        <f t="shared" si="31"/>
        <v>1.3553999999999999E-4</v>
      </c>
      <c r="R118" s="23">
        <f t="shared" si="32"/>
        <v>0.48794399999999999</v>
      </c>
      <c r="S118" s="5">
        <v>3.71</v>
      </c>
      <c r="T118" s="5">
        <v>1.36</v>
      </c>
      <c r="U118" s="5">
        <f t="shared" si="33"/>
        <v>13600.000000000002</v>
      </c>
      <c r="V118" s="8">
        <v>-0.4</v>
      </c>
      <c r="W118" s="8">
        <v>-2.67</v>
      </c>
      <c r="X118" s="5">
        <f t="shared" si="34"/>
        <v>2.27</v>
      </c>
      <c r="Y118" s="23">
        <f t="shared" si="35"/>
        <v>0.2149533039647577</v>
      </c>
      <c r="Z118" s="23">
        <f t="shared" si="26"/>
        <v>2923.364933920705</v>
      </c>
      <c r="AA118" s="11">
        <f t="shared" si="27"/>
        <v>3.314367087345941</v>
      </c>
      <c r="AB118" s="11">
        <f t="shared" si="28"/>
        <v>45075.392387904802</v>
      </c>
    </row>
    <row r="119" spans="1:28" ht="17.25" customHeight="1" x14ac:dyDescent="0.2">
      <c r="A119" t="s">
        <v>10</v>
      </c>
      <c r="B119" s="20">
        <v>1212</v>
      </c>
      <c r="C119" s="20">
        <v>8</v>
      </c>
      <c r="D119" s="20">
        <v>40</v>
      </c>
      <c r="E119" t="s">
        <v>77</v>
      </c>
      <c r="F119" s="26">
        <v>45128</v>
      </c>
      <c r="G119" t="s">
        <v>76</v>
      </c>
      <c r="H119" s="5">
        <v>15.92</v>
      </c>
      <c r="I119" s="5">
        <v>45.76</v>
      </c>
      <c r="J119" s="5">
        <v>41.96</v>
      </c>
      <c r="K119" s="5">
        <v>6.6</v>
      </c>
      <c r="L119" s="5">
        <v>7.0000000000000007E-2</v>
      </c>
      <c r="M119" s="3">
        <f t="shared" si="18"/>
        <v>70</v>
      </c>
      <c r="N119" s="5">
        <v>4.4400000000000004</v>
      </c>
      <c r="O119" s="23">
        <f t="shared" si="29"/>
        <v>4.4400000000000004E-3</v>
      </c>
      <c r="P119" s="23">
        <f t="shared" si="30"/>
        <v>7.9920000000000005E-2</v>
      </c>
      <c r="Q119" s="7">
        <f t="shared" si="31"/>
        <v>7.9920000000000007E-5</v>
      </c>
      <c r="R119" s="23">
        <f t="shared" si="32"/>
        <v>0.28771200000000002</v>
      </c>
      <c r="S119" s="5">
        <v>4.62</v>
      </c>
      <c r="T119" s="5">
        <v>1.66</v>
      </c>
      <c r="U119" s="3">
        <f t="shared" si="33"/>
        <v>16600</v>
      </c>
      <c r="V119" s="8">
        <v>-0.86</v>
      </c>
      <c r="W119" s="8">
        <v>-2.69</v>
      </c>
      <c r="X119" s="5">
        <f t="shared" si="34"/>
        <v>1.83</v>
      </c>
      <c r="Y119" s="23">
        <f t="shared" si="35"/>
        <v>0.15721967213114754</v>
      </c>
      <c r="Z119" s="23">
        <f t="shared" si="26"/>
        <v>2609.8465573770491</v>
      </c>
      <c r="AA119" s="11">
        <f t="shared" si="27"/>
        <v>2.4241716558133422</v>
      </c>
      <c r="AB119" s="11">
        <f t="shared" si="28"/>
        <v>40241.249486501481</v>
      </c>
    </row>
    <row r="120" spans="1:28" ht="17.25" customHeight="1" x14ac:dyDescent="0.2">
      <c r="A120" t="s">
        <v>10</v>
      </c>
      <c r="B120" s="20">
        <v>1212</v>
      </c>
      <c r="C120" s="20">
        <v>10</v>
      </c>
      <c r="D120" s="20">
        <v>21</v>
      </c>
      <c r="E120" t="s">
        <v>77</v>
      </c>
      <c r="F120" s="26">
        <v>45127</v>
      </c>
      <c r="G120" t="s">
        <v>76</v>
      </c>
      <c r="H120" s="5">
        <v>11.02</v>
      </c>
      <c r="I120" s="5">
        <v>47.59</v>
      </c>
      <c r="J120" s="5">
        <v>45.99</v>
      </c>
      <c r="K120" s="5">
        <v>8.89</v>
      </c>
      <c r="L120" s="5">
        <v>0.01</v>
      </c>
      <c r="M120" s="3">
        <f t="shared" si="18"/>
        <v>10</v>
      </c>
      <c r="N120" s="5">
        <v>0.94</v>
      </c>
      <c r="O120" s="23">
        <f t="shared" si="29"/>
        <v>9.3999999999999997E-4</v>
      </c>
      <c r="P120" s="23">
        <f t="shared" si="30"/>
        <v>1.6920000000000001E-2</v>
      </c>
      <c r="Q120" s="7">
        <f t="shared" si="31"/>
        <v>1.6920000000000001E-5</v>
      </c>
      <c r="R120" s="23">
        <f t="shared" si="32"/>
        <v>6.0912000000000001E-2</v>
      </c>
      <c r="S120" s="5">
        <v>4.78</v>
      </c>
      <c r="T120" s="5">
        <v>1.38</v>
      </c>
      <c r="U120" s="5">
        <f t="shared" si="33"/>
        <v>13799.999999999998</v>
      </c>
      <c r="V120" s="8">
        <v>-0.41</v>
      </c>
      <c r="W120" s="8">
        <v>-2.04</v>
      </c>
      <c r="X120" s="5">
        <f t="shared" si="34"/>
        <v>1.6300000000000001</v>
      </c>
      <c r="Y120" s="23">
        <f t="shared" si="35"/>
        <v>3.7369325153374232E-2</v>
      </c>
      <c r="Z120" s="23">
        <f t="shared" si="26"/>
        <v>515.69668711656436</v>
      </c>
      <c r="AA120" s="11">
        <f t="shared" si="27"/>
        <v>0.57619798849418447</v>
      </c>
      <c r="AB120" s="11">
        <f t="shared" si="28"/>
        <v>7951.5322412197447</v>
      </c>
    </row>
    <row r="121" spans="1:28" ht="17.25" customHeight="1" x14ac:dyDescent="0.2">
      <c r="A121" t="s">
        <v>10</v>
      </c>
      <c r="B121" s="20">
        <v>1212</v>
      </c>
      <c r="C121" s="20">
        <v>10</v>
      </c>
      <c r="D121" s="20">
        <v>41</v>
      </c>
      <c r="E121" t="s">
        <v>77</v>
      </c>
      <c r="F121" s="26">
        <v>45128</v>
      </c>
      <c r="G121" t="s">
        <v>76</v>
      </c>
      <c r="H121" s="5">
        <v>13.1</v>
      </c>
      <c r="I121" s="5">
        <v>46.98</v>
      </c>
      <c r="J121" s="5">
        <v>40.840000000000003</v>
      </c>
      <c r="K121" s="5">
        <v>6.33</v>
      </c>
      <c r="L121" s="5">
        <v>0.15</v>
      </c>
      <c r="M121" s="3">
        <f t="shared" si="18"/>
        <v>150</v>
      </c>
      <c r="N121" s="3">
        <v>9</v>
      </c>
      <c r="O121" s="23">
        <f t="shared" si="29"/>
        <v>8.9999999999999993E-3</v>
      </c>
      <c r="P121" s="23">
        <f t="shared" si="30"/>
        <v>0.16199999999999998</v>
      </c>
      <c r="Q121" s="7">
        <f t="shared" si="31"/>
        <v>1.6199999999999998E-4</v>
      </c>
      <c r="R121" s="23">
        <f t="shared" si="32"/>
        <v>0.58319999999999994</v>
      </c>
      <c r="S121" s="5">
        <v>15.53</v>
      </c>
      <c r="T121" s="5">
        <v>3.35</v>
      </c>
      <c r="U121" s="3">
        <f t="shared" si="33"/>
        <v>33500</v>
      </c>
      <c r="V121" s="8">
        <v>-0.7</v>
      </c>
      <c r="W121" s="8">
        <v>-2.2200000000000002</v>
      </c>
      <c r="X121" s="5">
        <f t="shared" si="34"/>
        <v>1.5200000000000002</v>
      </c>
      <c r="Y121" s="23">
        <f t="shared" si="35"/>
        <v>0.38368421052631568</v>
      </c>
      <c r="Z121" s="23">
        <f t="shared" si="26"/>
        <v>12853.421052631575</v>
      </c>
      <c r="AA121" s="11">
        <f t="shared" si="27"/>
        <v>5.9160305789541443</v>
      </c>
      <c r="AB121" s="11">
        <f t="shared" si="28"/>
        <v>198187.02439496384</v>
      </c>
    </row>
    <row r="122" spans="1:28" ht="17.25" customHeight="1" x14ac:dyDescent="0.2">
      <c r="A122" t="s">
        <v>10</v>
      </c>
      <c r="B122" s="20">
        <v>1212</v>
      </c>
      <c r="C122" s="20">
        <v>10</v>
      </c>
      <c r="D122" s="20">
        <v>42</v>
      </c>
      <c r="E122" t="s">
        <v>77</v>
      </c>
      <c r="F122" s="26">
        <v>45128</v>
      </c>
      <c r="G122" t="s">
        <v>76</v>
      </c>
      <c r="H122" s="5">
        <v>14.29</v>
      </c>
      <c r="I122" s="5">
        <v>46.54</v>
      </c>
      <c r="J122" s="5">
        <v>40.97</v>
      </c>
      <c r="K122" s="5">
        <v>6.29</v>
      </c>
      <c r="L122" s="5">
        <v>0.14000000000000001</v>
      </c>
      <c r="M122" s="3">
        <f t="shared" si="18"/>
        <v>140</v>
      </c>
      <c r="N122" s="5">
        <v>8.0299999999999994</v>
      </c>
      <c r="O122" s="23">
        <f t="shared" si="29"/>
        <v>8.0299999999999989E-3</v>
      </c>
      <c r="P122" s="23">
        <f t="shared" si="30"/>
        <v>0.14453999999999997</v>
      </c>
      <c r="Q122" s="7">
        <f t="shared" si="31"/>
        <v>1.4453999999999997E-4</v>
      </c>
      <c r="R122" s="23">
        <f t="shared" si="32"/>
        <v>0.52034399999999992</v>
      </c>
      <c r="S122" s="5">
        <v>14.52</v>
      </c>
      <c r="T122" s="5">
        <v>3.06</v>
      </c>
      <c r="U122" s="3">
        <f t="shared" si="33"/>
        <v>30600</v>
      </c>
      <c r="V122" s="8">
        <v>-0.59</v>
      </c>
      <c r="W122" s="8">
        <v>-2.29</v>
      </c>
      <c r="X122" s="5">
        <f t="shared" si="34"/>
        <v>1.7000000000000002</v>
      </c>
      <c r="Y122" s="23">
        <f t="shared" si="35"/>
        <v>0.30608470588235287</v>
      </c>
      <c r="Z122" s="23">
        <f t="shared" si="26"/>
        <v>9366.1919999999973</v>
      </c>
      <c r="AA122" s="11">
        <f t="shared" si="27"/>
        <v>4.719523061077302</v>
      </c>
      <c r="AB122" s="11">
        <f t="shared" si="28"/>
        <v>144417.40566896545</v>
      </c>
    </row>
    <row r="123" spans="1:28" ht="17.25" customHeight="1" x14ac:dyDescent="0.2">
      <c r="F123" s="26"/>
      <c r="M123" s="3">
        <f t="shared" si="18"/>
        <v>0</v>
      </c>
      <c r="O123" s="23"/>
      <c r="P123" s="23"/>
      <c r="Q123" s="7"/>
      <c r="R123" s="23"/>
      <c r="W123" s="8"/>
      <c r="Y123" s="23"/>
      <c r="Z123" s="23">
        <f t="shared" si="26"/>
        <v>0</v>
      </c>
      <c r="AA123" s="20">
        <f t="shared" si="27"/>
        <v>0</v>
      </c>
      <c r="AB123" s="20">
        <f t="shared" si="28"/>
        <v>0</v>
      </c>
    </row>
    <row r="124" spans="1:28" ht="17.25" customHeight="1" x14ac:dyDescent="0.2">
      <c r="A124" t="s">
        <v>7</v>
      </c>
      <c r="B124" s="20">
        <v>72</v>
      </c>
      <c r="C124" s="20">
        <v>156</v>
      </c>
      <c r="D124" s="20">
        <v>43</v>
      </c>
      <c r="E124" t="s">
        <v>75</v>
      </c>
      <c r="F124" s="26">
        <v>45147</v>
      </c>
      <c r="G124" t="s">
        <v>76</v>
      </c>
      <c r="H124" s="5">
        <v>35.85</v>
      </c>
      <c r="I124" s="5">
        <v>35.96</v>
      </c>
      <c r="J124" s="5">
        <v>30.86</v>
      </c>
      <c r="K124" s="5">
        <v>2.34</v>
      </c>
      <c r="L124" s="5">
        <v>0.3</v>
      </c>
      <c r="M124" s="3">
        <f t="shared" si="18"/>
        <v>300</v>
      </c>
      <c r="N124" s="5">
        <v>6.56</v>
      </c>
      <c r="O124" s="23">
        <f t="shared" ref="O124:O155" si="36">N124/1000</f>
        <v>6.5599999999999999E-3</v>
      </c>
      <c r="P124" s="23">
        <f t="shared" ref="P124:P155" si="37">O124*18</f>
        <v>0.11807999999999999</v>
      </c>
      <c r="Q124" s="7">
        <f t="shared" ref="Q124:Q155" si="38">P124/1000</f>
        <v>1.1807999999999999E-4</v>
      </c>
      <c r="R124" s="23">
        <f t="shared" ref="R124:R155" si="39">Q124*3600</f>
        <v>0.42508799999999997</v>
      </c>
      <c r="S124" s="5">
        <v>18.53</v>
      </c>
      <c r="T124" s="5">
        <v>3.87</v>
      </c>
      <c r="U124" s="3">
        <f t="shared" ref="U124:U155" si="40">T124*10000</f>
        <v>38700</v>
      </c>
      <c r="V124" s="8">
        <v>-0.66</v>
      </c>
      <c r="W124" s="8">
        <v>-2.21</v>
      </c>
      <c r="X124" s="5">
        <f t="shared" ref="X124:X155" si="41">V124-W124</f>
        <v>1.5499999999999998</v>
      </c>
      <c r="Y124" s="23">
        <f t="shared" ref="Y124:Y155" si="42">R124/X124</f>
        <v>0.27425032258064519</v>
      </c>
      <c r="Z124" s="23">
        <f t="shared" si="26"/>
        <v>10613.487483870969</v>
      </c>
      <c r="AA124" s="11">
        <f t="shared" si="27"/>
        <v>4.2286683949009021</v>
      </c>
      <c r="AB124" s="11">
        <f t="shared" si="28"/>
        <v>163649.46688266491</v>
      </c>
    </row>
    <row r="125" spans="1:28" ht="17.25" customHeight="1" x14ac:dyDescent="0.2">
      <c r="A125" t="s">
        <v>7</v>
      </c>
      <c r="B125" s="20">
        <v>72</v>
      </c>
      <c r="C125" s="20">
        <v>156</v>
      </c>
      <c r="D125" s="20">
        <v>44</v>
      </c>
      <c r="E125" t="s">
        <v>75</v>
      </c>
      <c r="F125" s="26">
        <v>45148</v>
      </c>
      <c r="G125" t="s">
        <v>76</v>
      </c>
      <c r="H125" s="5">
        <v>29.74</v>
      </c>
      <c r="I125" s="5">
        <v>35.96</v>
      </c>
      <c r="J125" s="3">
        <v>31</v>
      </c>
      <c r="K125" s="5">
        <v>2.73</v>
      </c>
      <c r="L125" s="5">
        <v>0.28999999999999998</v>
      </c>
      <c r="M125" s="3">
        <f t="shared" si="18"/>
        <v>290</v>
      </c>
      <c r="N125" s="5">
        <v>7.54</v>
      </c>
      <c r="O125" s="23">
        <f t="shared" si="36"/>
        <v>7.5399999999999998E-3</v>
      </c>
      <c r="P125" s="23">
        <f t="shared" si="37"/>
        <v>0.13572000000000001</v>
      </c>
      <c r="Q125" s="7">
        <f t="shared" si="38"/>
        <v>1.3572000000000001E-4</v>
      </c>
      <c r="R125" s="23">
        <f t="shared" si="39"/>
        <v>0.48859200000000003</v>
      </c>
      <c r="S125" s="5">
        <v>5.08</v>
      </c>
      <c r="T125" s="5">
        <v>1.59</v>
      </c>
      <c r="U125" s="3">
        <f t="shared" si="40"/>
        <v>15900</v>
      </c>
      <c r="V125" s="8">
        <v>-0.77</v>
      </c>
      <c r="W125" s="8">
        <v>-2.2799999999999998</v>
      </c>
      <c r="X125" s="5">
        <f t="shared" si="41"/>
        <v>1.5099999999999998</v>
      </c>
      <c r="Y125" s="23">
        <f t="shared" si="42"/>
        <v>0.32357086092715237</v>
      </c>
      <c r="Z125" s="23">
        <f t="shared" si="26"/>
        <v>5144.7766887417229</v>
      </c>
      <c r="AA125" s="11">
        <f t="shared" si="27"/>
        <v>4.9891422560174892</v>
      </c>
      <c r="AB125" s="11">
        <f t="shared" si="28"/>
        <v>79327.361870678084</v>
      </c>
    </row>
    <row r="126" spans="1:28" ht="17.25" customHeight="1" x14ac:dyDescent="0.2">
      <c r="A126" t="s">
        <v>7</v>
      </c>
      <c r="B126" s="20">
        <v>72</v>
      </c>
      <c r="C126" s="20">
        <v>156</v>
      </c>
      <c r="D126" s="20">
        <v>45</v>
      </c>
      <c r="E126" t="s">
        <v>75</v>
      </c>
      <c r="F126" s="26">
        <v>45147</v>
      </c>
      <c r="G126" t="s">
        <v>76</v>
      </c>
      <c r="H126" s="5">
        <v>33.9</v>
      </c>
      <c r="I126" s="5">
        <v>37.03</v>
      </c>
      <c r="J126" s="5">
        <v>31.92</v>
      </c>
      <c r="K126" s="5">
        <v>2.61</v>
      </c>
      <c r="L126" s="5">
        <v>0.38</v>
      </c>
      <c r="M126" s="3">
        <f t="shared" si="18"/>
        <v>380</v>
      </c>
      <c r="N126" s="5">
        <v>9.23</v>
      </c>
      <c r="O126" s="23">
        <f t="shared" si="36"/>
        <v>9.2300000000000004E-3</v>
      </c>
      <c r="P126" s="23">
        <f t="shared" si="37"/>
        <v>0.16614000000000001</v>
      </c>
      <c r="Q126" s="7">
        <f t="shared" si="38"/>
        <v>1.6614000000000001E-4</v>
      </c>
      <c r="R126" s="23">
        <f t="shared" si="39"/>
        <v>0.59810399999999997</v>
      </c>
      <c r="S126" s="5">
        <v>13.38</v>
      </c>
      <c r="T126" s="5">
        <v>3.64</v>
      </c>
      <c r="U126" s="3">
        <f t="shared" si="40"/>
        <v>36400</v>
      </c>
      <c r="V126" s="8">
        <v>-0.51</v>
      </c>
      <c r="W126" s="8">
        <v>-1.92</v>
      </c>
      <c r="X126" s="5">
        <f t="shared" si="41"/>
        <v>1.41</v>
      </c>
      <c r="Y126" s="23">
        <f t="shared" si="42"/>
        <v>0.42418723404255321</v>
      </c>
      <c r="Z126" s="23">
        <f t="shared" si="26"/>
        <v>15440.415319148937</v>
      </c>
      <c r="AA126" s="11">
        <f t="shared" si="27"/>
        <v>6.5405470930256167</v>
      </c>
      <c r="AB126" s="11">
        <f t="shared" si="28"/>
        <v>238075.91418613246</v>
      </c>
    </row>
    <row r="127" spans="1:28" ht="17.25" customHeight="1" x14ac:dyDescent="0.2">
      <c r="A127" t="s">
        <v>7</v>
      </c>
      <c r="B127" s="20">
        <v>72</v>
      </c>
      <c r="C127" s="20">
        <v>149</v>
      </c>
      <c r="D127" s="20">
        <v>46</v>
      </c>
      <c r="E127" t="s">
        <v>75</v>
      </c>
      <c r="F127" s="26">
        <v>45147</v>
      </c>
      <c r="G127" t="s">
        <v>76</v>
      </c>
      <c r="H127" s="5">
        <v>35.57</v>
      </c>
      <c r="I127" s="5">
        <v>36.04</v>
      </c>
      <c r="J127" s="5">
        <v>31.33</v>
      </c>
      <c r="K127" s="5">
        <v>2.46</v>
      </c>
      <c r="L127" s="5">
        <v>0.45</v>
      </c>
      <c r="M127" s="3">
        <f t="shared" si="18"/>
        <v>450</v>
      </c>
      <c r="N127" s="5">
        <v>10.58</v>
      </c>
      <c r="O127" s="23">
        <f t="shared" si="36"/>
        <v>1.0580000000000001E-2</v>
      </c>
      <c r="P127" s="23">
        <f t="shared" si="37"/>
        <v>0.19044000000000003</v>
      </c>
      <c r="Q127" s="7">
        <f t="shared" si="38"/>
        <v>1.9044000000000003E-4</v>
      </c>
      <c r="R127" s="23">
        <f t="shared" si="39"/>
        <v>0.68558400000000008</v>
      </c>
      <c r="S127" s="5">
        <v>10.99</v>
      </c>
      <c r="T127" s="5">
        <v>2.0499999999999998</v>
      </c>
      <c r="U127" s="3">
        <f t="shared" si="40"/>
        <v>20500</v>
      </c>
      <c r="V127" s="8">
        <v>-0.62</v>
      </c>
      <c r="W127" s="8">
        <v>-2.1</v>
      </c>
      <c r="X127" s="5">
        <f t="shared" si="41"/>
        <v>1.48</v>
      </c>
      <c r="Y127" s="23">
        <f t="shared" si="42"/>
        <v>0.46323243243243251</v>
      </c>
      <c r="Z127" s="23">
        <f t="shared" si="26"/>
        <v>9496.2648648648665</v>
      </c>
      <c r="AA127" s="11">
        <f t="shared" si="27"/>
        <v>7.1425853872754521</v>
      </c>
      <c r="AB127" s="11">
        <f t="shared" si="28"/>
        <v>146423.00043914677</v>
      </c>
    </row>
    <row r="128" spans="1:28" ht="17.25" customHeight="1" x14ac:dyDescent="0.2">
      <c r="A128" t="s">
        <v>7</v>
      </c>
      <c r="B128" s="20">
        <v>72</v>
      </c>
      <c r="C128" s="20">
        <v>149</v>
      </c>
      <c r="D128" s="20">
        <v>47</v>
      </c>
      <c r="E128" t="s">
        <v>75</v>
      </c>
      <c r="F128" s="26">
        <v>45148</v>
      </c>
      <c r="G128" t="s">
        <v>76</v>
      </c>
      <c r="H128" s="5">
        <v>32.18</v>
      </c>
      <c r="I128" s="5">
        <v>34.9</v>
      </c>
      <c r="J128" s="5">
        <v>30.72</v>
      </c>
      <c r="K128" s="5">
        <v>2.63</v>
      </c>
      <c r="L128" s="5">
        <v>0.35</v>
      </c>
      <c r="M128" s="3">
        <f t="shared" si="18"/>
        <v>350</v>
      </c>
      <c r="N128" s="5">
        <v>8.81</v>
      </c>
      <c r="O128" s="23">
        <f t="shared" si="36"/>
        <v>8.8100000000000001E-3</v>
      </c>
      <c r="P128" s="23">
        <f t="shared" si="37"/>
        <v>0.15858</v>
      </c>
      <c r="Q128" s="7">
        <f t="shared" si="38"/>
        <v>1.5857999999999999E-4</v>
      </c>
      <c r="R128" s="23">
        <f t="shared" si="39"/>
        <v>0.57088799999999995</v>
      </c>
      <c r="S128" s="5">
        <v>10.98</v>
      </c>
      <c r="T128" s="5">
        <v>2.5099999999999998</v>
      </c>
      <c r="U128" s="5">
        <f t="shared" si="40"/>
        <v>25099.999999999996</v>
      </c>
      <c r="V128" s="8">
        <v>-0.44</v>
      </c>
      <c r="W128" s="8">
        <v>-2.2999999999999998</v>
      </c>
      <c r="X128" s="5">
        <f t="shared" si="41"/>
        <v>1.8599999999999999</v>
      </c>
      <c r="Y128" s="23">
        <f t="shared" si="42"/>
        <v>0.3069290322580645</v>
      </c>
      <c r="Z128" s="23">
        <f t="shared" si="26"/>
        <v>7703.9187096774176</v>
      </c>
      <c r="AA128" s="11">
        <f t="shared" si="27"/>
        <v>4.7325417376876207</v>
      </c>
      <c r="AB128" s="11">
        <f t="shared" si="28"/>
        <v>118786.79761595927</v>
      </c>
    </row>
    <row r="129" spans="1:28" ht="17.25" customHeight="1" x14ac:dyDescent="0.2">
      <c r="A129" t="s">
        <v>7</v>
      </c>
      <c r="B129" s="20">
        <v>72</v>
      </c>
      <c r="C129" s="20">
        <v>149</v>
      </c>
      <c r="D129" s="20">
        <v>48</v>
      </c>
      <c r="E129" t="s">
        <v>75</v>
      </c>
      <c r="F129" s="26">
        <v>45148</v>
      </c>
      <c r="G129" t="s">
        <v>76</v>
      </c>
      <c r="H129" s="5">
        <v>30.89</v>
      </c>
      <c r="I129" s="5">
        <v>35.200000000000003</v>
      </c>
      <c r="J129" s="5">
        <v>31.5</v>
      </c>
      <c r="K129" s="5">
        <v>2.87</v>
      </c>
      <c r="L129" s="5">
        <v>0.33</v>
      </c>
      <c r="M129" s="3">
        <f t="shared" si="18"/>
        <v>330</v>
      </c>
      <c r="N129" s="5">
        <v>8.92</v>
      </c>
      <c r="O129" s="23">
        <f t="shared" si="36"/>
        <v>8.9199999999999991E-3</v>
      </c>
      <c r="P129" s="23">
        <f t="shared" si="37"/>
        <v>0.16055999999999998</v>
      </c>
      <c r="Q129" s="7">
        <f t="shared" si="38"/>
        <v>1.6055999999999997E-4</v>
      </c>
      <c r="R129" s="23">
        <f t="shared" si="39"/>
        <v>0.57801599999999986</v>
      </c>
      <c r="S129" s="5">
        <v>17.25</v>
      </c>
      <c r="T129" s="5">
        <v>2.85</v>
      </c>
      <c r="U129" s="3">
        <f t="shared" si="40"/>
        <v>28500</v>
      </c>
      <c r="V129" s="8">
        <v>-0.61</v>
      </c>
      <c r="W129" s="8">
        <v>-2.2000000000000002</v>
      </c>
      <c r="X129" s="5">
        <f t="shared" si="41"/>
        <v>1.5900000000000003</v>
      </c>
      <c r="Y129" s="23">
        <f t="shared" si="42"/>
        <v>0.36353207547169797</v>
      </c>
      <c r="Z129" s="23">
        <f t="shared" si="26"/>
        <v>10360.664150943392</v>
      </c>
      <c r="AA129" s="11">
        <f t="shared" si="27"/>
        <v>5.6053046122775587</v>
      </c>
      <c r="AB129" s="11">
        <f t="shared" si="28"/>
        <v>159751.18144991042</v>
      </c>
    </row>
    <row r="130" spans="1:28" ht="17.25" customHeight="1" x14ac:dyDescent="0.2">
      <c r="A130" t="s">
        <v>7</v>
      </c>
      <c r="B130" s="20">
        <v>72</v>
      </c>
      <c r="C130" s="20">
        <v>152</v>
      </c>
      <c r="D130" s="20">
        <v>49</v>
      </c>
      <c r="E130" t="s">
        <v>75</v>
      </c>
      <c r="F130" s="26">
        <v>45147</v>
      </c>
      <c r="G130" t="s">
        <v>76</v>
      </c>
      <c r="H130" s="5">
        <v>36.61</v>
      </c>
      <c r="I130" s="5">
        <v>34.85</v>
      </c>
      <c r="J130" s="5">
        <v>29.61</v>
      </c>
      <c r="K130" s="5">
        <v>2.11</v>
      </c>
      <c r="L130" s="5">
        <v>0.45</v>
      </c>
      <c r="M130" s="3">
        <f t="shared" si="18"/>
        <v>450</v>
      </c>
      <c r="N130" s="5">
        <v>8.91</v>
      </c>
      <c r="O130" s="23">
        <f t="shared" si="36"/>
        <v>8.9099999999999995E-3</v>
      </c>
      <c r="P130" s="23">
        <f t="shared" si="37"/>
        <v>0.16037999999999999</v>
      </c>
      <c r="Q130" s="7">
        <f t="shared" si="38"/>
        <v>1.6038000000000001E-4</v>
      </c>
      <c r="R130" s="23">
        <f t="shared" si="39"/>
        <v>0.57736799999999999</v>
      </c>
      <c r="S130" s="5">
        <v>16.68</v>
      </c>
      <c r="T130" s="5">
        <v>2.78</v>
      </c>
      <c r="U130" s="5">
        <f t="shared" si="40"/>
        <v>27799.999999999996</v>
      </c>
      <c r="V130" s="8">
        <v>-0.93</v>
      </c>
      <c r="W130" s="8">
        <v>-1.75</v>
      </c>
      <c r="X130" s="5">
        <f t="shared" si="41"/>
        <v>0.82</v>
      </c>
      <c r="Y130" s="23">
        <f t="shared" si="42"/>
        <v>0.70410731707317076</v>
      </c>
      <c r="Z130" s="23">
        <f t="shared" si="26"/>
        <v>19574.183414634146</v>
      </c>
      <c r="AA130" s="11">
        <f t="shared" si="27"/>
        <v>10.856637579524634</v>
      </c>
      <c r="AB130" s="11">
        <f t="shared" si="28"/>
        <v>301814.52471078478</v>
      </c>
    </row>
    <row r="131" spans="1:28" ht="17.25" customHeight="1" x14ac:dyDescent="0.2">
      <c r="A131" t="s">
        <v>7</v>
      </c>
      <c r="B131" s="20">
        <v>72</v>
      </c>
      <c r="C131" s="20">
        <v>152</v>
      </c>
      <c r="D131" s="20">
        <v>50</v>
      </c>
      <c r="E131" t="s">
        <v>75</v>
      </c>
      <c r="F131" s="26">
        <v>45148</v>
      </c>
      <c r="G131" t="s">
        <v>76</v>
      </c>
      <c r="H131" s="5">
        <v>31.37</v>
      </c>
      <c r="I131" s="5">
        <v>35.229999999999997</v>
      </c>
      <c r="J131" s="5">
        <v>30.47</v>
      </c>
      <c r="K131" s="5">
        <v>2.57</v>
      </c>
      <c r="L131" s="5">
        <v>0.32</v>
      </c>
      <c r="M131" s="3">
        <f t="shared" ref="M131:M194" si="43">L131*1000</f>
        <v>320</v>
      </c>
      <c r="N131" s="5">
        <v>7.72</v>
      </c>
      <c r="O131" s="23">
        <f t="shared" si="36"/>
        <v>7.7199999999999994E-3</v>
      </c>
      <c r="P131" s="23">
        <f t="shared" si="37"/>
        <v>0.13896</v>
      </c>
      <c r="Q131" s="7">
        <f t="shared" si="38"/>
        <v>1.3896000000000001E-4</v>
      </c>
      <c r="R131" s="23">
        <f t="shared" si="39"/>
        <v>0.50025600000000003</v>
      </c>
      <c r="S131" s="5">
        <v>29.47</v>
      </c>
      <c r="T131" s="5">
        <v>3.96</v>
      </c>
      <c r="U131" s="3">
        <f t="shared" si="40"/>
        <v>39600</v>
      </c>
      <c r="V131" s="8">
        <v>-0.61</v>
      </c>
      <c r="W131" s="8">
        <v>-2.42</v>
      </c>
      <c r="X131" s="5">
        <f t="shared" si="41"/>
        <v>1.81</v>
      </c>
      <c r="Y131" s="23">
        <f t="shared" si="42"/>
        <v>0.27638453038674032</v>
      </c>
      <c r="Z131" s="23">
        <f t="shared" ref="Z131:Z194" si="44">Y131*U131</f>
        <v>10944.827403314917</v>
      </c>
      <c r="AA131" s="11">
        <f t="shared" ref="AA131:AA194" si="45">Y131 * 1000 * 1000 / 18.01528 / 3600</f>
        <v>4.2615757658489581</v>
      </c>
      <c r="AB131" s="11">
        <f t="shared" ref="AB131:AB194" si="46">AA131*U131</f>
        <v>168758.40032761873</v>
      </c>
    </row>
    <row r="132" spans="1:28" ht="17.25" customHeight="1" x14ac:dyDescent="0.2">
      <c r="A132" t="s">
        <v>7</v>
      </c>
      <c r="B132" s="20">
        <v>72</v>
      </c>
      <c r="C132" s="20">
        <v>152</v>
      </c>
      <c r="D132" s="20">
        <v>51</v>
      </c>
      <c r="E132" t="s">
        <v>75</v>
      </c>
      <c r="F132" s="26">
        <v>45148</v>
      </c>
      <c r="G132" t="s">
        <v>76</v>
      </c>
      <c r="H132" s="5">
        <v>30.61</v>
      </c>
      <c r="I132" s="3">
        <v>36</v>
      </c>
      <c r="J132" s="5">
        <v>31.25</v>
      </c>
      <c r="K132" s="5">
        <v>2.74</v>
      </c>
      <c r="L132" s="5">
        <v>0.38</v>
      </c>
      <c r="M132" s="3">
        <f t="shared" si="43"/>
        <v>380</v>
      </c>
      <c r="N132" s="5">
        <v>9.81</v>
      </c>
      <c r="O132" s="23">
        <f t="shared" si="36"/>
        <v>9.810000000000001E-3</v>
      </c>
      <c r="P132" s="23">
        <f t="shared" si="37"/>
        <v>0.17658000000000001</v>
      </c>
      <c r="Q132" s="7">
        <f t="shared" si="38"/>
        <v>1.7658000000000002E-4</v>
      </c>
      <c r="R132" s="23">
        <f t="shared" si="39"/>
        <v>0.63568800000000003</v>
      </c>
      <c r="S132" s="5">
        <v>11.56</v>
      </c>
      <c r="T132" s="5">
        <v>1.91</v>
      </c>
      <c r="U132" s="3">
        <f t="shared" si="40"/>
        <v>19100</v>
      </c>
      <c r="V132" s="8">
        <v>-0.71199999999999997</v>
      </c>
      <c r="W132" s="8">
        <v>-1.64</v>
      </c>
      <c r="X132" s="5">
        <f t="shared" si="41"/>
        <v>0.92799999999999994</v>
      </c>
      <c r="Y132" s="23">
        <f t="shared" si="42"/>
        <v>0.68500862068965529</v>
      </c>
      <c r="Z132" s="23">
        <f t="shared" si="44"/>
        <v>13083.664655172415</v>
      </c>
      <c r="AA132" s="11">
        <f t="shared" si="45"/>
        <v>10.56215459397762</v>
      </c>
      <c r="AB132" s="11">
        <f t="shared" si="46"/>
        <v>201737.15274497255</v>
      </c>
    </row>
    <row r="133" spans="1:28" ht="17.25" customHeight="1" x14ac:dyDescent="0.2">
      <c r="A133" t="s">
        <v>7</v>
      </c>
      <c r="B133" s="20">
        <v>72</v>
      </c>
      <c r="C133" s="20">
        <v>155</v>
      </c>
      <c r="D133" s="20">
        <v>58</v>
      </c>
      <c r="E133" t="s">
        <v>75</v>
      </c>
      <c r="F133" s="26">
        <v>45148</v>
      </c>
      <c r="G133" t="s">
        <v>76</v>
      </c>
      <c r="H133" s="5">
        <v>31.28</v>
      </c>
      <c r="I133" s="5">
        <v>35.33</v>
      </c>
      <c r="J133" s="5">
        <v>31.05</v>
      </c>
      <c r="K133" s="5">
        <v>2.72</v>
      </c>
      <c r="L133" s="5">
        <v>0.26</v>
      </c>
      <c r="M133" s="3">
        <f t="shared" si="43"/>
        <v>260</v>
      </c>
      <c r="N133" s="5">
        <v>6.58</v>
      </c>
      <c r="O133" s="23">
        <f t="shared" si="36"/>
        <v>6.5799999999999999E-3</v>
      </c>
      <c r="P133" s="23">
        <f t="shared" si="37"/>
        <v>0.11844</v>
      </c>
      <c r="Q133" s="7">
        <f t="shared" si="38"/>
        <v>1.1844E-4</v>
      </c>
      <c r="R133" s="23">
        <f t="shared" si="39"/>
        <v>0.42638399999999999</v>
      </c>
      <c r="S133" s="5">
        <v>25.14</v>
      </c>
      <c r="T133" s="5">
        <v>4.53</v>
      </c>
      <c r="U133" s="3">
        <f t="shared" si="40"/>
        <v>45300</v>
      </c>
      <c r="V133" s="8">
        <v>-0.73</v>
      </c>
      <c r="W133" s="8">
        <v>-1.74</v>
      </c>
      <c r="X133" s="5">
        <f t="shared" si="41"/>
        <v>1.01</v>
      </c>
      <c r="Y133" s="23">
        <f t="shared" si="42"/>
        <v>0.42216237623762376</v>
      </c>
      <c r="Z133" s="23">
        <f t="shared" si="44"/>
        <v>19123.955643564357</v>
      </c>
      <c r="AA133" s="11">
        <f t="shared" si="45"/>
        <v>6.5093257908105375</v>
      </c>
      <c r="AB133" s="11">
        <f t="shared" si="46"/>
        <v>294872.45832371735</v>
      </c>
    </row>
    <row r="134" spans="1:28" ht="17.25" customHeight="1" x14ac:dyDescent="0.2">
      <c r="A134" t="s">
        <v>7</v>
      </c>
      <c r="B134" s="20">
        <v>72</v>
      </c>
      <c r="C134" s="20">
        <v>155</v>
      </c>
      <c r="D134" s="20">
        <v>59</v>
      </c>
      <c r="E134" t="s">
        <v>75</v>
      </c>
      <c r="F134" s="26">
        <v>45147</v>
      </c>
      <c r="G134" t="s">
        <v>76</v>
      </c>
      <c r="H134" s="5">
        <v>37.19</v>
      </c>
      <c r="I134" s="3">
        <v>35</v>
      </c>
      <c r="J134" s="5">
        <v>30.76</v>
      </c>
      <c r="K134" s="5">
        <v>2.35</v>
      </c>
      <c r="L134" s="5">
        <v>0.32</v>
      </c>
      <c r="M134" s="3">
        <f t="shared" si="43"/>
        <v>320</v>
      </c>
      <c r="N134" s="5">
        <v>7.09</v>
      </c>
      <c r="O134" s="23">
        <f t="shared" si="36"/>
        <v>7.0899999999999999E-3</v>
      </c>
      <c r="P134" s="23">
        <f t="shared" si="37"/>
        <v>0.12762000000000001</v>
      </c>
      <c r="Q134" s="7">
        <f t="shared" si="38"/>
        <v>1.2762E-4</v>
      </c>
      <c r="R134" s="23">
        <f t="shared" si="39"/>
        <v>0.45943200000000001</v>
      </c>
      <c r="S134" s="5">
        <v>16.940000000000001</v>
      </c>
      <c r="T134" s="5">
        <v>3.17</v>
      </c>
      <c r="U134" s="3">
        <f t="shared" si="40"/>
        <v>31700</v>
      </c>
      <c r="V134" s="8">
        <v>-0.52</v>
      </c>
      <c r="W134" s="8">
        <v>-2.02</v>
      </c>
      <c r="X134" s="5">
        <f t="shared" si="41"/>
        <v>1.5</v>
      </c>
      <c r="Y134" s="23">
        <f t="shared" si="42"/>
        <v>0.306288</v>
      </c>
      <c r="Z134" s="23">
        <f t="shared" si="44"/>
        <v>9709.3296000000009</v>
      </c>
      <c r="AA134" s="11">
        <f t="shared" si="45"/>
        <v>4.7226576550572625</v>
      </c>
      <c r="AB134" s="11">
        <f t="shared" si="46"/>
        <v>149708.24766531523</v>
      </c>
    </row>
    <row r="135" spans="1:28" ht="17.25" customHeight="1" x14ac:dyDescent="0.2">
      <c r="A135" t="s">
        <v>7</v>
      </c>
      <c r="B135" s="20">
        <v>72</v>
      </c>
      <c r="C135" s="20">
        <v>155</v>
      </c>
      <c r="D135" s="20">
        <v>60</v>
      </c>
      <c r="E135" t="s">
        <v>75</v>
      </c>
      <c r="F135" s="26">
        <v>45148</v>
      </c>
      <c r="G135" t="s">
        <v>76</v>
      </c>
      <c r="H135" s="5">
        <v>31.82</v>
      </c>
      <c r="I135" s="5">
        <v>34.81</v>
      </c>
      <c r="J135" s="5">
        <v>30.63</v>
      </c>
      <c r="K135" s="5">
        <v>2.63</v>
      </c>
      <c r="L135" s="5">
        <v>0.2</v>
      </c>
      <c r="M135" s="3">
        <f t="shared" si="43"/>
        <v>200</v>
      </c>
      <c r="N135" s="5">
        <v>5.01</v>
      </c>
      <c r="O135" s="23">
        <f t="shared" si="36"/>
        <v>5.0099999999999997E-3</v>
      </c>
      <c r="P135" s="23">
        <f t="shared" si="37"/>
        <v>9.0179999999999996E-2</v>
      </c>
      <c r="Q135" s="7">
        <f t="shared" si="38"/>
        <v>9.0179999999999994E-5</v>
      </c>
      <c r="R135" s="23">
        <f t="shared" si="39"/>
        <v>0.32464799999999999</v>
      </c>
      <c r="S135" s="5">
        <v>22.24</v>
      </c>
      <c r="T135" s="5">
        <v>4.22</v>
      </c>
      <c r="U135" s="3">
        <f t="shared" si="40"/>
        <v>42200</v>
      </c>
      <c r="V135" s="8">
        <v>-0.49</v>
      </c>
      <c r="W135" s="8">
        <v>-2.4500000000000002</v>
      </c>
      <c r="X135" s="5">
        <f t="shared" si="41"/>
        <v>1.9600000000000002</v>
      </c>
      <c r="Y135" s="23">
        <f t="shared" si="42"/>
        <v>0.16563673469387752</v>
      </c>
      <c r="Z135" s="23">
        <f t="shared" si="44"/>
        <v>6989.8702040816315</v>
      </c>
      <c r="AA135" s="11">
        <f t="shared" si="45"/>
        <v>2.5539544254451023</v>
      </c>
      <c r="AB135" s="11">
        <f t="shared" si="46"/>
        <v>107776.87675378332</v>
      </c>
    </row>
    <row r="136" spans="1:28" ht="17.25" customHeight="1" x14ac:dyDescent="0.2">
      <c r="A136" t="s">
        <v>7</v>
      </c>
      <c r="B136" s="20">
        <v>72</v>
      </c>
      <c r="C136" s="20">
        <v>5</v>
      </c>
      <c r="D136" s="20">
        <v>61</v>
      </c>
      <c r="E136" t="s">
        <v>75</v>
      </c>
      <c r="F136" s="26">
        <v>45148</v>
      </c>
      <c r="G136" t="s">
        <v>76</v>
      </c>
      <c r="H136" s="5">
        <v>31.02</v>
      </c>
      <c r="I136" s="5">
        <v>35.369999999999997</v>
      </c>
      <c r="J136" s="5">
        <v>31.37</v>
      </c>
      <c r="K136" s="5">
        <v>2.81</v>
      </c>
      <c r="L136" s="5">
        <v>0.16</v>
      </c>
      <c r="M136" s="3">
        <f t="shared" si="43"/>
        <v>160</v>
      </c>
      <c r="N136" s="5">
        <v>4.18</v>
      </c>
      <c r="O136" s="23">
        <f t="shared" si="36"/>
        <v>4.1799999999999997E-3</v>
      </c>
      <c r="P136" s="23">
        <f t="shared" si="37"/>
        <v>7.5240000000000001E-2</v>
      </c>
      <c r="Q136" s="7">
        <f t="shared" si="38"/>
        <v>7.5240000000000005E-5</v>
      </c>
      <c r="R136" s="23">
        <f t="shared" si="39"/>
        <v>0.27086399999999999</v>
      </c>
      <c r="S136" s="5">
        <v>5.59</v>
      </c>
      <c r="T136" s="5">
        <v>1.83</v>
      </c>
      <c r="U136" s="3">
        <f t="shared" si="40"/>
        <v>18300</v>
      </c>
      <c r="V136" s="8">
        <v>-0.52</v>
      </c>
      <c r="W136" s="8">
        <v>-2.48</v>
      </c>
      <c r="X136" s="5">
        <f t="shared" si="41"/>
        <v>1.96</v>
      </c>
      <c r="Y136" s="23">
        <f t="shared" si="42"/>
        <v>0.13819591836734693</v>
      </c>
      <c r="Z136" s="23">
        <f t="shared" si="44"/>
        <v>2528.9853061224489</v>
      </c>
      <c r="AA136" s="11">
        <f t="shared" si="45"/>
        <v>2.1308442112496064</v>
      </c>
      <c r="AB136" s="11">
        <f t="shared" si="46"/>
        <v>38994.449065867797</v>
      </c>
    </row>
    <row r="137" spans="1:28" ht="17.25" customHeight="1" x14ac:dyDescent="0.2">
      <c r="A137" t="s">
        <v>7</v>
      </c>
      <c r="B137" s="20">
        <v>72</v>
      </c>
      <c r="C137" s="20">
        <v>5</v>
      </c>
      <c r="D137" s="20">
        <v>63</v>
      </c>
      <c r="E137" t="s">
        <v>75</v>
      </c>
      <c r="F137" s="26">
        <v>45147</v>
      </c>
      <c r="G137" t="s">
        <v>76</v>
      </c>
      <c r="H137" s="5">
        <v>35.76</v>
      </c>
      <c r="I137" s="5">
        <v>34.869999999999997</v>
      </c>
      <c r="J137" s="5">
        <v>30.4</v>
      </c>
      <c r="K137" s="5">
        <v>2.35</v>
      </c>
      <c r="L137" s="5">
        <v>0.28999999999999998</v>
      </c>
      <c r="M137" s="3">
        <f t="shared" si="43"/>
        <v>290</v>
      </c>
      <c r="N137" s="5">
        <v>6.46</v>
      </c>
      <c r="O137" s="23">
        <f t="shared" si="36"/>
        <v>6.4599999999999996E-3</v>
      </c>
      <c r="P137" s="23">
        <f t="shared" si="37"/>
        <v>0.11627999999999999</v>
      </c>
      <c r="Q137" s="7">
        <f t="shared" si="38"/>
        <v>1.1627999999999999E-4</v>
      </c>
      <c r="R137" s="23">
        <f t="shared" si="39"/>
        <v>0.41860799999999998</v>
      </c>
      <c r="S137" s="5">
        <v>13.53</v>
      </c>
      <c r="T137" s="5">
        <v>2.78</v>
      </c>
      <c r="U137" s="5">
        <f t="shared" si="40"/>
        <v>27799.999999999996</v>
      </c>
      <c r="V137" s="8">
        <v>-0.76</v>
      </c>
      <c r="W137" s="8">
        <v>-1.58</v>
      </c>
      <c r="X137" s="5">
        <f t="shared" si="41"/>
        <v>0.82000000000000006</v>
      </c>
      <c r="Y137" s="23">
        <f t="shared" si="42"/>
        <v>0.51049756097560972</v>
      </c>
      <c r="Z137" s="23">
        <f t="shared" si="44"/>
        <v>14191.832195121948</v>
      </c>
      <c r="AA137" s="11">
        <f t="shared" si="45"/>
        <v>7.8713668646160633</v>
      </c>
      <c r="AB137" s="11">
        <f t="shared" si="46"/>
        <v>218823.99883632653</v>
      </c>
    </row>
    <row r="138" spans="1:28" ht="17.25" customHeight="1" x14ac:dyDescent="0.2">
      <c r="A138" t="s">
        <v>7</v>
      </c>
      <c r="B138" s="20">
        <v>72</v>
      </c>
      <c r="C138" s="20">
        <v>5</v>
      </c>
      <c r="D138" s="20">
        <v>85</v>
      </c>
      <c r="E138" t="s">
        <v>75</v>
      </c>
      <c r="F138" s="26">
        <v>45148</v>
      </c>
      <c r="G138" t="s">
        <v>76</v>
      </c>
      <c r="H138" s="5">
        <v>32.29</v>
      </c>
      <c r="I138" s="5">
        <v>34.75</v>
      </c>
      <c r="J138" s="5">
        <v>31.06</v>
      </c>
      <c r="K138" s="5">
        <v>2.72</v>
      </c>
      <c r="L138" s="5">
        <v>0.2</v>
      </c>
      <c r="M138" s="3">
        <f t="shared" si="43"/>
        <v>200</v>
      </c>
      <c r="N138" s="5">
        <v>5.24</v>
      </c>
      <c r="O138" s="23">
        <f t="shared" si="36"/>
        <v>5.2399999999999999E-3</v>
      </c>
      <c r="P138" s="23">
        <f t="shared" si="37"/>
        <v>9.4320000000000001E-2</v>
      </c>
      <c r="Q138" s="7">
        <f t="shared" si="38"/>
        <v>9.4320000000000005E-5</v>
      </c>
      <c r="R138" s="23">
        <f t="shared" si="39"/>
        <v>0.33955200000000002</v>
      </c>
      <c r="S138" s="5">
        <v>8.26</v>
      </c>
      <c r="T138" s="5">
        <v>2.33</v>
      </c>
      <c r="U138" s="3">
        <f t="shared" si="40"/>
        <v>23300</v>
      </c>
      <c r="V138" s="8">
        <v>-0.53</v>
      </c>
      <c r="W138" s="8">
        <v>-2.08</v>
      </c>
      <c r="X138" s="5">
        <f t="shared" si="41"/>
        <v>1.55</v>
      </c>
      <c r="Y138" s="23">
        <f t="shared" si="42"/>
        <v>0.21906580645161292</v>
      </c>
      <c r="Z138" s="23">
        <f t="shared" si="44"/>
        <v>5104.2332903225806</v>
      </c>
      <c r="AA138" s="11">
        <f t="shared" si="45"/>
        <v>3.3777778032440136</v>
      </c>
      <c r="AB138" s="11">
        <f t="shared" si="46"/>
        <v>78702.222815585512</v>
      </c>
    </row>
    <row r="139" spans="1:28" ht="17.25" customHeight="1" x14ac:dyDescent="0.2">
      <c r="A139" t="s">
        <v>8</v>
      </c>
      <c r="B139" s="20">
        <v>1521</v>
      </c>
      <c r="C139" s="20">
        <v>153</v>
      </c>
      <c r="D139" s="20">
        <v>69</v>
      </c>
      <c r="E139" t="s">
        <v>75</v>
      </c>
      <c r="F139" s="26">
        <v>45148</v>
      </c>
      <c r="G139" t="s">
        <v>76</v>
      </c>
      <c r="H139" s="5">
        <v>31.24</v>
      </c>
      <c r="I139" s="5">
        <v>35.24</v>
      </c>
      <c r="J139" s="5">
        <v>32.229999999999997</v>
      </c>
      <c r="K139" s="5">
        <v>3.04</v>
      </c>
      <c r="L139" s="5">
        <v>0.23</v>
      </c>
      <c r="M139" s="3">
        <f t="shared" si="43"/>
        <v>230</v>
      </c>
      <c r="N139" s="5">
        <v>6.63</v>
      </c>
      <c r="O139" s="23">
        <f t="shared" si="36"/>
        <v>6.6299999999999996E-3</v>
      </c>
      <c r="P139" s="23">
        <f t="shared" si="37"/>
        <v>0.11933999999999999</v>
      </c>
      <c r="Q139" s="7">
        <f t="shared" si="38"/>
        <v>1.1933999999999999E-4</v>
      </c>
      <c r="R139" s="23">
        <f t="shared" si="39"/>
        <v>0.42962399999999995</v>
      </c>
      <c r="S139" s="5">
        <v>1.89</v>
      </c>
      <c r="T139" s="5">
        <v>0.42</v>
      </c>
      <c r="U139" s="3">
        <f t="shared" si="40"/>
        <v>4200</v>
      </c>
      <c r="V139" s="8">
        <v>-0.67</v>
      </c>
      <c r="W139" s="8">
        <v>-2.2999999999999998</v>
      </c>
      <c r="X139" s="5">
        <f t="shared" si="41"/>
        <v>1.63</v>
      </c>
      <c r="Y139" s="23">
        <f t="shared" si="42"/>
        <v>0.26357300613496931</v>
      </c>
      <c r="Z139" s="23">
        <f t="shared" si="44"/>
        <v>1107.0066257668711</v>
      </c>
      <c r="AA139" s="11">
        <f t="shared" si="45"/>
        <v>4.0640347486345121</v>
      </c>
      <c r="AB139" s="11">
        <f t="shared" si="46"/>
        <v>17068.94594426495</v>
      </c>
    </row>
    <row r="140" spans="1:28" ht="17.25" customHeight="1" x14ac:dyDescent="0.2">
      <c r="A140" t="s">
        <v>8</v>
      </c>
      <c r="B140" s="20">
        <v>1521</v>
      </c>
      <c r="C140" s="20">
        <v>153</v>
      </c>
      <c r="D140" s="20">
        <v>76</v>
      </c>
      <c r="E140" t="s">
        <v>75</v>
      </c>
      <c r="F140" s="26">
        <v>45148</v>
      </c>
      <c r="G140" t="s">
        <v>76</v>
      </c>
      <c r="H140" s="5">
        <v>30.8</v>
      </c>
      <c r="I140" s="5">
        <v>35.19</v>
      </c>
      <c r="J140" s="5">
        <v>32.35</v>
      </c>
      <c r="K140" s="5">
        <v>3.11</v>
      </c>
      <c r="L140" s="5">
        <v>0.15</v>
      </c>
      <c r="M140" s="3">
        <f t="shared" si="43"/>
        <v>150</v>
      </c>
      <c r="N140" s="5">
        <v>4.4400000000000004</v>
      </c>
      <c r="O140" s="23">
        <f t="shared" si="36"/>
        <v>4.4400000000000004E-3</v>
      </c>
      <c r="P140" s="23">
        <f t="shared" si="37"/>
        <v>7.9920000000000005E-2</v>
      </c>
      <c r="Q140" s="7">
        <f t="shared" si="38"/>
        <v>7.9920000000000007E-5</v>
      </c>
      <c r="R140" s="23">
        <f t="shared" si="39"/>
        <v>0.28771200000000002</v>
      </c>
      <c r="S140" s="5">
        <v>1.63</v>
      </c>
      <c r="T140" s="5">
        <v>0.4</v>
      </c>
      <c r="U140" s="3">
        <f t="shared" si="40"/>
        <v>4000</v>
      </c>
      <c r="V140" s="8">
        <v>-0.77</v>
      </c>
      <c r="W140" s="8">
        <v>-1.82</v>
      </c>
      <c r="X140" s="5">
        <f t="shared" si="41"/>
        <v>1.05</v>
      </c>
      <c r="Y140" s="23">
        <f t="shared" si="42"/>
        <v>0.27401142857142857</v>
      </c>
      <c r="Z140" s="23">
        <f t="shared" si="44"/>
        <v>1096.0457142857142</v>
      </c>
      <c r="AA140" s="11">
        <f t="shared" si="45"/>
        <v>4.2249848858461103</v>
      </c>
      <c r="AB140" s="11">
        <f t="shared" si="46"/>
        <v>16899.93954338444</v>
      </c>
    </row>
    <row r="141" spans="1:28" ht="17.25" customHeight="1" x14ac:dyDescent="0.2">
      <c r="A141" t="s">
        <v>8</v>
      </c>
      <c r="B141" s="20">
        <v>1521</v>
      </c>
      <c r="C141" s="20">
        <v>153</v>
      </c>
      <c r="D141" s="20">
        <v>90</v>
      </c>
      <c r="E141" t="s">
        <v>75</v>
      </c>
      <c r="F141" s="26">
        <v>45147</v>
      </c>
      <c r="G141" t="s">
        <v>76</v>
      </c>
      <c r="H141" s="5">
        <v>34.74</v>
      </c>
      <c r="I141" s="5">
        <v>36.450000000000003</v>
      </c>
      <c r="J141" s="5">
        <v>34.46</v>
      </c>
      <c r="K141" s="5">
        <v>3.36</v>
      </c>
      <c r="L141" s="5">
        <v>0.17</v>
      </c>
      <c r="M141" s="3">
        <f t="shared" si="43"/>
        <v>170</v>
      </c>
      <c r="N141" s="5">
        <v>4.8899999999999997</v>
      </c>
      <c r="O141" s="23">
        <f t="shared" si="36"/>
        <v>4.8899999999999994E-3</v>
      </c>
      <c r="P141" s="23">
        <f t="shared" si="37"/>
        <v>8.8019999999999987E-2</v>
      </c>
      <c r="Q141" s="7">
        <f t="shared" si="38"/>
        <v>8.8019999999999987E-5</v>
      </c>
      <c r="R141" s="23">
        <f t="shared" si="39"/>
        <v>0.31687199999999993</v>
      </c>
      <c r="S141" s="5">
        <v>3.81</v>
      </c>
      <c r="T141" s="5">
        <v>0.53</v>
      </c>
      <c r="U141" s="3">
        <f t="shared" si="40"/>
        <v>5300</v>
      </c>
      <c r="V141" s="8">
        <v>-0.55000000000000004</v>
      </c>
      <c r="W141" s="8">
        <v>-2.0499999999999998</v>
      </c>
      <c r="X141" s="5">
        <f t="shared" si="41"/>
        <v>1.4999999999999998</v>
      </c>
      <c r="Y141" s="23">
        <f t="shared" si="42"/>
        <v>0.21124799999999999</v>
      </c>
      <c r="Z141" s="23">
        <f t="shared" si="44"/>
        <v>1119.6143999999999</v>
      </c>
      <c r="AA141" s="11">
        <f t="shared" si="45"/>
        <v>3.2572349694259537</v>
      </c>
      <c r="AB141" s="11">
        <f t="shared" si="46"/>
        <v>17263.345337957555</v>
      </c>
    </row>
    <row r="142" spans="1:28" ht="17.25" customHeight="1" x14ac:dyDescent="0.2">
      <c r="A142" t="s">
        <v>8</v>
      </c>
      <c r="B142" s="20">
        <v>1521</v>
      </c>
      <c r="C142" s="20">
        <v>155</v>
      </c>
      <c r="D142" s="20">
        <v>62</v>
      </c>
      <c r="E142" t="s">
        <v>75</v>
      </c>
      <c r="F142" s="26">
        <v>45147</v>
      </c>
      <c r="G142" t="s">
        <v>76</v>
      </c>
      <c r="H142" s="5">
        <v>35.14</v>
      </c>
      <c r="I142" s="5">
        <v>35.729999999999997</v>
      </c>
      <c r="J142" s="5">
        <v>31.98</v>
      </c>
      <c r="K142" s="5">
        <v>2.69</v>
      </c>
      <c r="L142" s="5">
        <v>0.27</v>
      </c>
      <c r="M142" s="3">
        <f t="shared" si="43"/>
        <v>270</v>
      </c>
      <c r="N142" s="5">
        <v>6.97</v>
      </c>
      <c r="O142" s="23">
        <f t="shared" si="36"/>
        <v>6.9699999999999996E-3</v>
      </c>
      <c r="P142" s="23">
        <f t="shared" si="37"/>
        <v>0.12545999999999999</v>
      </c>
      <c r="Q142" s="7">
        <f t="shared" si="38"/>
        <v>1.2545999999999998E-4</v>
      </c>
      <c r="R142" s="23">
        <f t="shared" si="39"/>
        <v>0.45165599999999995</v>
      </c>
      <c r="S142" s="5">
        <v>1.17</v>
      </c>
      <c r="T142" s="5">
        <v>0.44</v>
      </c>
      <c r="U142" s="3">
        <f t="shared" si="40"/>
        <v>4400</v>
      </c>
      <c r="V142" s="8">
        <v>-1.3</v>
      </c>
      <c r="W142" s="8">
        <v>-2.12</v>
      </c>
      <c r="X142" s="5">
        <f t="shared" si="41"/>
        <v>0.82000000000000006</v>
      </c>
      <c r="Y142" s="23">
        <f t="shared" si="42"/>
        <v>0.55079999999999985</v>
      </c>
      <c r="Z142" s="23">
        <f t="shared" si="44"/>
        <v>2423.5199999999995</v>
      </c>
      <c r="AA142" s="11">
        <f t="shared" si="45"/>
        <v>8.4927905644541717</v>
      </c>
      <c r="AB142" s="11">
        <f t="shared" si="46"/>
        <v>37368.278483598355</v>
      </c>
    </row>
    <row r="143" spans="1:28" ht="17.25" customHeight="1" x14ac:dyDescent="0.2">
      <c r="A143" t="s">
        <v>8</v>
      </c>
      <c r="B143" s="20">
        <v>1521</v>
      </c>
      <c r="C143" s="20">
        <v>155</v>
      </c>
      <c r="D143" s="20">
        <v>64</v>
      </c>
      <c r="E143" t="s">
        <v>75</v>
      </c>
      <c r="F143" s="26">
        <v>45147</v>
      </c>
      <c r="G143" t="s">
        <v>76</v>
      </c>
      <c r="H143" s="5">
        <v>36.869999999999997</v>
      </c>
      <c r="I143" s="5">
        <v>34.46</v>
      </c>
      <c r="J143" s="5">
        <v>30.79</v>
      </c>
      <c r="K143" s="5">
        <v>2.4300000000000002</v>
      </c>
      <c r="L143" s="5">
        <v>0.25</v>
      </c>
      <c r="M143" s="3">
        <f t="shared" si="43"/>
        <v>250</v>
      </c>
      <c r="N143" s="5">
        <v>5.74</v>
      </c>
      <c r="O143" s="23">
        <f t="shared" si="36"/>
        <v>5.7400000000000003E-3</v>
      </c>
      <c r="P143" s="23">
        <f t="shared" si="37"/>
        <v>0.10332000000000001</v>
      </c>
      <c r="Q143" s="7">
        <f t="shared" si="38"/>
        <v>1.0332000000000001E-4</v>
      </c>
      <c r="R143" s="23">
        <f t="shared" si="39"/>
        <v>0.371952</v>
      </c>
      <c r="S143" s="5">
        <v>1.37</v>
      </c>
      <c r="T143" s="5">
        <v>0.45</v>
      </c>
      <c r="U143" s="3">
        <f t="shared" si="40"/>
        <v>4500</v>
      </c>
      <c r="V143" s="8">
        <v>-0.61</v>
      </c>
      <c r="W143" s="8">
        <v>-2.15</v>
      </c>
      <c r="X143" s="5">
        <f t="shared" si="41"/>
        <v>1.54</v>
      </c>
      <c r="Y143" s="23">
        <f t="shared" si="42"/>
        <v>0.24152727272727273</v>
      </c>
      <c r="Z143" s="23">
        <f t="shared" si="44"/>
        <v>1086.8727272727274</v>
      </c>
      <c r="AA143" s="11">
        <f t="shared" si="45"/>
        <v>3.7241113705093172</v>
      </c>
      <c r="AB143" s="11">
        <f t="shared" si="46"/>
        <v>16758.501167291928</v>
      </c>
    </row>
    <row r="144" spans="1:28" ht="17.25" customHeight="1" x14ac:dyDescent="0.2">
      <c r="A144" t="s">
        <v>8</v>
      </c>
      <c r="B144" s="20">
        <v>1521</v>
      </c>
      <c r="C144" s="20">
        <v>155</v>
      </c>
      <c r="D144" s="20">
        <v>66</v>
      </c>
      <c r="E144" t="s">
        <v>75</v>
      </c>
      <c r="F144" s="26">
        <v>45148</v>
      </c>
      <c r="G144" t="s">
        <v>76</v>
      </c>
      <c r="H144" s="5">
        <v>29.72</v>
      </c>
      <c r="I144" s="5">
        <v>35.909999999999997</v>
      </c>
      <c r="J144" s="5">
        <v>32.72</v>
      </c>
      <c r="K144" s="5">
        <v>3.2</v>
      </c>
      <c r="L144" s="5">
        <v>0.16</v>
      </c>
      <c r="M144" s="3">
        <f t="shared" si="43"/>
        <v>160</v>
      </c>
      <c r="N144" s="5">
        <v>4.6900000000000004</v>
      </c>
      <c r="O144" s="23">
        <f t="shared" si="36"/>
        <v>4.6900000000000006E-3</v>
      </c>
      <c r="P144" s="23">
        <f t="shared" si="37"/>
        <v>8.4420000000000009E-2</v>
      </c>
      <c r="Q144" s="7">
        <f t="shared" si="38"/>
        <v>8.4420000000000008E-5</v>
      </c>
      <c r="R144" s="23">
        <f t="shared" si="39"/>
        <v>0.30391200000000002</v>
      </c>
      <c r="S144" s="5">
        <v>3.21</v>
      </c>
      <c r="T144" s="5">
        <v>0.68</v>
      </c>
      <c r="U144" s="5">
        <f t="shared" si="40"/>
        <v>6800.0000000000009</v>
      </c>
      <c r="V144" s="8">
        <v>-0.89</v>
      </c>
      <c r="W144" s="8">
        <v>-1.85</v>
      </c>
      <c r="X144" s="5">
        <f t="shared" si="41"/>
        <v>0.96000000000000008</v>
      </c>
      <c r="Y144" s="23">
        <f t="shared" si="42"/>
        <v>0.316575</v>
      </c>
      <c r="Z144" s="23">
        <f t="shared" si="44"/>
        <v>2152.71</v>
      </c>
      <c r="AA144" s="11">
        <f t="shared" si="45"/>
        <v>4.8812730082463327</v>
      </c>
      <c r="AB144" s="11">
        <f t="shared" si="46"/>
        <v>33192.65645607507</v>
      </c>
    </row>
    <row r="145" spans="1:28" ht="17.25" customHeight="1" x14ac:dyDescent="0.2">
      <c r="A145" t="s">
        <v>8</v>
      </c>
      <c r="B145" s="20">
        <v>1521</v>
      </c>
      <c r="C145" s="20">
        <v>156</v>
      </c>
      <c r="D145" s="20">
        <v>71</v>
      </c>
      <c r="E145" t="s">
        <v>75</v>
      </c>
      <c r="F145" s="26">
        <v>45147</v>
      </c>
      <c r="G145" t="s">
        <v>76</v>
      </c>
      <c r="H145" s="5">
        <v>35.200000000000003</v>
      </c>
      <c r="I145" s="5">
        <v>35.9</v>
      </c>
      <c r="J145" s="5">
        <v>32.94</v>
      </c>
      <c r="K145" s="5">
        <v>2.94</v>
      </c>
      <c r="L145" s="5">
        <v>0.19</v>
      </c>
      <c r="M145" s="3">
        <f t="shared" si="43"/>
        <v>190</v>
      </c>
      <c r="N145" s="5">
        <v>5.27</v>
      </c>
      <c r="O145" s="23">
        <f t="shared" si="36"/>
        <v>5.2699999999999995E-3</v>
      </c>
      <c r="P145" s="23">
        <f t="shared" si="37"/>
        <v>9.4859999999999986E-2</v>
      </c>
      <c r="Q145" s="7">
        <f t="shared" si="38"/>
        <v>9.4859999999999983E-5</v>
      </c>
      <c r="R145" s="23">
        <f t="shared" si="39"/>
        <v>0.34149599999999991</v>
      </c>
      <c r="S145" s="5">
        <v>3.35</v>
      </c>
      <c r="T145" s="5">
        <v>0.65</v>
      </c>
      <c r="U145" s="3">
        <f t="shared" si="40"/>
        <v>6500</v>
      </c>
      <c r="V145" s="8">
        <v>-0.36</v>
      </c>
      <c r="W145" s="8">
        <v>-1.87</v>
      </c>
      <c r="X145" s="5">
        <f t="shared" si="41"/>
        <v>1.5100000000000002</v>
      </c>
      <c r="Y145" s="23">
        <f t="shared" si="42"/>
        <v>0.22615629139072838</v>
      </c>
      <c r="Z145" s="23">
        <f t="shared" si="44"/>
        <v>1470.0158940397343</v>
      </c>
      <c r="AA145" s="11">
        <f t="shared" si="45"/>
        <v>3.4871060595772092</v>
      </c>
      <c r="AB145" s="11">
        <f t="shared" si="46"/>
        <v>22666.189387251859</v>
      </c>
    </row>
    <row r="146" spans="1:28" ht="17.25" customHeight="1" x14ac:dyDescent="0.2">
      <c r="A146" t="s">
        <v>8</v>
      </c>
      <c r="B146" s="20">
        <v>1521</v>
      </c>
      <c r="C146" s="20">
        <v>156</v>
      </c>
      <c r="D146" s="20">
        <v>74</v>
      </c>
      <c r="E146" t="s">
        <v>75</v>
      </c>
      <c r="F146" s="26">
        <v>45148</v>
      </c>
      <c r="G146" t="s">
        <v>76</v>
      </c>
      <c r="H146" s="5">
        <v>31.47</v>
      </c>
      <c r="I146" s="5">
        <v>35.17</v>
      </c>
      <c r="J146" s="5">
        <v>34.19</v>
      </c>
      <c r="K146" s="5">
        <v>3.61</v>
      </c>
      <c r="L146" s="5">
        <v>0.04</v>
      </c>
      <c r="M146" s="3">
        <f t="shared" si="43"/>
        <v>40</v>
      </c>
      <c r="N146" s="5">
        <v>1.42</v>
      </c>
      <c r="O146" s="23">
        <f t="shared" si="36"/>
        <v>1.4199999999999998E-3</v>
      </c>
      <c r="P146" s="23">
        <f t="shared" si="37"/>
        <v>2.5559999999999996E-2</v>
      </c>
      <c r="Q146" s="7">
        <f t="shared" si="38"/>
        <v>2.5559999999999996E-5</v>
      </c>
      <c r="R146" s="23">
        <f t="shared" si="39"/>
        <v>9.2015999999999987E-2</v>
      </c>
      <c r="S146" s="5">
        <v>2.92</v>
      </c>
      <c r="T146" s="5">
        <v>0.64</v>
      </c>
      <c r="U146" s="3">
        <f t="shared" si="40"/>
        <v>6400</v>
      </c>
      <c r="V146" s="8">
        <v>-0.35</v>
      </c>
      <c r="W146" s="8">
        <v>-1.77</v>
      </c>
      <c r="X146" s="5">
        <f t="shared" si="41"/>
        <v>1.42</v>
      </c>
      <c r="Y146" s="23">
        <f t="shared" si="42"/>
        <v>6.4799999999999996E-2</v>
      </c>
      <c r="Z146" s="23">
        <f t="shared" si="44"/>
        <v>414.71999999999997</v>
      </c>
      <c r="AA146" s="11">
        <f t="shared" si="45"/>
        <v>0.99915183111225581</v>
      </c>
      <c r="AB146" s="11">
        <f t="shared" si="46"/>
        <v>6394.5717191184376</v>
      </c>
    </row>
    <row r="147" spans="1:28" ht="17.25" customHeight="1" x14ac:dyDescent="0.2">
      <c r="A147" t="s">
        <v>8</v>
      </c>
      <c r="B147" s="20">
        <v>1521</v>
      </c>
      <c r="C147" s="20">
        <v>156</v>
      </c>
      <c r="D147" s="20">
        <v>75</v>
      </c>
      <c r="E147" t="s">
        <v>75</v>
      </c>
      <c r="F147" s="26">
        <v>45148</v>
      </c>
      <c r="G147" t="s">
        <v>76</v>
      </c>
      <c r="H147" s="5">
        <v>29.88</v>
      </c>
      <c r="I147" s="5">
        <v>35.799999999999997</v>
      </c>
      <c r="J147" s="5">
        <v>33.229999999999997</v>
      </c>
      <c r="K147" s="5">
        <v>3.35</v>
      </c>
      <c r="L147" s="5">
        <v>0.15</v>
      </c>
      <c r="M147" s="3">
        <f t="shared" si="43"/>
        <v>150</v>
      </c>
      <c r="N147" s="5">
        <v>4.7300000000000004</v>
      </c>
      <c r="O147" s="23">
        <f t="shared" si="36"/>
        <v>4.7300000000000007E-3</v>
      </c>
      <c r="P147" s="23">
        <f t="shared" si="37"/>
        <v>8.5140000000000007E-2</v>
      </c>
      <c r="Q147" s="7">
        <f t="shared" si="38"/>
        <v>8.5140000000000001E-5</v>
      </c>
      <c r="R147" s="23">
        <f t="shared" si="39"/>
        <v>0.306504</v>
      </c>
      <c r="S147" s="5">
        <v>2.78</v>
      </c>
      <c r="T147" s="5">
        <v>0.57999999999999996</v>
      </c>
      <c r="U147" s="3">
        <f t="shared" si="40"/>
        <v>5800</v>
      </c>
      <c r="V147" s="8">
        <v>-0.39</v>
      </c>
      <c r="W147" s="8">
        <v>-2.06</v>
      </c>
      <c r="X147" s="5">
        <f t="shared" si="41"/>
        <v>1.67</v>
      </c>
      <c r="Y147" s="23">
        <f t="shared" si="42"/>
        <v>0.18353532934131736</v>
      </c>
      <c r="Z147" s="23">
        <f t="shared" si="44"/>
        <v>1064.5049101796408</v>
      </c>
      <c r="AA147" s="11">
        <f t="shared" si="45"/>
        <v>2.8299330306353112</v>
      </c>
      <c r="AB147" s="11">
        <f t="shared" si="46"/>
        <v>16413.611577684806</v>
      </c>
    </row>
    <row r="148" spans="1:28" ht="17.25" customHeight="1" x14ac:dyDescent="0.2">
      <c r="A148" t="s">
        <v>8</v>
      </c>
      <c r="B148" s="20">
        <v>1521</v>
      </c>
      <c r="C148" s="20">
        <v>157</v>
      </c>
      <c r="D148" s="20">
        <v>67</v>
      </c>
      <c r="E148" t="s">
        <v>75</v>
      </c>
      <c r="F148" s="26">
        <v>45148</v>
      </c>
      <c r="G148" t="s">
        <v>76</v>
      </c>
      <c r="H148" s="5">
        <v>31.73</v>
      </c>
      <c r="I148" s="5">
        <v>34.89</v>
      </c>
      <c r="J148" s="5">
        <v>32.159999999999997</v>
      </c>
      <c r="K148" s="5">
        <v>3.03</v>
      </c>
      <c r="L148" s="5">
        <v>0.17</v>
      </c>
      <c r="M148" s="3">
        <f t="shared" si="43"/>
        <v>170</v>
      </c>
      <c r="N148" s="5">
        <v>4.8499999999999996</v>
      </c>
      <c r="O148" s="23">
        <f t="shared" si="36"/>
        <v>4.8499999999999993E-3</v>
      </c>
      <c r="P148" s="23">
        <f t="shared" si="37"/>
        <v>8.7299999999999989E-2</v>
      </c>
      <c r="Q148" s="7">
        <f t="shared" si="38"/>
        <v>8.7299999999999994E-5</v>
      </c>
      <c r="R148" s="23">
        <f t="shared" si="39"/>
        <v>0.31428</v>
      </c>
      <c r="S148" s="5">
        <v>2.46</v>
      </c>
      <c r="T148" s="5">
        <v>0.65</v>
      </c>
      <c r="U148" s="3">
        <f t="shared" si="40"/>
        <v>6500</v>
      </c>
      <c r="V148" s="8">
        <v>-0.7</v>
      </c>
      <c r="W148" s="8">
        <v>-2.02</v>
      </c>
      <c r="X148" s="5">
        <f t="shared" si="41"/>
        <v>1.32</v>
      </c>
      <c r="Y148" s="23">
        <f t="shared" si="42"/>
        <v>0.23809090909090908</v>
      </c>
      <c r="Z148" s="23">
        <f t="shared" si="44"/>
        <v>1547.590909090909</v>
      </c>
      <c r="AA148" s="11">
        <f t="shared" si="45"/>
        <v>3.6711260461321515</v>
      </c>
      <c r="AB148" s="11">
        <f t="shared" si="46"/>
        <v>23862.319299858984</v>
      </c>
    </row>
    <row r="149" spans="1:28" ht="17.25" customHeight="1" x14ac:dyDescent="0.2">
      <c r="A149" t="s">
        <v>8</v>
      </c>
      <c r="B149" s="20">
        <v>1521</v>
      </c>
      <c r="C149" s="20">
        <v>157</v>
      </c>
      <c r="D149" s="20">
        <v>68</v>
      </c>
      <c r="E149" t="s">
        <v>75</v>
      </c>
      <c r="F149" s="26">
        <v>45148</v>
      </c>
      <c r="G149" t="s">
        <v>76</v>
      </c>
      <c r="H149" s="5">
        <v>31.55</v>
      </c>
      <c r="I149" s="5">
        <v>34.869999999999997</v>
      </c>
      <c r="J149" s="5">
        <v>32.03</v>
      </c>
      <c r="K149" s="5">
        <v>3.01</v>
      </c>
      <c r="L149" s="5">
        <v>0.12</v>
      </c>
      <c r="M149" s="3">
        <f t="shared" si="43"/>
        <v>120</v>
      </c>
      <c r="N149" s="5">
        <v>3.47</v>
      </c>
      <c r="O149" s="23">
        <f t="shared" si="36"/>
        <v>3.47E-3</v>
      </c>
      <c r="P149" s="23">
        <f t="shared" si="37"/>
        <v>6.2460000000000002E-2</v>
      </c>
      <c r="Q149" s="7">
        <f t="shared" si="38"/>
        <v>6.2459999999999995E-5</v>
      </c>
      <c r="R149" s="23">
        <f t="shared" si="39"/>
        <v>0.22485599999999997</v>
      </c>
      <c r="S149" s="5">
        <v>2.9</v>
      </c>
      <c r="T149" s="5">
        <v>0.85</v>
      </c>
      <c r="U149" s="3">
        <f t="shared" si="40"/>
        <v>8500</v>
      </c>
      <c r="V149" s="8">
        <v>-0.66</v>
      </c>
      <c r="W149" s="8">
        <v>-2.2000000000000002</v>
      </c>
      <c r="X149" s="5">
        <f t="shared" si="41"/>
        <v>1.54</v>
      </c>
      <c r="Y149" s="23">
        <f t="shared" si="42"/>
        <v>0.14601038961038959</v>
      </c>
      <c r="Z149" s="23">
        <f t="shared" si="44"/>
        <v>1241.0883116883115</v>
      </c>
      <c r="AA149" s="11">
        <f t="shared" si="45"/>
        <v>2.2513356194542382</v>
      </c>
      <c r="AB149" s="11">
        <f t="shared" si="46"/>
        <v>19136.352765361025</v>
      </c>
    </row>
    <row r="150" spans="1:28" ht="17.25" customHeight="1" x14ac:dyDescent="0.2">
      <c r="A150" t="s">
        <v>8</v>
      </c>
      <c r="B150" s="20">
        <v>1521</v>
      </c>
      <c r="C150" s="20">
        <v>157</v>
      </c>
      <c r="D150" s="20">
        <v>72</v>
      </c>
      <c r="E150" t="s">
        <v>75</v>
      </c>
      <c r="F150" s="26">
        <v>45147</v>
      </c>
      <c r="G150" t="s">
        <v>76</v>
      </c>
      <c r="H150" s="5">
        <v>36.22</v>
      </c>
      <c r="I150" s="5">
        <v>35.159999999999997</v>
      </c>
      <c r="J150" s="5">
        <v>32.020000000000003</v>
      </c>
      <c r="K150" s="5">
        <v>2.71</v>
      </c>
      <c r="L150" s="5">
        <v>0.18</v>
      </c>
      <c r="M150" s="3">
        <f t="shared" si="43"/>
        <v>180</v>
      </c>
      <c r="N150" s="5">
        <v>4.55</v>
      </c>
      <c r="O150" s="23">
        <f t="shared" si="36"/>
        <v>4.5500000000000002E-3</v>
      </c>
      <c r="P150" s="23">
        <f t="shared" si="37"/>
        <v>8.1900000000000001E-2</v>
      </c>
      <c r="Q150" s="7">
        <f t="shared" si="38"/>
        <v>8.1899999999999999E-5</v>
      </c>
      <c r="R150" s="23">
        <f t="shared" si="39"/>
        <v>0.29483999999999999</v>
      </c>
      <c r="S150" s="5">
        <v>1.89</v>
      </c>
      <c r="T150" s="5">
        <v>1.52</v>
      </c>
      <c r="U150" s="3">
        <f t="shared" si="40"/>
        <v>15200</v>
      </c>
      <c r="V150" s="8">
        <v>-0.72</v>
      </c>
      <c r="W150" s="8">
        <v>-2.09</v>
      </c>
      <c r="X150" s="5">
        <f t="shared" si="41"/>
        <v>1.3699999999999999</v>
      </c>
      <c r="Y150" s="23">
        <f t="shared" si="42"/>
        <v>0.21521167883211681</v>
      </c>
      <c r="Z150" s="23">
        <f t="shared" si="44"/>
        <v>3271.2175182481756</v>
      </c>
      <c r="AA150" s="11">
        <f t="shared" si="45"/>
        <v>3.3183509719421638</v>
      </c>
      <c r="AB150" s="11">
        <f t="shared" si="46"/>
        <v>50438.934773520887</v>
      </c>
    </row>
    <row r="151" spans="1:28" ht="17.25" customHeight="1" x14ac:dyDescent="0.2">
      <c r="A151" t="s">
        <v>8</v>
      </c>
      <c r="B151" s="20">
        <v>1521</v>
      </c>
      <c r="C151" s="20">
        <v>158</v>
      </c>
      <c r="D151" s="20">
        <v>70</v>
      </c>
      <c r="E151" t="s">
        <v>75</v>
      </c>
      <c r="F151" s="26">
        <v>45148</v>
      </c>
      <c r="G151" t="s">
        <v>76</v>
      </c>
      <c r="H151" s="5">
        <v>29.82</v>
      </c>
      <c r="I151" s="5">
        <v>36.119999999999997</v>
      </c>
      <c r="J151" s="5">
        <v>33.81</v>
      </c>
      <c r="K151" s="5">
        <v>3.49</v>
      </c>
      <c r="L151" s="5">
        <v>0.13</v>
      </c>
      <c r="M151" s="3">
        <f t="shared" si="43"/>
        <v>130</v>
      </c>
      <c r="N151" s="5">
        <v>4.05</v>
      </c>
      <c r="O151" s="23">
        <f t="shared" si="36"/>
        <v>4.0499999999999998E-3</v>
      </c>
      <c r="P151" s="23">
        <f t="shared" si="37"/>
        <v>7.2899999999999993E-2</v>
      </c>
      <c r="Q151" s="7">
        <f t="shared" si="38"/>
        <v>7.2899999999999997E-5</v>
      </c>
      <c r="R151" s="23">
        <f t="shared" si="39"/>
        <v>0.26244000000000001</v>
      </c>
      <c r="S151" s="5">
        <v>1.25</v>
      </c>
      <c r="T151" s="5">
        <v>0.24</v>
      </c>
      <c r="U151" s="3">
        <f t="shared" si="40"/>
        <v>2400</v>
      </c>
      <c r="V151" s="8">
        <v>-0.44</v>
      </c>
      <c r="W151" s="8">
        <v>-1.95</v>
      </c>
      <c r="X151" s="5">
        <f t="shared" si="41"/>
        <v>1.51</v>
      </c>
      <c r="Y151" s="23">
        <f t="shared" si="42"/>
        <v>0.17380132450331126</v>
      </c>
      <c r="Z151" s="23">
        <f t="shared" si="44"/>
        <v>417.123178807947</v>
      </c>
      <c r="AA151" s="11">
        <f t="shared" si="45"/>
        <v>2.6798443152348588</v>
      </c>
      <c r="AB151" s="11">
        <f t="shared" si="46"/>
        <v>6431.6263565636609</v>
      </c>
    </row>
    <row r="152" spans="1:28" ht="17.25" customHeight="1" x14ac:dyDescent="0.2">
      <c r="A152" t="s">
        <v>8</v>
      </c>
      <c r="B152" s="20">
        <v>1521</v>
      </c>
      <c r="C152" s="20">
        <v>158</v>
      </c>
      <c r="D152" s="20">
        <v>73</v>
      </c>
      <c r="E152" t="s">
        <v>75</v>
      </c>
      <c r="F152" s="26">
        <v>45148</v>
      </c>
      <c r="G152" t="s">
        <v>76</v>
      </c>
      <c r="H152" s="5">
        <v>30.77</v>
      </c>
      <c r="I152" s="5">
        <v>35.22</v>
      </c>
      <c r="J152" s="5">
        <v>32.67</v>
      </c>
      <c r="K152" s="5">
        <v>3.2</v>
      </c>
      <c r="L152" s="5">
        <v>0.1</v>
      </c>
      <c r="M152" s="3">
        <f t="shared" si="43"/>
        <v>100</v>
      </c>
      <c r="N152" s="5">
        <v>3.07</v>
      </c>
      <c r="O152" s="23">
        <f t="shared" si="36"/>
        <v>3.0699999999999998E-3</v>
      </c>
      <c r="P152" s="23">
        <f t="shared" si="37"/>
        <v>5.5259999999999997E-2</v>
      </c>
      <c r="Q152" s="7">
        <f t="shared" si="38"/>
        <v>5.5259999999999996E-5</v>
      </c>
      <c r="R152" s="23">
        <f t="shared" si="39"/>
        <v>0.19893599999999997</v>
      </c>
      <c r="S152" s="5">
        <v>1.75</v>
      </c>
      <c r="T152" s="5">
        <v>0.39</v>
      </c>
      <c r="U152" s="3">
        <f t="shared" si="40"/>
        <v>3900</v>
      </c>
      <c r="V152" s="8">
        <v>-0.49</v>
      </c>
      <c r="W152" s="8">
        <v>-2.7</v>
      </c>
      <c r="X152" s="5">
        <f t="shared" si="41"/>
        <v>2.21</v>
      </c>
      <c r="Y152" s="23">
        <f t="shared" si="42"/>
        <v>9.0016289592760174E-2</v>
      </c>
      <c r="Z152" s="23">
        <f t="shared" si="44"/>
        <v>351.0635294117647</v>
      </c>
      <c r="AA152" s="11">
        <f t="shared" si="45"/>
        <v>1.3879620459342197</v>
      </c>
      <c r="AB152" s="11">
        <f t="shared" si="46"/>
        <v>5413.0519791434572</v>
      </c>
    </row>
    <row r="153" spans="1:28" ht="17.25" customHeight="1" x14ac:dyDescent="0.2">
      <c r="A153" t="s">
        <v>8</v>
      </c>
      <c r="B153" s="20">
        <v>1521</v>
      </c>
      <c r="C153" s="20">
        <v>158</v>
      </c>
      <c r="D153" s="20">
        <v>81</v>
      </c>
      <c r="E153" t="s">
        <v>75</v>
      </c>
      <c r="F153" s="26">
        <v>45148</v>
      </c>
      <c r="G153" t="s">
        <v>76</v>
      </c>
      <c r="H153" s="5">
        <v>29.8</v>
      </c>
      <c r="I153" s="5">
        <v>36.22</v>
      </c>
      <c r="J153" s="5">
        <v>33.03</v>
      </c>
      <c r="K153" s="5">
        <v>3.25</v>
      </c>
      <c r="L153" s="5">
        <v>0.17</v>
      </c>
      <c r="M153" s="3">
        <f t="shared" si="43"/>
        <v>170</v>
      </c>
      <c r="N153" s="5">
        <v>5.37</v>
      </c>
      <c r="O153" s="23">
        <f t="shared" si="36"/>
        <v>5.3699999999999998E-3</v>
      </c>
      <c r="P153" s="23">
        <f t="shared" si="37"/>
        <v>9.6659999999999996E-2</v>
      </c>
      <c r="Q153" s="7">
        <f t="shared" si="38"/>
        <v>9.666E-5</v>
      </c>
      <c r="R153" s="23">
        <f t="shared" si="39"/>
        <v>0.34797600000000001</v>
      </c>
      <c r="S153" s="5">
        <v>0.53</v>
      </c>
      <c r="T153" s="5">
        <v>0.2</v>
      </c>
      <c r="U153" s="3">
        <f t="shared" si="40"/>
        <v>2000</v>
      </c>
      <c r="V153" s="8">
        <v>-0.83</v>
      </c>
      <c r="W153" s="8">
        <v>-1.97</v>
      </c>
      <c r="X153" s="5">
        <f t="shared" si="41"/>
        <v>1.1400000000000001</v>
      </c>
      <c r="Y153" s="23">
        <f t="shared" si="42"/>
        <v>0.30524210526315787</v>
      </c>
      <c r="Z153" s="23">
        <f t="shared" si="44"/>
        <v>610.48421052631579</v>
      </c>
      <c r="AA153" s="11">
        <f t="shared" si="45"/>
        <v>4.7065309939235211</v>
      </c>
      <c r="AB153" s="11">
        <f t="shared" si="46"/>
        <v>9413.0619878470425</v>
      </c>
    </row>
    <row r="154" spans="1:28" ht="17.25" customHeight="1" x14ac:dyDescent="0.2">
      <c r="A154" t="s">
        <v>9</v>
      </c>
      <c r="B154" s="20">
        <v>666</v>
      </c>
      <c r="C154" s="20">
        <v>101</v>
      </c>
      <c r="D154" s="20">
        <v>1</v>
      </c>
      <c r="E154" t="s">
        <v>75</v>
      </c>
      <c r="F154" s="26">
        <v>45147</v>
      </c>
      <c r="G154" t="s">
        <v>76</v>
      </c>
      <c r="H154" s="5">
        <v>32.630000000000003</v>
      </c>
      <c r="I154" s="5">
        <v>37.479999999999997</v>
      </c>
      <c r="J154" s="5">
        <v>33.18</v>
      </c>
      <c r="K154" s="5">
        <v>2.98</v>
      </c>
      <c r="L154" s="5">
        <v>0.42</v>
      </c>
      <c r="M154" s="3">
        <f t="shared" si="43"/>
        <v>420</v>
      </c>
      <c r="N154" s="5">
        <v>11.87</v>
      </c>
      <c r="O154" s="23">
        <f t="shared" si="36"/>
        <v>1.1869999999999999E-2</v>
      </c>
      <c r="P154" s="23">
        <f t="shared" si="37"/>
        <v>0.21365999999999996</v>
      </c>
      <c r="Q154" s="7">
        <f t="shared" si="38"/>
        <v>2.1365999999999996E-4</v>
      </c>
      <c r="R154" s="23">
        <f t="shared" si="39"/>
        <v>0.76917599999999986</v>
      </c>
      <c r="S154" s="5">
        <v>5.47</v>
      </c>
      <c r="T154" s="5">
        <v>1.21</v>
      </c>
      <c r="U154" s="3">
        <f t="shared" si="40"/>
        <v>12100</v>
      </c>
      <c r="V154" s="8">
        <v>-0.41</v>
      </c>
      <c r="W154" s="8">
        <v>-1.98</v>
      </c>
      <c r="X154" s="5">
        <f t="shared" si="41"/>
        <v>1.57</v>
      </c>
      <c r="Y154" s="23">
        <f t="shared" si="42"/>
        <v>0.48992101910828012</v>
      </c>
      <c r="Z154" s="23">
        <f t="shared" si="44"/>
        <v>5928.0443312101897</v>
      </c>
      <c r="AA154" s="11">
        <f t="shared" si="45"/>
        <v>7.5540969651608103</v>
      </c>
      <c r="AB154" s="11">
        <f t="shared" si="46"/>
        <v>91404.573278445809</v>
      </c>
    </row>
    <row r="155" spans="1:28" ht="17.25" customHeight="1" x14ac:dyDescent="0.2">
      <c r="A155" t="s">
        <v>9</v>
      </c>
      <c r="B155" s="20">
        <v>666</v>
      </c>
      <c r="C155" s="20">
        <v>101</v>
      </c>
      <c r="D155" s="20">
        <v>2</v>
      </c>
      <c r="E155" t="s">
        <v>75</v>
      </c>
      <c r="F155" s="26">
        <v>45147</v>
      </c>
      <c r="G155" t="s">
        <v>76</v>
      </c>
      <c r="H155" s="5">
        <v>32.979999999999997</v>
      </c>
      <c r="I155" s="5">
        <v>37.1</v>
      </c>
      <c r="J155" s="5">
        <v>31.24</v>
      </c>
      <c r="K155" s="5">
        <v>2.48</v>
      </c>
      <c r="L155" s="5">
        <v>0.55000000000000004</v>
      </c>
      <c r="M155" s="3">
        <f t="shared" si="43"/>
        <v>550</v>
      </c>
      <c r="N155" s="5">
        <v>12.81</v>
      </c>
      <c r="O155" s="23">
        <f t="shared" si="36"/>
        <v>1.281E-2</v>
      </c>
      <c r="P155" s="23">
        <f t="shared" si="37"/>
        <v>0.23058000000000001</v>
      </c>
      <c r="Q155" s="7">
        <f t="shared" si="38"/>
        <v>2.3058E-4</v>
      </c>
      <c r="R155" s="23">
        <f t="shared" si="39"/>
        <v>0.83008800000000005</v>
      </c>
      <c r="S155" s="5">
        <v>6.42</v>
      </c>
      <c r="T155" s="5">
        <v>1.41</v>
      </c>
      <c r="U155" s="3">
        <f t="shared" si="40"/>
        <v>14100</v>
      </c>
      <c r="V155" s="8">
        <v>-0.33</v>
      </c>
      <c r="W155" s="8">
        <v>-2.63</v>
      </c>
      <c r="X155" s="5">
        <f t="shared" si="41"/>
        <v>2.2999999999999998</v>
      </c>
      <c r="Y155" s="23">
        <f t="shared" si="42"/>
        <v>0.3609078260869566</v>
      </c>
      <c r="Z155" s="23">
        <f t="shared" si="44"/>
        <v>5088.800347826088</v>
      </c>
      <c r="AA155" s="11">
        <f t="shared" si="45"/>
        <v>5.5648412854556524</v>
      </c>
      <c r="AB155" s="11">
        <f t="shared" si="46"/>
        <v>78464.262124924702</v>
      </c>
    </row>
    <row r="156" spans="1:28" ht="17.25" customHeight="1" x14ac:dyDescent="0.2">
      <c r="A156" t="s">
        <v>9</v>
      </c>
      <c r="B156" s="20">
        <v>666</v>
      </c>
      <c r="C156" s="20">
        <v>101</v>
      </c>
      <c r="D156" s="20">
        <v>3</v>
      </c>
      <c r="E156" t="s">
        <v>75</v>
      </c>
      <c r="F156" s="26">
        <v>45147</v>
      </c>
      <c r="G156" t="s">
        <v>76</v>
      </c>
      <c r="H156" s="5">
        <v>33.6</v>
      </c>
      <c r="I156" s="5">
        <v>36.78</v>
      </c>
      <c r="J156" s="5">
        <v>31.35</v>
      </c>
      <c r="K156" s="5">
        <v>2.5</v>
      </c>
      <c r="L156" s="5">
        <v>0.45</v>
      </c>
      <c r="M156" s="3">
        <f t="shared" si="43"/>
        <v>450</v>
      </c>
      <c r="N156" s="5">
        <v>10.64</v>
      </c>
      <c r="O156" s="23">
        <f t="shared" ref="O156:O187" si="47">N156/1000</f>
        <v>1.064E-2</v>
      </c>
      <c r="P156" s="23">
        <f t="shared" ref="P156:P187" si="48">O156*18</f>
        <v>0.19152</v>
      </c>
      <c r="Q156" s="7">
        <f t="shared" ref="Q156:Q187" si="49">P156/1000</f>
        <v>1.9151999999999998E-4</v>
      </c>
      <c r="R156" s="23">
        <f t="shared" ref="R156:R187" si="50">Q156*3600</f>
        <v>0.68947199999999997</v>
      </c>
      <c r="S156" s="5">
        <v>5.07</v>
      </c>
      <c r="T156" s="5">
        <v>1.03</v>
      </c>
      <c r="U156" s="3">
        <f t="shared" ref="U156:U187" si="51">T156*10000</f>
        <v>10300</v>
      </c>
      <c r="V156" s="8">
        <v>-0.54</v>
      </c>
      <c r="W156" s="8">
        <v>-2.2999999999999998</v>
      </c>
      <c r="X156" s="5">
        <f t="shared" ref="X156:X187" si="52">V156-W156</f>
        <v>1.7599999999999998</v>
      </c>
      <c r="Y156" s="23">
        <f t="shared" ref="Y156:Y187" si="53">R156/X156</f>
        <v>0.39174545454545456</v>
      </c>
      <c r="Z156" s="23">
        <f t="shared" si="44"/>
        <v>4034.9781818181818</v>
      </c>
      <c r="AA156" s="11">
        <f t="shared" si="45"/>
        <v>6.040326978996819</v>
      </c>
      <c r="AB156" s="11">
        <f t="shared" si="46"/>
        <v>62215.367883667233</v>
      </c>
    </row>
    <row r="157" spans="1:28" ht="17.25" customHeight="1" x14ac:dyDescent="0.2">
      <c r="A157" t="s">
        <v>9</v>
      </c>
      <c r="B157" s="20">
        <v>666</v>
      </c>
      <c r="C157" s="20">
        <v>105</v>
      </c>
      <c r="D157" s="20">
        <v>7</v>
      </c>
      <c r="E157" t="s">
        <v>75</v>
      </c>
      <c r="F157" s="26">
        <v>45147</v>
      </c>
      <c r="G157" t="s">
        <v>76</v>
      </c>
      <c r="H157" s="5">
        <v>34.78</v>
      </c>
      <c r="I157" s="5">
        <v>35.979999999999997</v>
      </c>
      <c r="J157" s="5">
        <v>30.9</v>
      </c>
      <c r="K157" s="5">
        <v>2.41</v>
      </c>
      <c r="L157" s="5">
        <v>0.4</v>
      </c>
      <c r="M157" s="3">
        <f t="shared" si="43"/>
        <v>400</v>
      </c>
      <c r="N157" s="5">
        <v>9.18</v>
      </c>
      <c r="O157" s="23">
        <f t="shared" si="47"/>
        <v>9.1799999999999989E-3</v>
      </c>
      <c r="P157" s="23">
        <f t="shared" si="48"/>
        <v>0.16523999999999997</v>
      </c>
      <c r="Q157" s="7">
        <f t="shared" si="49"/>
        <v>1.6523999999999998E-4</v>
      </c>
      <c r="R157" s="23">
        <f t="shared" si="50"/>
        <v>0.59486399999999995</v>
      </c>
      <c r="S157" s="5">
        <v>3.34</v>
      </c>
      <c r="T157" s="5">
        <v>0.91</v>
      </c>
      <c r="U157" s="3">
        <f t="shared" si="51"/>
        <v>9100</v>
      </c>
      <c r="V157" s="8">
        <v>-1.19</v>
      </c>
      <c r="W157" s="8">
        <v>-2.2599999999999998</v>
      </c>
      <c r="X157" s="5">
        <f t="shared" si="52"/>
        <v>1.0699999999999998</v>
      </c>
      <c r="Y157" s="23">
        <f t="shared" si="53"/>
        <v>0.5559476635514019</v>
      </c>
      <c r="Z157" s="23">
        <f t="shared" si="44"/>
        <v>5059.1237383177577</v>
      </c>
      <c r="AA157" s="11">
        <f t="shared" si="45"/>
        <v>8.5721624388883271</v>
      </c>
      <c r="AB157" s="11">
        <f t="shared" si="46"/>
        <v>78006.678193883781</v>
      </c>
    </row>
    <row r="158" spans="1:28" ht="17.25" customHeight="1" x14ac:dyDescent="0.2">
      <c r="A158" t="s">
        <v>9</v>
      </c>
      <c r="B158" s="20">
        <v>666</v>
      </c>
      <c r="C158" s="20">
        <v>105</v>
      </c>
      <c r="D158" s="20">
        <v>8</v>
      </c>
      <c r="E158" t="s">
        <v>75</v>
      </c>
      <c r="F158" s="26">
        <v>45147</v>
      </c>
      <c r="G158" t="s">
        <v>76</v>
      </c>
      <c r="H158" s="5">
        <v>36.04</v>
      </c>
      <c r="I158" s="5">
        <v>35.369999999999997</v>
      </c>
      <c r="J158" s="5">
        <v>30.51</v>
      </c>
      <c r="K158" s="5">
        <v>2.2999999999999998</v>
      </c>
      <c r="L158" s="5">
        <v>0.46</v>
      </c>
      <c r="M158" s="3">
        <f t="shared" si="43"/>
        <v>460</v>
      </c>
      <c r="N158" s="5">
        <v>9.99</v>
      </c>
      <c r="O158" s="23">
        <f t="shared" si="47"/>
        <v>9.9900000000000006E-3</v>
      </c>
      <c r="P158" s="23">
        <f t="shared" si="48"/>
        <v>0.17982000000000001</v>
      </c>
      <c r="Q158" s="7">
        <f t="shared" si="49"/>
        <v>1.7982E-4</v>
      </c>
      <c r="R158" s="23">
        <f t="shared" si="50"/>
        <v>0.64735200000000004</v>
      </c>
      <c r="S158" s="5">
        <v>2.64</v>
      </c>
      <c r="T158" s="5">
        <v>0.69</v>
      </c>
      <c r="U158" s="5">
        <f t="shared" si="51"/>
        <v>6899.9999999999991</v>
      </c>
      <c r="V158" s="8">
        <v>-0.73</v>
      </c>
      <c r="W158" s="8">
        <v>-2.1800000000000002</v>
      </c>
      <c r="X158" s="5">
        <f t="shared" si="52"/>
        <v>1.4500000000000002</v>
      </c>
      <c r="Y158" s="23">
        <f t="shared" si="53"/>
        <v>0.44644965517241375</v>
      </c>
      <c r="Z158" s="23">
        <f t="shared" si="44"/>
        <v>3080.5026206896546</v>
      </c>
      <c r="AA158" s="11">
        <f t="shared" si="45"/>
        <v>6.8838115812492662</v>
      </c>
      <c r="AB158" s="11">
        <f t="shared" si="46"/>
        <v>47498.299910619928</v>
      </c>
    </row>
    <row r="159" spans="1:28" ht="17.25" customHeight="1" x14ac:dyDescent="0.2">
      <c r="A159" t="s">
        <v>9</v>
      </c>
      <c r="B159" s="20">
        <v>666</v>
      </c>
      <c r="C159" s="20">
        <v>105</v>
      </c>
      <c r="D159" s="20">
        <v>9</v>
      </c>
      <c r="E159" t="s">
        <v>75</v>
      </c>
      <c r="F159" s="26">
        <v>45148</v>
      </c>
      <c r="G159" t="s">
        <v>76</v>
      </c>
      <c r="H159" s="5">
        <v>32.46</v>
      </c>
      <c r="I159" s="3">
        <v>35</v>
      </c>
      <c r="J159" s="5">
        <v>31.64</v>
      </c>
      <c r="K159" s="5">
        <v>2.84</v>
      </c>
      <c r="L159" s="5">
        <v>0.22</v>
      </c>
      <c r="M159" s="3">
        <f t="shared" si="43"/>
        <v>220</v>
      </c>
      <c r="N159" s="5">
        <v>5.94</v>
      </c>
      <c r="O159" s="23">
        <f t="shared" si="47"/>
        <v>5.94E-3</v>
      </c>
      <c r="P159" s="23">
        <f t="shared" si="48"/>
        <v>0.10692</v>
      </c>
      <c r="Q159" s="7">
        <f t="shared" si="49"/>
        <v>1.0692E-4</v>
      </c>
      <c r="R159" s="23">
        <f t="shared" si="50"/>
        <v>0.38491199999999998</v>
      </c>
      <c r="S159" s="5">
        <v>5.01</v>
      </c>
      <c r="T159" s="5">
        <v>1.0900000000000001</v>
      </c>
      <c r="U159" s="3">
        <f t="shared" si="51"/>
        <v>10900</v>
      </c>
      <c r="V159" s="8">
        <v>-0.92</v>
      </c>
      <c r="W159" s="8">
        <v>-2.63</v>
      </c>
      <c r="X159" s="5">
        <f t="shared" si="52"/>
        <v>1.71</v>
      </c>
      <c r="Y159" s="23">
        <f t="shared" si="53"/>
        <v>0.22509473684210526</v>
      </c>
      <c r="Z159" s="23">
        <f t="shared" si="44"/>
        <v>2453.5326315789475</v>
      </c>
      <c r="AA159" s="11">
        <f t="shared" si="45"/>
        <v>3.4707379396530991</v>
      </c>
      <c r="AB159" s="11">
        <f t="shared" si="46"/>
        <v>37831.04354221878</v>
      </c>
    </row>
    <row r="160" spans="1:28" ht="17.25" customHeight="1" x14ac:dyDescent="0.2">
      <c r="A160" t="s">
        <v>9</v>
      </c>
      <c r="B160" s="20">
        <v>666</v>
      </c>
      <c r="C160" s="20">
        <v>118</v>
      </c>
      <c r="D160" s="20">
        <v>10</v>
      </c>
      <c r="E160" t="s">
        <v>75</v>
      </c>
      <c r="F160" s="26">
        <v>45148</v>
      </c>
      <c r="G160" t="s">
        <v>76</v>
      </c>
      <c r="H160" s="5">
        <v>30.01</v>
      </c>
      <c r="I160" s="5">
        <v>36.24</v>
      </c>
      <c r="J160" s="5">
        <v>32.619999999999997</v>
      </c>
      <c r="K160" s="5">
        <v>3.12</v>
      </c>
      <c r="L160" s="5">
        <v>0.26</v>
      </c>
      <c r="M160" s="3">
        <f t="shared" si="43"/>
        <v>260</v>
      </c>
      <c r="N160" s="5">
        <v>7.55</v>
      </c>
      <c r="O160" s="23">
        <f t="shared" si="47"/>
        <v>7.5499999999999994E-3</v>
      </c>
      <c r="P160" s="23">
        <f t="shared" si="48"/>
        <v>0.13589999999999999</v>
      </c>
      <c r="Q160" s="7">
        <f t="shared" si="49"/>
        <v>1.359E-4</v>
      </c>
      <c r="R160" s="23">
        <f t="shared" si="50"/>
        <v>0.48924000000000001</v>
      </c>
      <c r="S160" s="5">
        <v>3.56</v>
      </c>
      <c r="T160" s="5">
        <v>1</v>
      </c>
      <c r="U160" s="3">
        <f t="shared" si="51"/>
        <v>10000</v>
      </c>
      <c r="V160" s="8">
        <v>-0.72</v>
      </c>
      <c r="W160" s="8">
        <v>-2.11</v>
      </c>
      <c r="X160" s="5">
        <f t="shared" si="52"/>
        <v>1.39</v>
      </c>
      <c r="Y160" s="23">
        <f t="shared" si="53"/>
        <v>0.35197122302158279</v>
      </c>
      <c r="Z160" s="23">
        <f t="shared" si="44"/>
        <v>3519.7122302158277</v>
      </c>
      <c r="AA160" s="11">
        <f t="shared" si="45"/>
        <v>5.4270477157536199</v>
      </c>
      <c r="AB160" s="11">
        <f t="shared" si="46"/>
        <v>54270.477157536196</v>
      </c>
    </row>
    <row r="161" spans="1:28" ht="17.25" customHeight="1" x14ac:dyDescent="0.2">
      <c r="A161" t="s">
        <v>9</v>
      </c>
      <c r="B161" s="20">
        <v>666</v>
      </c>
      <c r="C161" s="20">
        <v>118</v>
      </c>
      <c r="D161" s="20">
        <v>11</v>
      </c>
      <c r="E161" t="s">
        <v>75</v>
      </c>
      <c r="F161" s="26">
        <v>45148</v>
      </c>
      <c r="G161" t="s">
        <v>76</v>
      </c>
      <c r="H161" s="5">
        <v>31.55</v>
      </c>
      <c r="I161" s="5">
        <v>35.119999999999997</v>
      </c>
      <c r="J161" s="5">
        <v>31.53</v>
      </c>
      <c r="K161" s="5">
        <v>2.85</v>
      </c>
      <c r="L161" s="5">
        <v>0.18</v>
      </c>
      <c r="M161" s="3">
        <f t="shared" si="43"/>
        <v>180</v>
      </c>
      <c r="N161" s="5">
        <v>4.92</v>
      </c>
      <c r="O161" s="23">
        <f t="shared" si="47"/>
        <v>4.9199999999999999E-3</v>
      </c>
      <c r="P161" s="23">
        <f t="shared" si="48"/>
        <v>8.856E-2</v>
      </c>
      <c r="Q161" s="7">
        <f t="shared" si="49"/>
        <v>8.8560000000000006E-5</v>
      </c>
      <c r="R161" s="23">
        <f t="shared" si="50"/>
        <v>0.31881600000000004</v>
      </c>
      <c r="S161" s="5">
        <v>3.32</v>
      </c>
      <c r="T161" s="5">
        <v>0.91</v>
      </c>
      <c r="U161" s="3">
        <f t="shared" si="51"/>
        <v>9100</v>
      </c>
      <c r="V161" s="8">
        <v>-0.56999999999999995</v>
      </c>
      <c r="W161" s="8">
        <v>-1.72</v>
      </c>
      <c r="X161" s="5">
        <f t="shared" si="52"/>
        <v>1.1499999999999999</v>
      </c>
      <c r="Y161" s="23">
        <f t="shared" si="53"/>
        <v>0.27723130434782617</v>
      </c>
      <c r="Z161" s="23">
        <f t="shared" si="44"/>
        <v>2522.8048695652183</v>
      </c>
      <c r="AA161" s="11">
        <f t="shared" si="45"/>
        <v>4.2746321818019997</v>
      </c>
      <c r="AB161" s="11">
        <f t="shared" si="46"/>
        <v>38899.152854398199</v>
      </c>
    </row>
    <row r="162" spans="1:28" ht="17.25" customHeight="1" x14ac:dyDescent="0.2">
      <c r="A162" t="s">
        <v>9</v>
      </c>
      <c r="B162" s="20">
        <v>666</v>
      </c>
      <c r="C162" s="20">
        <v>118</v>
      </c>
      <c r="D162" s="20">
        <v>12</v>
      </c>
      <c r="E162" t="s">
        <v>75</v>
      </c>
      <c r="F162" s="26">
        <v>45147</v>
      </c>
      <c r="G162" t="s">
        <v>76</v>
      </c>
      <c r="H162" s="5">
        <v>34.299999999999997</v>
      </c>
      <c r="I162" s="5">
        <v>36.11</v>
      </c>
      <c r="J162" s="5">
        <v>31.26</v>
      </c>
      <c r="K162" s="5">
        <v>2.5099999999999998</v>
      </c>
      <c r="L162" s="5">
        <v>0.28000000000000003</v>
      </c>
      <c r="M162" s="3">
        <f t="shared" si="43"/>
        <v>280</v>
      </c>
      <c r="N162" s="5">
        <v>6.71</v>
      </c>
      <c r="O162" s="23">
        <f t="shared" si="47"/>
        <v>6.7099999999999998E-3</v>
      </c>
      <c r="P162" s="23">
        <f t="shared" si="48"/>
        <v>0.12078</v>
      </c>
      <c r="Q162" s="7">
        <f t="shared" si="49"/>
        <v>1.2077999999999999E-4</v>
      </c>
      <c r="R162" s="23">
        <f t="shared" si="50"/>
        <v>0.43480799999999997</v>
      </c>
      <c r="S162" s="5">
        <v>1.61</v>
      </c>
      <c r="T162" s="5">
        <v>0.5</v>
      </c>
      <c r="U162" s="3">
        <f t="shared" si="51"/>
        <v>5000</v>
      </c>
      <c r="V162" s="8">
        <v>-0.28999999999999998</v>
      </c>
      <c r="W162" s="8">
        <v>-1.91</v>
      </c>
      <c r="X162" s="5">
        <f t="shared" si="52"/>
        <v>1.6199999999999999</v>
      </c>
      <c r="Y162" s="23">
        <f t="shared" si="53"/>
        <v>0.26840000000000003</v>
      </c>
      <c r="Z162" s="23">
        <f t="shared" si="44"/>
        <v>1342.0000000000002</v>
      </c>
      <c r="AA162" s="11">
        <f t="shared" si="45"/>
        <v>4.1384622140513816</v>
      </c>
      <c r="AB162" s="11">
        <f t="shared" si="46"/>
        <v>20692.311070256907</v>
      </c>
    </row>
    <row r="163" spans="1:28" ht="17.25" customHeight="1" x14ac:dyDescent="0.2">
      <c r="A163" t="s">
        <v>9</v>
      </c>
      <c r="B163" s="20">
        <v>666</v>
      </c>
      <c r="C163" s="20">
        <v>122</v>
      </c>
      <c r="D163" s="20">
        <v>16</v>
      </c>
      <c r="E163" t="s">
        <v>75</v>
      </c>
      <c r="F163" s="26">
        <v>45148</v>
      </c>
      <c r="G163" t="s">
        <v>76</v>
      </c>
      <c r="H163" s="5">
        <v>30.99</v>
      </c>
      <c r="I163" s="5">
        <v>35.200000000000003</v>
      </c>
      <c r="J163" s="5">
        <v>31.11</v>
      </c>
      <c r="K163" s="5">
        <v>2.76</v>
      </c>
      <c r="L163" s="5">
        <v>0.23</v>
      </c>
      <c r="M163" s="3">
        <f t="shared" si="43"/>
        <v>230</v>
      </c>
      <c r="N163" s="5">
        <v>5.86</v>
      </c>
      <c r="O163" s="23">
        <f t="shared" si="47"/>
        <v>5.8600000000000006E-3</v>
      </c>
      <c r="P163" s="23">
        <f t="shared" si="48"/>
        <v>0.10548000000000002</v>
      </c>
      <c r="Q163" s="7">
        <f t="shared" si="49"/>
        <v>1.0548000000000001E-4</v>
      </c>
      <c r="R163" s="23">
        <f t="shared" si="50"/>
        <v>0.37972800000000007</v>
      </c>
      <c r="S163" s="5">
        <v>7.05</v>
      </c>
      <c r="T163" s="5">
        <v>2.21</v>
      </c>
      <c r="U163" s="3">
        <f t="shared" si="51"/>
        <v>22100</v>
      </c>
      <c r="V163" s="8">
        <v>-0.6</v>
      </c>
      <c r="W163" s="8">
        <v>-2.31</v>
      </c>
      <c r="X163" s="5">
        <f t="shared" si="52"/>
        <v>1.71</v>
      </c>
      <c r="Y163" s="23">
        <f t="shared" si="53"/>
        <v>0.22206315789473688</v>
      </c>
      <c r="Z163" s="23">
        <f t="shared" si="44"/>
        <v>4907.5957894736848</v>
      </c>
      <c r="AA163" s="11">
        <f t="shared" si="45"/>
        <v>3.4239939943379061</v>
      </c>
      <c r="AB163" s="11">
        <f t="shared" si="46"/>
        <v>75670.267274867729</v>
      </c>
    </row>
    <row r="164" spans="1:28" ht="17.25" customHeight="1" x14ac:dyDescent="0.2">
      <c r="A164" t="s">
        <v>9</v>
      </c>
      <c r="B164" s="20">
        <v>666</v>
      </c>
      <c r="C164" s="20">
        <v>122</v>
      </c>
      <c r="D164" s="20">
        <v>17</v>
      </c>
      <c r="E164" t="s">
        <v>75</v>
      </c>
      <c r="F164" s="26">
        <v>45148</v>
      </c>
      <c r="G164" t="s">
        <v>76</v>
      </c>
      <c r="H164" s="5">
        <v>30.33</v>
      </c>
      <c r="I164" s="5">
        <v>35.76</v>
      </c>
      <c r="J164" s="5">
        <v>31.25</v>
      </c>
      <c r="K164" s="5">
        <v>2.78</v>
      </c>
      <c r="L164" s="5">
        <v>0.26</v>
      </c>
      <c r="M164" s="3">
        <f t="shared" si="43"/>
        <v>260</v>
      </c>
      <c r="N164" s="5">
        <v>6.74</v>
      </c>
      <c r="O164" s="23">
        <f t="shared" si="47"/>
        <v>6.7400000000000003E-3</v>
      </c>
      <c r="P164" s="23">
        <f t="shared" si="48"/>
        <v>0.12132000000000001</v>
      </c>
      <c r="Q164" s="7">
        <f t="shared" si="49"/>
        <v>1.2132000000000001E-4</v>
      </c>
      <c r="R164" s="23">
        <f t="shared" si="50"/>
        <v>0.43675200000000003</v>
      </c>
      <c r="S164" s="5">
        <v>4.82</v>
      </c>
      <c r="T164" s="5">
        <v>1.19</v>
      </c>
      <c r="U164" s="3">
        <f t="shared" si="51"/>
        <v>11900</v>
      </c>
      <c r="V164" s="8">
        <v>-0.56000000000000005</v>
      </c>
      <c r="W164" s="8">
        <v>-2.2000000000000002</v>
      </c>
      <c r="X164" s="5">
        <f t="shared" si="52"/>
        <v>1.6400000000000001</v>
      </c>
      <c r="Y164" s="23">
        <f t="shared" si="53"/>
        <v>0.2663121951219512</v>
      </c>
      <c r="Z164" s="23">
        <f t="shared" si="44"/>
        <v>3169.1151219512194</v>
      </c>
      <c r="AA164" s="11">
        <f t="shared" si="45"/>
        <v>4.1062703303028076</v>
      </c>
      <c r="AB164" s="11">
        <f t="shared" si="46"/>
        <v>48864.616930603413</v>
      </c>
    </row>
    <row r="165" spans="1:28" ht="17.25" customHeight="1" x14ac:dyDescent="0.2">
      <c r="A165" t="s">
        <v>9</v>
      </c>
      <c r="B165" s="20">
        <v>666</v>
      </c>
      <c r="C165" s="20">
        <v>122</v>
      </c>
      <c r="D165" s="20">
        <v>18</v>
      </c>
      <c r="E165" t="s">
        <v>75</v>
      </c>
      <c r="F165" s="26">
        <v>45147</v>
      </c>
      <c r="G165" t="s">
        <v>76</v>
      </c>
      <c r="H165" s="5">
        <v>32.31</v>
      </c>
      <c r="I165" s="5">
        <v>37.19</v>
      </c>
      <c r="J165" s="5">
        <v>32.64</v>
      </c>
      <c r="K165" s="5">
        <v>2.89</v>
      </c>
      <c r="L165" s="5">
        <v>0.31</v>
      </c>
      <c r="M165" s="3">
        <f t="shared" si="43"/>
        <v>310</v>
      </c>
      <c r="N165" s="5">
        <v>8.3699999999999992</v>
      </c>
      <c r="O165" s="23">
        <f t="shared" si="47"/>
        <v>8.369999999999999E-3</v>
      </c>
      <c r="P165" s="23">
        <f t="shared" si="48"/>
        <v>0.15065999999999999</v>
      </c>
      <c r="Q165" s="7">
        <f t="shared" si="49"/>
        <v>1.5066E-4</v>
      </c>
      <c r="R165" s="23">
        <f t="shared" si="50"/>
        <v>0.54237599999999997</v>
      </c>
      <c r="S165" s="5">
        <v>7.37</v>
      </c>
      <c r="T165" s="5">
        <v>1.96</v>
      </c>
      <c r="U165" s="3">
        <f t="shared" si="51"/>
        <v>19600</v>
      </c>
      <c r="V165" s="8">
        <v>-0.54</v>
      </c>
      <c r="W165" s="8">
        <v>-2.4700000000000002</v>
      </c>
      <c r="X165" s="5">
        <f t="shared" si="52"/>
        <v>1.9300000000000002</v>
      </c>
      <c r="Y165" s="23">
        <f t="shared" si="53"/>
        <v>0.28102383419689114</v>
      </c>
      <c r="Z165" s="23">
        <f t="shared" si="44"/>
        <v>5508.0671502590667</v>
      </c>
      <c r="AA165" s="11">
        <f t="shared" si="45"/>
        <v>4.333109236481647</v>
      </c>
      <c r="AB165" s="11">
        <f t="shared" si="46"/>
        <v>84928.941035040276</v>
      </c>
    </row>
    <row r="166" spans="1:28" ht="17.25" customHeight="1" x14ac:dyDescent="0.2">
      <c r="A166" t="s">
        <v>9</v>
      </c>
      <c r="B166" s="20">
        <v>666</v>
      </c>
      <c r="C166" s="20">
        <v>123</v>
      </c>
      <c r="D166" s="20">
        <v>19</v>
      </c>
      <c r="E166" t="s">
        <v>75</v>
      </c>
      <c r="F166" s="26">
        <v>45147</v>
      </c>
      <c r="G166" t="s">
        <v>76</v>
      </c>
      <c r="H166" s="5">
        <v>37.630000000000003</v>
      </c>
      <c r="I166" s="5">
        <v>34.06</v>
      </c>
      <c r="J166" s="5">
        <v>30.23</v>
      </c>
      <c r="K166" s="5">
        <v>2.29</v>
      </c>
      <c r="L166" s="5">
        <v>0.4</v>
      </c>
      <c r="M166" s="3">
        <f t="shared" si="43"/>
        <v>400</v>
      </c>
      <c r="N166" s="5">
        <v>8.64</v>
      </c>
      <c r="O166" s="23">
        <f t="shared" si="47"/>
        <v>8.6400000000000001E-3</v>
      </c>
      <c r="P166" s="23">
        <f t="shared" si="48"/>
        <v>0.15551999999999999</v>
      </c>
      <c r="Q166" s="7">
        <f t="shared" si="49"/>
        <v>1.5552E-4</v>
      </c>
      <c r="R166" s="23">
        <f t="shared" si="50"/>
        <v>0.55987200000000004</v>
      </c>
      <c r="S166" s="5">
        <v>6.06</v>
      </c>
      <c r="T166" s="5">
        <v>1.55</v>
      </c>
      <c r="U166" s="3">
        <f t="shared" si="51"/>
        <v>15500</v>
      </c>
      <c r="V166" s="8">
        <v>-0.59</v>
      </c>
      <c r="W166" s="8">
        <v>-2.0299999999999998</v>
      </c>
      <c r="X166" s="5">
        <f t="shared" si="52"/>
        <v>1.44</v>
      </c>
      <c r="Y166" s="23">
        <f t="shared" si="53"/>
        <v>0.38880000000000003</v>
      </c>
      <c r="Z166" s="23">
        <f t="shared" si="44"/>
        <v>6026.4000000000005</v>
      </c>
      <c r="AA166" s="11">
        <f t="shared" si="45"/>
        <v>5.9949109866735348</v>
      </c>
      <c r="AB166" s="11">
        <f t="shared" si="46"/>
        <v>92921.120293439788</v>
      </c>
    </row>
    <row r="167" spans="1:28" ht="17.25" customHeight="1" x14ac:dyDescent="0.2">
      <c r="A167" t="s">
        <v>9</v>
      </c>
      <c r="B167" s="20">
        <v>666</v>
      </c>
      <c r="C167" s="20">
        <v>123</v>
      </c>
      <c r="D167" s="20">
        <v>20</v>
      </c>
      <c r="E167" t="s">
        <v>75</v>
      </c>
      <c r="F167" s="26">
        <v>45147</v>
      </c>
      <c r="G167" t="s">
        <v>76</v>
      </c>
      <c r="H167" s="5">
        <v>36.229999999999997</v>
      </c>
      <c r="I167" s="5">
        <v>34.67</v>
      </c>
      <c r="J167" s="5">
        <v>30.45</v>
      </c>
      <c r="K167" s="5">
        <v>2.35</v>
      </c>
      <c r="L167" s="5">
        <v>0.43</v>
      </c>
      <c r="M167" s="3">
        <f t="shared" si="43"/>
        <v>430</v>
      </c>
      <c r="N167" s="5">
        <v>9.6</v>
      </c>
      <c r="O167" s="23">
        <f t="shared" si="47"/>
        <v>9.5999999999999992E-3</v>
      </c>
      <c r="P167" s="23">
        <f t="shared" si="48"/>
        <v>0.17279999999999998</v>
      </c>
      <c r="Q167" s="7">
        <f t="shared" si="49"/>
        <v>1.7279999999999997E-4</v>
      </c>
      <c r="R167" s="23">
        <f t="shared" si="50"/>
        <v>0.62207999999999986</v>
      </c>
      <c r="S167" s="5">
        <v>5.82</v>
      </c>
      <c r="T167" s="5">
        <v>2.02</v>
      </c>
      <c r="U167" s="3">
        <f t="shared" si="51"/>
        <v>20200</v>
      </c>
      <c r="V167" s="8">
        <v>-0.68</v>
      </c>
      <c r="W167" s="8">
        <v>-2.0499999999999998</v>
      </c>
      <c r="X167" s="5">
        <f t="shared" si="52"/>
        <v>1.3699999999999997</v>
      </c>
      <c r="Y167" s="23">
        <f t="shared" si="53"/>
        <v>0.45407299270072993</v>
      </c>
      <c r="Z167" s="23">
        <f t="shared" si="44"/>
        <v>9172.2744525547441</v>
      </c>
      <c r="AA167" s="11">
        <f t="shared" si="45"/>
        <v>7.0013558968450038</v>
      </c>
      <c r="AB167" s="11">
        <f t="shared" si="46"/>
        <v>141427.38911626907</v>
      </c>
    </row>
    <row r="168" spans="1:28" ht="17.25" customHeight="1" x14ac:dyDescent="0.2">
      <c r="A168" t="s">
        <v>9</v>
      </c>
      <c r="B168" s="20">
        <v>666</v>
      </c>
      <c r="C168" s="20">
        <v>123</v>
      </c>
      <c r="D168" s="20">
        <v>22</v>
      </c>
      <c r="E168" t="s">
        <v>75</v>
      </c>
      <c r="F168" s="26">
        <v>45147</v>
      </c>
      <c r="G168" t="s">
        <v>76</v>
      </c>
      <c r="H168" s="5">
        <v>33.729999999999997</v>
      </c>
      <c r="I168" s="5">
        <v>37.020000000000003</v>
      </c>
      <c r="J168" s="5">
        <v>31.9</v>
      </c>
      <c r="K168" s="5">
        <v>2.61</v>
      </c>
      <c r="L168" s="5">
        <v>0.45</v>
      </c>
      <c r="M168" s="3">
        <f t="shared" si="43"/>
        <v>450</v>
      </c>
      <c r="N168" s="5">
        <v>11.1</v>
      </c>
      <c r="O168" s="23">
        <f t="shared" si="47"/>
        <v>1.11E-2</v>
      </c>
      <c r="P168" s="23">
        <f t="shared" si="48"/>
        <v>0.19980000000000001</v>
      </c>
      <c r="Q168" s="7">
        <f t="shared" si="49"/>
        <v>1.998E-4</v>
      </c>
      <c r="R168" s="23">
        <f t="shared" si="50"/>
        <v>0.71928000000000003</v>
      </c>
      <c r="S168" s="5">
        <v>4.78</v>
      </c>
      <c r="T168" s="5">
        <v>1.58</v>
      </c>
      <c r="U168" s="3">
        <f t="shared" si="51"/>
        <v>15800</v>
      </c>
      <c r="V168" s="8">
        <v>-0.36</v>
      </c>
      <c r="W168" s="8">
        <v>-2.12</v>
      </c>
      <c r="X168" s="5">
        <f t="shared" si="52"/>
        <v>1.7600000000000002</v>
      </c>
      <c r="Y168" s="23">
        <f t="shared" si="53"/>
        <v>0.40868181818181815</v>
      </c>
      <c r="Z168" s="23">
        <f t="shared" si="44"/>
        <v>6457.1727272727267</v>
      </c>
      <c r="AA168" s="11">
        <f t="shared" si="45"/>
        <v>6.3014689348557029</v>
      </c>
      <c r="AB168" s="11">
        <f t="shared" si="46"/>
        <v>99563.209170720103</v>
      </c>
    </row>
    <row r="169" spans="1:28" ht="17.25" customHeight="1" x14ac:dyDescent="0.2">
      <c r="A169" t="s">
        <v>10</v>
      </c>
      <c r="B169" s="20">
        <v>1212</v>
      </c>
      <c r="C169" s="20">
        <v>3</v>
      </c>
      <c r="D169" s="20">
        <v>29</v>
      </c>
      <c r="E169" t="s">
        <v>75</v>
      </c>
      <c r="F169" s="26">
        <v>45147</v>
      </c>
      <c r="G169" t="s">
        <v>76</v>
      </c>
      <c r="H169" s="5">
        <v>35.15</v>
      </c>
      <c r="I169" s="5">
        <v>36.130000000000003</v>
      </c>
      <c r="J169" s="5">
        <v>31.95</v>
      </c>
      <c r="K169" s="5">
        <v>2.64</v>
      </c>
      <c r="L169" s="5">
        <v>0.28999999999999998</v>
      </c>
      <c r="M169" s="3">
        <f t="shared" si="43"/>
        <v>290</v>
      </c>
      <c r="N169" s="5">
        <v>7.15</v>
      </c>
      <c r="O169" s="23">
        <f t="shared" si="47"/>
        <v>7.1500000000000001E-3</v>
      </c>
      <c r="P169" s="23">
        <f t="shared" si="48"/>
        <v>0.12870000000000001</v>
      </c>
      <c r="Q169" s="7">
        <f t="shared" si="49"/>
        <v>1.2870000000000001E-4</v>
      </c>
      <c r="R169" s="23">
        <f t="shared" si="50"/>
        <v>0.46332000000000007</v>
      </c>
      <c r="S169" s="5">
        <v>8.68</v>
      </c>
      <c r="T169" s="5">
        <v>2.3199999999999998</v>
      </c>
      <c r="U169" s="3">
        <f t="shared" si="51"/>
        <v>23200</v>
      </c>
      <c r="V169" s="8">
        <v>-0.68</v>
      </c>
      <c r="W169" s="8">
        <v>-2.4700000000000002</v>
      </c>
      <c r="X169" s="5">
        <f t="shared" si="52"/>
        <v>1.79</v>
      </c>
      <c r="Y169" s="23">
        <f t="shared" si="53"/>
        <v>0.25883798882681569</v>
      </c>
      <c r="Z169" s="23">
        <f t="shared" si="44"/>
        <v>6005.0413407821243</v>
      </c>
      <c r="AA169" s="11">
        <f t="shared" si="45"/>
        <v>3.9910254706439279</v>
      </c>
      <c r="AB169" s="11">
        <f t="shared" si="46"/>
        <v>92591.790918939121</v>
      </c>
    </row>
    <row r="170" spans="1:28" ht="17.25" customHeight="1" x14ac:dyDescent="0.2">
      <c r="A170" t="s">
        <v>10</v>
      </c>
      <c r="B170" s="20">
        <v>1212</v>
      </c>
      <c r="C170" s="20">
        <v>3</v>
      </c>
      <c r="D170" s="20">
        <v>30</v>
      </c>
      <c r="E170" t="s">
        <v>75</v>
      </c>
      <c r="F170" s="26">
        <v>45147</v>
      </c>
      <c r="G170" t="s">
        <v>76</v>
      </c>
      <c r="H170" s="5">
        <v>32.82</v>
      </c>
      <c r="I170" s="5">
        <v>37.75</v>
      </c>
      <c r="J170" s="5">
        <v>33.65</v>
      </c>
      <c r="K170" s="5">
        <v>3.08</v>
      </c>
      <c r="L170" s="5">
        <v>0.36</v>
      </c>
      <c r="M170" s="3">
        <f t="shared" si="43"/>
        <v>360</v>
      </c>
      <c r="N170" s="5">
        <v>10.34</v>
      </c>
      <c r="O170" s="23">
        <f t="shared" si="47"/>
        <v>1.034E-2</v>
      </c>
      <c r="P170" s="23">
        <f t="shared" si="48"/>
        <v>0.18612000000000001</v>
      </c>
      <c r="Q170" s="7">
        <f t="shared" si="49"/>
        <v>1.8612000000000001E-4</v>
      </c>
      <c r="R170" s="23">
        <f t="shared" si="50"/>
        <v>0.67003200000000007</v>
      </c>
      <c r="S170" s="5">
        <v>7</v>
      </c>
      <c r="T170" s="5">
        <v>2.4300000000000002</v>
      </c>
      <c r="U170" s="3">
        <f t="shared" si="51"/>
        <v>24300</v>
      </c>
      <c r="V170" s="8">
        <v>-0.77</v>
      </c>
      <c r="W170" s="8">
        <v>-2.74</v>
      </c>
      <c r="X170" s="5">
        <f t="shared" si="52"/>
        <v>1.9700000000000002</v>
      </c>
      <c r="Y170" s="23">
        <f t="shared" si="53"/>
        <v>0.34011776649746195</v>
      </c>
      <c r="Z170" s="23">
        <f t="shared" si="44"/>
        <v>8264.861725888326</v>
      </c>
      <c r="AA170" s="11">
        <f t="shared" si="45"/>
        <v>5.2442791541628049</v>
      </c>
      <c r="AB170" s="11">
        <f t="shared" si="46"/>
        <v>127435.98344615615</v>
      </c>
    </row>
    <row r="171" spans="1:28" ht="17.25" customHeight="1" x14ac:dyDescent="0.2">
      <c r="A171" t="s">
        <v>10</v>
      </c>
      <c r="B171" s="20">
        <v>1212</v>
      </c>
      <c r="C171" s="20">
        <v>3</v>
      </c>
      <c r="D171" s="20">
        <v>31</v>
      </c>
      <c r="E171" t="s">
        <v>75</v>
      </c>
      <c r="F171" s="26">
        <v>45148</v>
      </c>
      <c r="G171" t="s">
        <v>76</v>
      </c>
      <c r="H171" s="5">
        <v>31.03</v>
      </c>
      <c r="I171" s="5">
        <v>35.29</v>
      </c>
      <c r="J171" s="5">
        <v>31.04</v>
      </c>
      <c r="K171" s="5">
        <v>2.74</v>
      </c>
      <c r="L171" s="5">
        <v>0.23</v>
      </c>
      <c r="M171" s="3">
        <f t="shared" si="43"/>
        <v>230</v>
      </c>
      <c r="N171" s="5">
        <v>5.95</v>
      </c>
      <c r="O171" s="23">
        <f t="shared" si="47"/>
        <v>5.9500000000000004E-3</v>
      </c>
      <c r="P171" s="23">
        <f t="shared" si="48"/>
        <v>0.1071</v>
      </c>
      <c r="Q171" s="7">
        <f t="shared" si="49"/>
        <v>1.071E-4</v>
      </c>
      <c r="R171" s="23">
        <f t="shared" si="50"/>
        <v>0.38556000000000001</v>
      </c>
      <c r="S171" s="5">
        <v>6.14</v>
      </c>
      <c r="T171" s="5">
        <v>1.8</v>
      </c>
      <c r="U171" s="3">
        <f t="shared" si="51"/>
        <v>18000</v>
      </c>
      <c r="V171" s="8">
        <v>-0.44</v>
      </c>
      <c r="W171" s="8">
        <v>-2.16</v>
      </c>
      <c r="X171" s="5">
        <f t="shared" si="52"/>
        <v>1.7200000000000002</v>
      </c>
      <c r="Y171" s="23">
        <f t="shared" si="53"/>
        <v>0.22416279069767439</v>
      </c>
      <c r="Z171" s="23">
        <f t="shared" si="44"/>
        <v>4034.9302325581389</v>
      </c>
      <c r="AA171" s="11">
        <f t="shared" si="45"/>
        <v>3.4563682529755355</v>
      </c>
      <c r="AB171" s="11">
        <f t="shared" si="46"/>
        <v>62214.62855355964</v>
      </c>
    </row>
    <row r="172" spans="1:28" ht="17.25" customHeight="1" x14ac:dyDescent="0.2">
      <c r="A172" t="s">
        <v>10</v>
      </c>
      <c r="B172" s="20">
        <v>1212</v>
      </c>
      <c r="C172" s="20">
        <v>4</v>
      </c>
      <c r="D172" s="20">
        <v>32</v>
      </c>
      <c r="E172" t="s">
        <v>75</v>
      </c>
      <c r="F172" s="26">
        <v>45147</v>
      </c>
      <c r="G172" t="s">
        <v>76</v>
      </c>
      <c r="H172" s="5">
        <v>33.83</v>
      </c>
      <c r="I172" s="5">
        <v>36.270000000000003</v>
      </c>
      <c r="J172" s="5">
        <v>31.94</v>
      </c>
      <c r="K172" s="5">
        <v>2.7</v>
      </c>
      <c r="L172" s="5">
        <v>0.26</v>
      </c>
      <c r="M172" s="3">
        <f t="shared" si="43"/>
        <v>260</v>
      </c>
      <c r="N172" s="5">
        <v>6.61</v>
      </c>
      <c r="O172" s="23">
        <f t="shared" si="47"/>
        <v>6.6100000000000004E-3</v>
      </c>
      <c r="P172" s="23">
        <f t="shared" si="48"/>
        <v>0.11898</v>
      </c>
      <c r="Q172" s="7">
        <f t="shared" si="49"/>
        <v>1.1898E-4</v>
      </c>
      <c r="R172" s="23">
        <f t="shared" si="50"/>
        <v>0.42832799999999999</v>
      </c>
      <c r="S172" s="5">
        <v>6.68</v>
      </c>
      <c r="T172" s="5">
        <v>1.44</v>
      </c>
      <c r="U172" s="3">
        <f t="shared" si="51"/>
        <v>14400</v>
      </c>
      <c r="V172" s="8">
        <v>-0.4</v>
      </c>
      <c r="W172" s="8">
        <v>-1.92</v>
      </c>
      <c r="X172" s="5">
        <f t="shared" si="52"/>
        <v>1.52</v>
      </c>
      <c r="Y172" s="23">
        <f t="shared" si="53"/>
        <v>0.28179473684210526</v>
      </c>
      <c r="Z172" s="23">
        <f t="shared" si="44"/>
        <v>4057.8442105263157</v>
      </c>
      <c r="AA172" s="11">
        <f t="shared" si="45"/>
        <v>4.3449957918763218</v>
      </c>
      <c r="AB172" s="11">
        <f t="shared" si="46"/>
        <v>62567.939403019031</v>
      </c>
    </row>
    <row r="173" spans="1:28" ht="17.25" customHeight="1" x14ac:dyDescent="0.2">
      <c r="A173" t="s">
        <v>10</v>
      </c>
      <c r="B173" s="20">
        <v>1212</v>
      </c>
      <c r="C173" s="20">
        <v>4</v>
      </c>
      <c r="D173" s="20">
        <v>33</v>
      </c>
      <c r="E173" t="s">
        <v>75</v>
      </c>
      <c r="F173" s="26">
        <v>45148</v>
      </c>
      <c r="G173" t="s">
        <v>76</v>
      </c>
      <c r="H173" s="5">
        <v>30.5</v>
      </c>
      <c r="I173" s="5">
        <v>35.64</v>
      </c>
      <c r="J173" s="5">
        <v>32.42</v>
      </c>
      <c r="K173" s="5">
        <v>3.1</v>
      </c>
      <c r="L173" s="5">
        <v>0.26</v>
      </c>
      <c r="M173" s="3">
        <f t="shared" si="43"/>
        <v>260</v>
      </c>
      <c r="N173" s="5">
        <v>7.71</v>
      </c>
      <c r="O173" s="23">
        <f t="shared" si="47"/>
        <v>7.7099999999999998E-3</v>
      </c>
      <c r="P173" s="23">
        <f t="shared" si="48"/>
        <v>0.13877999999999999</v>
      </c>
      <c r="Q173" s="7">
        <f t="shared" si="49"/>
        <v>1.3878E-4</v>
      </c>
      <c r="R173" s="23">
        <f t="shared" si="50"/>
        <v>0.499608</v>
      </c>
      <c r="S173" s="5">
        <v>14.08</v>
      </c>
      <c r="T173" s="5">
        <v>4.13</v>
      </c>
      <c r="U173" s="3">
        <f t="shared" si="51"/>
        <v>41300</v>
      </c>
      <c r="V173" s="8">
        <v>-0.37</v>
      </c>
      <c r="W173" s="8">
        <v>-1.79</v>
      </c>
      <c r="X173" s="5">
        <f t="shared" si="52"/>
        <v>1.42</v>
      </c>
      <c r="Y173" s="23">
        <f t="shared" si="53"/>
        <v>0.35183661971830987</v>
      </c>
      <c r="Z173" s="23">
        <f t="shared" si="44"/>
        <v>14530.852394366198</v>
      </c>
      <c r="AA173" s="11">
        <f t="shared" si="45"/>
        <v>5.424972266109501</v>
      </c>
      <c r="AB173" s="11">
        <f t="shared" si="46"/>
        <v>224051.35459032239</v>
      </c>
    </row>
    <row r="174" spans="1:28" ht="17.25" customHeight="1" x14ac:dyDescent="0.2">
      <c r="A174" t="s">
        <v>10</v>
      </c>
      <c r="B174" s="20">
        <v>1212</v>
      </c>
      <c r="C174" s="20">
        <v>4</v>
      </c>
      <c r="D174" s="20">
        <v>34</v>
      </c>
      <c r="E174" t="s">
        <v>75</v>
      </c>
      <c r="F174" s="26">
        <v>45147</v>
      </c>
      <c r="G174" t="s">
        <v>76</v>
      </c>
      <c r="H174" s="5">
        <v>32.14</v>
      </c>
      <c r="I174" s="5">
        <v>37.619999999999997</v>
      </c>
      <c r="J174" s="5">
        <v>33.57</v>
      </c>
      <c r="K174" s="5">
        <v>3.11</v>
      </c>
      <c r="L174" s="5">
        <v>0.38</v>
      </c>
      <c r="M174" s="3">
        <f t="shared" si="43"/>
        <v>380</v>
      </c>
      <c r="N174" s="5">
        <v>11.1</v>
      </c>
      <c r="O174" s="23">
        <f t="shared" si="47"/>
        <v>1.11E-2</v>
      </c>
      <c r="P174" s="23">
        <f t="shared" si="48"/>
        <v>0.19980000000000001</v>
      </c>
      <c r="Q174" s="7">
        <f t="shared" si="49"/>
        <v>1.998E-4</v>
      </c>
      <c r="R174" s="23">
        <f t="shared" si="50"/>
        <v>0.71928000000000003</v>
      </c>
      <c r="S174" s="5">
        <v>4.71</v>
      </c>
      <c r="T174" s="5">
        <v>1.38</v>
      </c>
      <c r="U174" s="5">
        <f t="shared" si="51"/>
        <v>13799.999999999998</v>
      </c>
      <c r="V174" s="8">
        <v>-0.74</v>
      </c>
      <c r="W174" s="8">
        <v>-2.59</v>
      </c>
      <c r="X174" s="5">
        <f t="shared" si="52"/>
        <v>1.8499999999999999</v>
      </c>
      <c r="Y174" s="23">
        <f t="shared" si="53"/>
        <v>0.38880000000000003</v>
      </c>
      <c r="Z174" s="23">
        <f t="shared" si="44"/>
        <v>5365.44</v>
      </c>
      <c r="AA174" s="11">
        <f t="shared" si="45"/>
        <v>5.9949109866735348</v>
      </c>
      <c r="AB174" s="11">
        <f t="shared" si="46"/>
        <v>82729.771616094775</v>
      </c>
    </row>
    <row r="175" spans="1:28" ht="17.25" customHeight="1" x14ac:dyDescent="0.2">
      <c r="A175" t="s">
        <v>10</v>
      </c>
      <c r="B175" s="20">
        <v>1212</v>
      </c>
      <c r="C175" s="20">
        <v>7</v>
      </c>
      <c r="D175" s="20">
        <v>36</v>
      </c>
      <c r="E175" t="s">
        <v>75</v>
      </c>
      <c r="F175" s="26">
        <v>45147</v>
      </c>
      <c r="G175" t="s">
        <v>76</v>
      </c>
      <c r="H175" s="5">
        <v>32.43</v>
      </c>
      <c r="I175" s="5">
        <v>37.99</v>
      </c>
      <c r="J175" s="5">
        <v>34.24</v>
      </c>
      <c r="K175" s="5">
        <v>3.25</v>
      </c>
      <c r="L175" s="5">
        <v>0.23</v>
      </c>
      <c r="M175" s="3">
        <f t="shared" si="43"/>
        <v>230</v>
      </c>
      <c r="N175" s="5">
        <v>7.02</v>
      </c>
      <c r="O175" s="23">
        <f t="shared" si="47"/>
        <v>7.0199999999999993E-3</v>
      </c>
      <c r="P175" s="23">
        <f t="shared" si="48"/>
        <v>0.12636</v>
      </c>
      <c r="Q175" s="7">
        <f t="shared" si="49"/>
        <v>1.2636E-4</v>
      </c>
      <c r="R175" s="23">
        <f t="shared" si="50"/>
        <v>0.45489600000000002</v>
      </c>
      <c r="S175" s="5">
        <v>6.11</v>
      </c>
      <c r="T175" s="5">
        <v>0.97</v>
      </c>
      <c r="U175" s="3">
        <f t="shared" si="51"/>
        <v>9700</v>
      </c>
      <c r="V175" s="8">
        <v>-0.39</v>
      </c>
      <c r="W175" s="8">
        <v>-2.15</v>
      </c>
      <c r="X175" s="5">
        <f t="shared" si="52"/>
        <v>1.7599999999999998</v>
      </c>
      <c r="Y175" s="23">
        <f t="shared" si="53"/>
        <v>0.2584636363636364</v>
      </c>
      <c r="Z175" s="23">
        <f t="shared" si="44"/>
        <v>2507.0972727272729</v>
      </c>
      <c r="AA175" s="11">
        <f t="shared" si="45"/>
        <v>3.9852533263682028</v>
      </c>
      <c r="AB175" s="11">
        <f t="shared" si="46"/>
        <v>38656.957265771569</v>
      </c>
    </row>
    <row r="176" spans="1:28" ht="17.25" customHeight="1" x14ac:dyDescent="0.2">
      <c r="A176" t="s">
        <v>10</v>
      </c>
      <c r="B176" s="20">
        <v>1212</v>
      </c>
      <c r="C176" s="20">
        <v>7</v>
      </c>
      <c r="D176" s="20">
        <v>37</v>
      </c>
      <c r="E176" t="s">
        <v>75</v>
      </c>
      <c r="F176" s="26">
        <v>45147</v>
      </c>
      <c r="G176" t="s">
        <v>76</v>
      </c>
      <c r="H176" s="5">
        <v>32.68</v>
      </c>
      <c r="I176" s="5">
        <v>37.380000000000003</v>
      </c>
      <c r="J176" s="5">
        <v>33.520000000000003</v>
      </c>
      <c r="K176" s="5">
        <v>3.09</v>
      </c>
      <c r="L176" s="5">
        <v>0.33</v>
      </c>
      <c r="M176" s="3">
        <f t="shared" si="43"/>
        <v>330</v>
      </c>
      <c r="N176" s="5">
        <v>9.52</v>
      </c>
      <c r="O176" s="23">
        <f t="shared" si="47"/>
        <v>9.5199999999999989E-3</v>
      </c>
      <c r="P176" s="23">
        <f t="shared" si="48"/>
        <v>0.17135999999999998</v>
      </c>
      <c r="Q176" s="7">
        <f t="shared" si="49"/>
        <v>1.7135999999999999E-4</v>
      </c>
      <c r="R176" s="23">
        <f t="shared" si="50"/>
        <v>0.616896</v>
      </c>
      <c r="S176" s="5">
        <v>3.68</v>
      </c>
      <c r="T176" s="5">
        <v>0.9</v>
      </c>
      <c r="U176" s="3">
        <f t="shared" si="51"/>
        <v>9000</v>
      </c>
      <c r="V176" s="8">
        <v>-0.51</v>
      </c>
      <c r="W176" s="8">
        <v>-2.31</v>
      </c>
      <c r="X176" s="5">
        <f t="shared" si="52"/>
        <v>1.8</v>
      </c>
      <c r="Y176" s="23">
        <f t="shared" si="53"/>
        <v>0.34271999999999997</v>
      </c>
      <c r="Z176" s="23">
        <f t="shared" si="44"/>
        <v>3084.4799999999996</v>
      </c>
      <c r="AA176" s="11">
        <f t="shared" si="45"/>
        <v>5.284403017882596</v>
      </c>
      <c r="AB176" s="11">
        <f t="shared" si="46"/>
        <v>47559.627160943361</v>
      </c>
    </row>
    <row r="177" spans="1:28" ht="17.25" customHeight="1" x14ac:dyDescent="0.2">
      <c r="A177" t="s">
        <v>10</v>
      </c>
      <c r="B177" s="20">
        <v>1212</v>
      </c>
      <c r="C177" s="20">
        <v>7</v>
      </c>
      <c r="D177" s="20">
        <v>83</v>
      </c>
      <c r="E177" t="s">
        <v>75</v>
      </c>
      <c r="F177" s="26">
        <v>45147</v>
      </c>
      <c r="G177" t="s">
        <v>76</v>
      </c>
      <c r="H177" s="5">
        <v>35.85</v>
      </c>
      <c r="I177" s="5">
        <v>36.04</v>
      </c>
      <c r="J177" s="5">
        <v>32.08</v>
      </c>
      <c r="K177" s="5">
        <v>2.64</v>
      </c>
      <c r="L177" s="5">
        <v>0.28999999999999998</v>
      </c>
      <c r="M177" s="3">
        <f t="shared" si="43"/>
        <v>290</v>
      </c>
      <c r="N177" s="5">
        <v>7.27</v>
      </c>
      <c r="O177" s="23">
        <f t="shared" si="47"/>
        <v>7.2699999999999996E-3</v>
      </c>
      <c r="P177" s="23">
        <f t="shared" si="48"/>
        <v>0.13086</v>
      </c>
      <c r="Q177" s="7">
        <f t="shared" si="49"/>
        <v>1.3086E-4</v>
      </c>
      <c r="R177" s="23">
        <f t="shared" si="50"/>
        <v>0.47109600000000001</v>
      </c>
      <c r="S177" s="5">
        <v>7.91</v>
      </c>
      <c r="T177" s="5">
        <v>2.14</v>
      </c>
      <c r="U177" s="3">
        <f t="shared" si="51"/>
        <v>21400</v>
      </c>
      <c r="V177" s="8">
        <v>-0.43</v>
      </c>
      <c r="W177" s="8">
        <v>-2.98</v>
      </c>
      <c r="X177" s="5">
        <f t="shared" si="52"/>
        <v>2.5499999999999998</v>
      </c>
      <c r="Y177" s="23">
        <f t="shared" si="53"/>
        <v>0.18474352941176472</v>
      </c>
      <c r="Z177" s="23">
        <f t="shared" si="44"/>
        <v>3953.511529411765</v>
      </c>
      <c r="AA177" s="11">
        <f t="shared" si="45"/>
        <v>2.8485622792886667</v>
      </c>
      <c r="AB177" s="11">
        <f t="shared" si="46"/>
        <v>60959.23277677747</v>
      </c>
    </row>
    <row r="178" spans="1:28" ht="17.25" customHeight="1" x14ac:dyDescent="0.2">
      <c r="A178" t="s">
        <v>10</v>
      </c>
      <c r="B178" s="20">
        <v>1212</v>
      </c>
      <c r="C178" s="20">
        <v>8</v>
      </c>
      <c r="D178" s="20">
        <v>38</v>
      </c>
      <c r="E178" t="s">
        <v>75</v>
      </c>
      <c r="F178" s="26">
        <v>45147</v>
      </c>
      <c r="G178" t="s">
        <v>76</v>
      </c>
      <c r="H178" s="5">
        <v>35.08</v>
      </c>
      <c r="I178" s="5">
        <v>35.61</v>
      </c>
      <c r="J178" s="5">
        <v>31.25</v>
      </c>
      <c r="K178" s="5">
        <v>2.52</v>
      </c>
      <c r="L178" s="5">
        <v>0.38</v>
      </c>
      <c r="M178" s="3">
        <f t="shared" si="43"/>
        <v>380</v>
      </c>
      <c r="N178" s="5">
        <v>8.98</v>
      </c>
      <c r="O178" s="23">
        <f t="shared" si="47"/>
        <v>8.9800000000000001E-3</v>
      </c>
      <c r="P178" s="23">
        <f t="shared" si="48"/>
        <v>0.16164000000000001</v>
      </c>
      <c r="Q178" s="7">
        <f t="shared" si="49"/>
        <v>1.6164E-4</v>
      </c>
      <c r="R178" s="23">
        <f t="shared" si="50"/>
        <v>0.58190399999999998</v>
      </c>
      <c r="S178" s="5">
        <v>13.38</v>
      </c>
      <c r="T178" s="5">
        <v>3.28</v>
      </c>
      <c r="U178" s="3">
        <f t="shared" si="51"/>
        <v>32800</v>
      </c>
      <c r="V178" s="8">
        <v>-0.57999999999999996</v>
      </c>
      <c r="W178" s="8">
        <v>-2.4700000000000002</v>
      </c>
      <c r="X178" s="5">
        <f t="shared" si="52"/>
        <v>1.8900000000000001</v>
      </c>
      <c r="Y178" s="23">
        <f t="shared" si="53"/>
        <v>0.30788571428571426</v>
      </c>
      <c r="Z178" s="23">
        <f t="shared" si="44"/>
        <v>10098.651428571427</v>
      </c>
      <c r="AA178" s="11">
        <f t="shared" si="45"/>
        <v>4.7472928271894475</v>
      </c>
      <c r="AB178" s="11">
        <f t="shared" si="46"/>
        <v>155711.20473181386</v>
      </c>
    </row>
    <row r="179" spans="1:28" ht="17.25" customHeight="1" x14ac:dyDescent="0.2">
      <c r="A179" t="s">
        <v>10</v>
      </c>
      <c r="B179" s="20">
        <v>1212</v>
      </c>
      <c r="C179" s="20">
        <v>8</v>
      </c>
      <c r="D179" s="20">
        <v>39</v>
      </c>
      <c r="E179" t="s">
        <v>75</v>
      </c>
      <c r="F179" s="26">
        <v>45148</v>
      </c>
      <c r="G179" t="s">
        <v>76</v>
      </c>
      <c r="H179" s="5">
        <v>29.19</v>
      </c>
      <c r="I179" s="5">
        <v>36.299999999999997</v>
      </c>
      <c r="J179" s="5">
        <v>32.6</v>
      </c>
      <c r="K179" s="5">
        <v>3.16</v>
      </c>
      <c r="L179" s="5">
        <v>0.33</v>
      </c>
      <c r="M179" s="3">
        <f t="shared" si="43"/>
        <v>330</v>
      </c>
      <c r="N179" s="5">
        <v>9.84</v>
      </c>
      <c r="O179" s="23">
        <f t="shared" si="47"/>
        <v>9.8399999999999998E-3</v>
      </c>
      <c r="P179" s="23">
        <f t="shared" si="48"/>
        <v>0.17712</v>
      </c>
      <c r="Q179" s="7">
        <f t="shared" si="49"/>
        <v>1.7712000000000001E-4</v>
      </c>
      <c r="R179" s="23">
        <f t="shared" si="50"/>
        <v>0.63763200000000009</v>
      </c>
      <c r="S179" s="5">
        <v>3.71</v>
      </c>
      <c r="T179" s="5">
        <v>1.36</v>
      </c>
      <c r="U179" s="5">
        <f t="shared" si="51"/>
        <v>13600.000000000002</v>
      </c>
      <c r="V179" s="8">
        <v>-0.48</v>
      </c>
      <c r="W179" s="8">
        <v>-2.2799999999999998</v>
      </c>
      <c r="X179" s="5">
        <f t="shared" si="52"/>
        <v>1.7999999999999998</v>
      </c>
      <c r="Y179" s="23">
        <f t="shared" si="53"/>
        <v>0.35424000000000011</v>
      </c>
      <c r="Z179" s="23">
        <f t="shared" si="44"/>
        <v>4817.6640000000025</v>
      </c>
      <c r="AA179" s="11">
        <f t="shared" si="45"/>
        <v>5.4620300100803334</v>
      </c>
      <c r="AB179" s="11">
        <f t="shared" si="46"/>
        <v>74283.608137092539</v>
      </c>
    </row>
    <row r="180" spans="1:28" ht="17.25" customHeight="1" x14ac:dyDescent="0.2">
      <c r="A180" t="s">
        <v>10</v>
      </c>
      <c r="B180" s="20">
        <v>1212</v>
      </c>
      <c r="C180" s="20">
        <v>8</v>
      </c>
      <c r="D180" s="20">
        <v>40</v>
      </c>
      <c r="E180" t="s">
        <v>75</v>
      </c>
      <c r="F180" s="26">
        <v>45148</v>
      </c>
      <c r="G180" t="s">
        <v>76</v>
      </c>
      <c r="H180" s="5">
        <v>31.6</v>
      </c>
      <c r="I180" s="5">
        <v>35.200000000000003</v>
      </c>
      <c r="J180" s="5">
        <v>32.32</v>
      </c>
      <c r="K180" s="5">
        <v>3.05</v>
      </c>
      <c r="L180" s="5">
        <v>0.2</v>
      </c>
      <c r="M180" s="3">
        <f t="shared" si="43"/>
        <v>200</v>
      </c>
      <c r="N180" s="5">
        <v>5.45</v>
      </c>
      <c r="O180" s="23">
        <f t="shared" si="47"/>
        <v>5.45E-3</v>
      </c>
      <c r="P180" s="23">
        <f t="shared" si="48"/>
        <v>9.8099999999999993E-2</v>
      </c>
      <c r="Q180" s="7">
        <f t="shared" si="49"/>
        <v>9.8099999999999999E-5</v>
      </c>
      <c r="R180" s="23">
        <f t="shared" si="50"/>
        <v>0.35315999999999997</v>
      </c>
      <c r="S180" s="5">
        <v>4.62</v>
      </c>
      <c r="T180" s="5">
        <v>1.66</v>
      </c>
      <c r="U180" s="3">
        <f t="shared" si="51"/>
        <v>16600</v>
      </c>
      <c r="V180" s="8">
        <v>-0.6</v>
      </c>
      <c r="W180" s="8">
        <v>-3.11</v>
      </c>
      <c r="X180" s="5">
        <f t="shared" si="52"/>
        <v>2.5099999999999998</v>
      </c>
      <c r="Y180" s="23">
        <f t="shared" si="53"/>
        <v>0.1407011952191235</v>
      </c>
      <c r="Z180" s="23">
        <f t="shared" si="44"/>
        <v>2335.6398406374501</v>
      </c>
      <c r="AA180" s="11">
        <f t="shared" si="45"/>
        <v>2.1694730994270093</v>
      </c>
      <c r="AB180" s="11">
        <f t="shared" si="46"/>
        <v>36013.253450488352</v>
      </c>
    </row>
    <row r="181" spans="1:28" ht="17.25" customHeight="1" x14ac:dyDescent="0.2">
      <c r="A181" t="s">
        <v>10</v>
      </c>
      <c r="B181" s="20">
        <v>1212</v>
      </c>
      <c r="C181" s="20">
        <v>10</v>
      </c>
      <c r="D181" s="20">
        <v>21</v>
      </c>
      <c r="E181" t="s">
        <v>75</v>
      </c>
      <c r="F181" s="26">
        <v>45147</v>
      </c>
      <c r="G181" t="s">
        <v>76</v>
      </c>
      <c r="H181" s="5">
        <v>33.42</v>
      </c>
      <c r="I181" s="5">
        <v>37.18</v>
      </c>
      <c r="J181" s="5">
        <v>33.06</v>
      </c>
      <c r="K181" s="5">
        <v>2.93</v>
      </c>
      <c r="L181" s="5">
        <v>0.35</v>
      </c>
      <c r="M181" s="3">
        <f t="shared" si="43"/>
        <v>350</v>
      </c>
      <c r="N181" s="5">
        <v>9.7799999999999994</v>
      </c>
      <c r="O181" s="23">
        <f t="shared" si="47"/>
        <v>9.7799999999999988E-3</v>
      </c>
      <c r="P181" s="23">
        <f t="shared" si="48"/>
        <v>0.17603999999999997</v>
      </c>
      <c r="Q181" s="7">
        <f t="shared" si="49"/>
        <v>1.7603999999999997E-4</v>
      </c>
      <c r="R181" s="23">
        <f t="shared" si="50"/>
        <v>0.63374399999999986</v>
      </c>
      <c r="S181" s="5">
        <v>4.78</v>
      </c>
      <c r="T181" s="5">
        <v>1.38</v>
      </c>
      <c r="U181" s="5">
        <f t="shared" si="51"/>
        <v>13799.999999999998</v>
      </c>
      <c r="V181" s="8">
        <v>-0.44</v>
      </c>
      <c r="W181" s="8">
        <v>-2.76</v>
      </c>
      <c r="X181" s="5">
        <f t="shared" si="52"/>
        <v>2.3199999999999998</v>
      </c>
      <c r="Y181" s="23">
        <f t="shared" si="53"/>
        <v>0.27316551724137927</v>
      </c>
      <c r="Z181" s="23">
        <f t="shared" si="44"/>
        <v>3769.6841379310335</v>
      </c>
      <c r="AA181" s="11">
        <f t="shared" si="45"/>
        <v>4.2119417708094229</v>
      </c>
      <c r="AB181" s="11">
        <f t="shared" si="46"/>
        <v>58124.796437170029</v>
      </c>
    </row>
    <row r="182" spans="1:28" ht="17.25" customHeight="1" x14ac:dyDescent="0.2">
      <c r="A182" t="s">
        <v>10</v>
      </c>
      <c r="B182" s="20">
        <v>1212</v>
      </c>
      <c r="C182" s="20">
        <v>10</v>
      </c>
      <c r="D182" s="20">
        <v>41</v>
      </c>
      <c r="E182" t="s">
        <v>75</v>
      </c>
      <c r="F182" s="26">
        <v>45148</v>
      </c>
      <c r="G182" t="s">
        <v>76</v>
      </c>
      <c r="H182" s="5">
        <v>30.14</v>
      </c>
      <c r="I182" s="5">
        <v>35.94</v>
      </c>
      <c r="J182" s="5">
        <v>31.15</v>
      </c>
      <c r="K182" s="5">
        <v>2.75</v>
      </c>
      <c r="L182" s="5">
        <v>0.33</v>
      </c>
      <c r="M182" s="3">
        <f t="shared" si="43"/>
        <v>330</v>
      </c>
      <c r="N182" s="5">
        <v>8.56</v>
      </c>
      <c r="O182" s="23">
        <f t="shared" si="47"/>
        <v>8.5599999999999999E-3</v>
      </c>
      <c r="P182" s="23">
        <f t="shared" si="48"/>
        <v>0.15407999999999999</v>
      </c>
      <c r="Q182" s="7">
        <f t="shared" si="49"/>
        <v>1.5407999999999999E-4</v>
      </c>
      <c r="R182" s="23">
        <f t="shared" si="50"/>
        <v>0.55468799999999996</v>
      </c>
      <c r="S182" s="5">
        <v>15.53</v>
      </c>
      <c r="T182" s="5">
        <v>3.35</v>
      </c>
      <c r="U182" s="3">
        <f t="shared" si="51"/>
        <v>33500</v>
      </c>
      <c r="V182" s="8">
        <v>-0.65</v>
      </c>
      <c r="W182" s="8">
        <v>-2.09</v>
      </c>
      <c r="X182" s="5">
        <f t="shared" si="52"/>
        <v>1.44</v>
      </c>
      <c r="Y182" s="23">
        <f t="shared" si="53"/>
        <v>0.38519999999999999</v>
      </c>
      <c r="Z182" s="23">
        <f t="shared" si="44"/>
        <v>12904.199999999999</v>
      </c>
      <c r="AA182" s="11">
        <f t="shared" si="45"/>
        <v>5.9394025516117432</v>
      </c>
      <c r="AB182" s="11">
        <f t="shared" si="46"/>
        <v>198969.98547899339</v>
      </c>
    </row>
    <row r="183" spans="1:28" ht="17.25" customHeight="1" x14ac:dyDescent="0.2">
      <c r="A183" t="s">
        <v>10</v>
      </c>
      <c r="B183" s="20">
        <v>1212</v>
      </c>
      <c r="C183" s="20">
        <v>10</v>
      </c>
      <c r="D183" s="20">
        <v>42</v>
      </c>
      <c r="E183" t="s">
        <v>75</v>
      </c>
      <c r="F183" s="26">
        <v>45148</v>
      </c>
      <c r="G183" t="s">
        <v>76</v>
      </c>
      <c r="H183" s="5">
        <v>31.24</v>
      </c>
      <c r="I183" s="5">
        <v>35.47</v>
      </c>
      <c r="J183" s="5">
        <v>31.41</v>
      </c>
      <c r="K183" s="5">
        <v>2.8</v>
      </c>
      <c r="L183" s="5">
        <v>0.3</v>
      </c>
      <c r="M183" s="3">
        <f t="shared" si="43"/>
        <v>300</v>
      </c>
      <c r="N183" s="5">
        <v>7.96</v>
      </c>
      <c r="O183" s="23">
        <f t="shared" si="47"/>
        <v>7.9600000000000001E-3</v>
      </c>
      <c r="P183" s="23">
        <f t="shared" si="48"/>
        <v>0.14327999999999999</v>
      </c>
      <c r="Q183" s="7">
        <f t="shared" si="49"/>
        <v>1.4328E-4</v>
      </c>
      <c r="R183" s="23">
        <f t="shared" si="50"/>
        <v>0.51580800000000004</v>
      </c>
      <c r="S183" s="5">
        <v>14.52</v>
      </c>
      <c r="T183" s="5">
        <v>3.06</v>
      </c>
      <c r="U183" s="3">
        <f t="shared" si="51"/>
        <v>30600</v>
      </c>
      <c r="V183" s="8">
        <v>-0.51</v>
      </c>
      <c r="W183" s="8">
        <v>-2.25</v>
      </c>
      <c r="X183" s="5">
        <f t="shared" si="52"/>
        <v>1.74</v>
      </c>
      <c r="Y183" s="23">
        <f t="shared" si="53"/>
        <v>0.29644137931034487</v>
      </c>
      <c r="Z183" s="23">
        <f t="shared" si="44"/>
        <v>9071.106206896553</v>
      </c>
      <c r="AA183" s="11">
        <f t="shared" si="45"/>
        <v>4.5708325147434232</v>
      </c>
      <c r="AB183" s="11">
        <f t="shared" si="46"/>
        <v>139867.47495114876</v>
      </c>
    </row>
    <row r="184" spans="1:28" ht="17.25" customHeight="1" x14ac:dyDescent="0.2">
      <c r="A184" t="s">
        <v>7</v>
      </c>
      <c r="B184" s="20">
        <v>72</v>
      </c>
      <c r="C184" s="20">
        <v>156</v>
      </c>
      <c r="D184" s="20">
        <v>43</v>
      </c>
      <c r="E184" t="s">
        <v>77</v>
      </c>
      <c r="F184" s="26">
        <v>45147</v>
      </c>
      <c r="G184" t="s">
        <v>76</v>
      </c>
      <c r="H184" s="5">
        <v>20.6</v>
      </c>
      <c r="I184" s="5">
        <v>43.69</v>
      </c>
      <c r="J184" s="5">
        <v>37.74</v>
      </c>
      <c r="K184" s="5">
        <v>4.6900000000000004</v>
      </c>
      <c r="L184" s="5">
        <v>0.21</v>
      </c>
      <c r="M184" s="3">
        <f t="shared" si="43"/>
        <v>210</v>
      </c>
      <c r="N184" s="5">
        <v>9.3699999999999992</v>
      </c>
      <c r="O184" s="23">
        <f t="shared" si="47"/>
        <v>9.3699999999999999E-3</v>
      </c>
      <c r="P184" s="23">
        <f t="shared" si="48"/>
        <v>0.16866</v>
      </c>
      <c r="Q184" s="7">
        <f t="shared" si="49"/>
        <v>1.6866E-4</v>
      </c>
      <c r="R184" s="23">
        <f t="shared" si="50"/>
        <v>0.60717600000000005</v>
      </c>
      <c r="S184" s="5">
        <v>18.53</v>
      </c>
      <c r="T184" s="5">
        <v>3.87</v>
      </c>
      <c r="U184" s="3">
        <f t="shared" si="51"/>
        <v>38700</v>
      </c>
      <c r="V184" s="8">
        <v>-0.66</v>
      </c>
      <c r="W184" s="8">
        <v>-2.21</v>
      </c>
      <c r="X184" s="5">
        <f t="shared" si="52"/>
        <v>1.5499999999999998</v>
      </c>
      <c r="Y184" s="23">
        <f t="shared" si="53"/>
        <v>0.39172645161290331</v>
      </c>
      <c r="Z184" s="23">
        <f t="shared" si="44"/>
        <v>15159.813677419359</v>
      </c>
      <c r="AA184" s="11">
        <f t="shared" si="45"/>
        <v>6.0400339725947347</v>
      </c>
      <c r="AB184" s="11">
        <f t="shared" si="46"/>
        <v>233749.31473941624</v>
      </c>
    </row>
    <row r="185" spans="1:28" ht="17.25" customHeight="1" x14ac:dyDescent="0.2">
      <c r="A185" t="s">
        <v>7</v>
      </c>
      <c r="B185" s="20">
        <v>72</v>
      </c>
      <c r="C185" s="20">
        <v>156</v>
      </c>
      <c r="D185" s="20">
        <v>44</v>
      </c>
      <c r="E185" t="s">
        <v>77</v>
      </c>
      <c r="F185" s="26">
        <v>45148</v>
      </c>
      <c r="G185" t="s">
        <v>76</v>
      </c>
      <c r="H185" s="5">
        <v>19.28</v>
      </c>
      <c r="I185" s="5">
        <v>43.07</v>
      </c>
      <c r="J185" s="5">
        <v>36.979999999999997</v>
      </c>
      <c r="K185" s="5">
        <v>4.5999999999999996</v>
      </c>
      <c r="L185" s="5">
        <v>0.22</v>
      </c>
      <c r="M185" s="3">
        <f t="shared" si="43"/>
        <v>220</v>
      </c>
      <c r="N185" s="5">
        <v>9.34</v>
      </c>
      <c r="O185" s="23">
        <f t="shared" si="47"/>
        <v>9.3399999999999993E-3</v>
      </c>
      <c r="P185" s="23">
        <f t="shared" si="48"/>
        <v>0.16811999999999999</v>
      </c>
      <c r="Q185" s="7">
        <f t="shared" si="49"/>
        <v>1.6811999999999998E-4</v>
      </c>
      <c r="R185" s="23">
        <f t="shared" si="50"/>
        <v>0.60523199999999999</v>
      </c>
      <c r="S185" s="5">
        <v>5.08</v>
      </c>
      <c r="T185" s="5">
        <v>1.59</v>
      </c>
      <c r="U185" s="3">
        <f t="shared" si="51"/>
        <v>15900</v>
      </c>
      <c r="V185" s="8">
        <v>-0.77</v>
      </c>
      <c r="W185" s="8">
        <v>-2.2799999999999998</v>
      </c>
      <c r="X185" s="5">
        <f t="shared" si="52"/>
        <v>1.5099999999999998</v>
      </c>
      <c r="Y185" s="23">
        <f t="shared" si="53"/>
        <v>0.40081589403973517</v>
      </c>
      <c r="Z185" s="23">
        <f t="shared" si="44"/>
        <v>6372.9727152317892</v>
      </c>
      <c r="AA185" s="11">
        <f t="shared" si="45"/>
        <v>6.180184173899649</v>
      </c>
      <c r="AB185" s="11">
        <f t="shared" si="46"/>
        <v>98264.928365004424</v>
      </c>
    </row>
    <row r="186" spans="1:28" ht="17.25" customHeight="1" x14ac:dyDescent="0.2">
      <c r="A186" t="s">
        <v>7</v>
      </c>
      <c r="B186" s="20">
        <v>72</v>
      </c>
      <c r="C186" s="20">
        <v>156</v>
      </c>
      <c r="D186" s="20">
        <v>45</v>
      </c>
      <c r="E186" t="s">
        <v>77</v>
      </c>
      <c r="F186" s="26">
        <v>45147</v>
      </c>
      <c r="G186" t="s">
        <v>76</v>
      </c>
      <c r="H186" s="5">
        <v>19.52</v>
      </c>
      <c r="I186" s="5">
        <v>44.01</v>
      </c>
      <c r="J186" s="5">
        <v>36.99</v>
      </c>
      <c r="K186" s="5">
        <v>4.49</v>
      </c>
      <c r="L186" s="5">
        <v>0.28999999999999998</v>
      </c>
      <c r="M186" s="3">
        <f t="shared" si="43"/>
        <v>290</v>
      </c>
      <c r="N186" s="5">
        <v>12.21</v>
      </c>
      <c r="O186" s="23">
        <f t="shared" si="47"/>
        <v>1.221E-2</v>
      </c>
      <c r="P186" s="23">
        <f t="shared" si="48"/>
        <v>0.21978</v>
      </c>
      <c r="Q186" s="7">
        <f t="shared" si="49"/>
        <v>2.1978000000000001E-4</v>
      </c>
      <c r="R186" s="23">
        <f t="shared" si="50"/>
        <v>0.79120800000000002</v>
      </c>
      <c r="S186" s="5">
        <v>13.38</v>
      </c>
      <c r="T186" s="5">
        <v>3.64</v>
      </c>
      <c r="U186" s="3">
        <f t="shared" si="51"/>
        <v>36400</v>
      </c>
      <c r="V186" s="8">
        <v>-0.51</v>
      </c>
      <c r="W186" s="8">
        <v>-1.92</v>
      </c>
      <c r="X186" s="5">
        <f t="shared" si="52"/>
        <v>1.41</v>
      </c>
      <c r="Y186" s="23">
        <f t="shared" si="53"/>
        <v>0.5611404255319149</v>
      </c>
      <c r="Z186" s="23">
        <f t="shared" si="44"/>
        <v>20425.511489361703</v>
      </c>
      <c r="AA186" s="11">
        <f t="shared" si="45"/>
        <v>8.6522296864401707</v>
      </c>
      <c r="AB186" s="11">
        <f t="shared" si="46"/>
        <v>314941.16058642219</v>
      </c>
    </row>
    <row r="187" spans="1:28" ht="17.25" customHeight="1" x14ac:dyDescent="0.2">
      <c r="A187" t="s">
        <v>7</v>
      </c>
      <c r="B187" s="20">
        <v>72</v>
      </c>
      <c r="C187" s="20">
        <v>149</v>
      </c>
      <c r="D187" s="20">
        <v>46</v>
      </c>
      <c r="E187" t="s">
        <v>77</v>
      </c>
      <c r="F187" s="26">
        <v>45147</v>
      </c>
      <c r="G187" t="s">
        <v>76</v>
      </c>
      <c r="H187" s="5">
        <v>20.100000000000001</v>
      </c>
      <c r="I187" s="5">
        <v>43.46</v>
      </c>
      <c r="J187" s="5">
        <v>35.22</v>
      </c>
      <c r="K187" s="5">
        <v>3.91</v>
      </c>
      <c r="L187" s="5">
        <v>0.33</v>
      </c>
      <c r="M187" s="3">
        <f t="shared" si="43"/>
        <v>330</v>
      </c>
      <c r="N187" s="5">
        <v>12.29</v>
      </c>
      <c r="O187" s="23">
        <f t="shared" si="47"/>
        <v>1.2289999999999999E-2</v>
      </c>
      <c r="P187" s="23">
        <f t="shared" si="48"/>
        <v>0.22121999999999997</v>
      </c>
      <c r="Q187" s="7">
        <f t="shared" si="49"/>
        <v>2.2121999999999997E-4</v>
      </c>
      <c r="R187" s="23">
        <f t="shared" si="50"/>
        <v>0.79639199999999988</v>
      </c>
      <c r="S187" s="5">
        <v>10.99</v>
      </c>
      <c r="T187" s="5">
        <v>2.0499999999999998</v>
      </c>
      <c r="U187" s="3">
        <f t="shared" si="51"/>
        <v>20500</v>
      </c>
      <c r="V187" s="8">
        <v>-0.62</v>
      </c>
      <c r="W187" s="8">
        <v>-2.1</v>
      </c>
      <c r="X187" s="5">
        <f t="shared" si="52"/>
        <v>1.48</v>
      </c>
      <c r="Y187" s="23">
        <f t="shared" si="53"/>
        <v>0.53810270270270266</v>
      </c>
      <c r="Z187" s="23">
        <f t="shared" si="44"/>
        <v>11031.105405405404</v>
      </c>
      <c r="AA187" s="11">
        <f t="shared" si="45"/>
        <v>8.2970108137632597</v>
      </c>
      <c r="AB187" s="11">
        <f t="shared" si="46"/>
        <v>170088.72168214683</v>
      </c>
    </row>
    <row r="188" spans="1:28" ht="17.25" customHeight="1" x14ac:dyDescent="0.2">
      <c r="A188" t="s">
        <v>7</v>
      </c>
      <c r="B188" s="20">
        <v>72</v>
      </c>
      <c r="C188" s="20">
        <v>149</v>
      </c>
      <c r="D188" s="20">
        <v>47</v>
      </c>
      <c r="E188" t="s">
        <v>77</v>
      </c>
      <c r="F188" s="26">
        <v>45147</v>
      </c>
      <c r="G188" t="s">
        <v>76</v>
      </c>
      <c r="H188" s="5">
        <v>23.99</v>
      </c>
      <c r="I188" s="5">
        <v>41.26</v>
      </c>
      <c r="J188" s="5">
        <v>35.22</v>
      </c>
      <c r="K188" s="5">
        <v>3.8</v>
      </c>
      <c r="L188" s="5">
        <v>0.44</v>
      </c>
      <c r="M188" s="3">
        <f t="shared" si="43"/>
        <v>440</v>
      </c>
      <c r="N188" s="5">
        <v>15.61</v>
      </c>
      <c r="O188" s="23">
        <f t="shared" ref="O188:O219" si="54">N188/1000</f>
        <v>1.5609999999999999E-2</v>
      </c>
      <c r="P188" s="23">
        <f t="shared" ref="P188:P219" si="55">O188*18</f>
        <v>0.28098000000000001</v>
      </c>
      <c r="Q188" s="7">
        <f t="shared" ref="Q188:Q219" si="56">P188/1000</f>
        <v>2.8098000000000001E-4</v>
      </c>
      <c r="R188" s="23">
        <f t="shared" ref="R188:R219" si="57">Q188*3600</f>
        <v>1.011528</v>
      </c>
      <c r="S188" s="5">
        <v>10.98</v>
      </c>
      <c r="T188" s="5">
        <v>2.5099999999999998</v>
      </c>
      <c r="U188" s="5">
        <f t="shared" ref="U188:U219" si="58">T188*10000</f>
        <v>25099.999999999996</v>
      </c>
      <c r="V188" s="8">
        <v>-0.44</v>
      </c>
      <c r="W188" s="8">
        <v>-2.2999999999999998</v>
      </c>
      <c r="X188" s="5">
        <f t="shared" ref="X188:X219" si="59">V188-W188</f>
        <v>1.8599999999999999</v>
      </c>
      <c r="Y188" s="23">
        <f t="shared" ref="Y188:Y219" si="60">R188/X188</f>
        <v>0.54383225806451618</v>
      </c>
      <c r="Z188" s="23">
        <f t="shared" si="44"/>
        <v>13650.189677419354</v>
      </c>
      <c r="AA188" s="11">
        <f t="shared" si="45"/>
        <v>8.3853548836894145</v>
      </c>
      <c r="AB188" s="11">
        <f t="shared" si="46"/>
        <v>210472.40758060428</v>
      </c>
    </row>
    <row r="189" spans="1:28" ht="17.25" customHeight="1" x14ac:dyDescent="0.2">
      <c r="A189" t="s">
        <v>7</v>
      </c>
      <c r="B189" s="20">
        <v>72</v>
      </c>
      <c r="C189" s="20">
        <v>149</v>
      </c>
      <c r="D189" s="20">
        <v>48</v>
      </c>
      <c r="E189" t="s">
        <v>77</v>
      </c>
      <c r="F189" s="26">
        <v>45148</v>
      </c>
      <c r="G189" t="s">
        <v>76</v>
      </c>
      <c r="H189" s="5">
        <v>20.12</v>
      </c>
      <c r="I189" s="5">
        <v>43.24</v>
      </c>
      <c r="J189" s="3">
        <v>37</v>
      </c>
      <c r="K189" s="5">
        <v>4.5199999999999996</v>
      </c>
      <c r="L189" s="5">
        <v>0.24</v>
      </c>
      <c r="M189" s="3">
        <f t="shared" si="43"/>
        <v>240</v>
      </c>
      <c r="N189" s="5">
        <v>9.77</v>
      </c>
      <c r="O189" s="23">
        <f t="shared" si="54"/>
        <v>9.7699999999999992E-3</v>
      </c>
      <c r="P189" s="23">
        <f t="shared" si="55"/>
        <v>0.17585999999999999</v>
      </c>
      <c r="Q189" s="7">
        <f t="shared" si="56"/>
        <v>1.7585999999999999E-4</v>
      </c>
      <c r="R189" s="23">
        <f t="shared" si="57"/>
        <v>0.63309599999999999</v>
      </c>
      <c r="S189" s="5">
        <v>17.25</v>
      </c>
      <c r="T189" s="5">
        <v>2.85</v>
      </c>
      <c r="U189" s="3">
        <f t="shared" si="58"/>
        <v>28500</v>
      </c>
      <c r="V189" s="8">
        <v>-0.61</v>
      </c>
      <c r="W189" s="8">
        <v>-2.2000000000000002</v>
      </c>
      <c r="X189" s="5">
        <f t="shared" si="59"/>
        <v>1.5900000000000003</v>
      </c>
      <c r="Y189" s="23">
        <f t="shared" si="60"/>
        <v>0.39817358490566029</v>
      </c>
      <c r="Z189" s="23">
        <f t="shared" si="44"/>
        <v>11347.947169811318</v>
      </c>
      <c r="AA189" s="11">
        <f t="shared" si="45"/>
        <v>6.1394423836268786</v>
      </c>
      <c r="AB189" s="11">
        <f t="shared" si="46"/>
        <v>174974.10793336603</v>
      </c>
    </row>
    <row r="190" spans="1:28" ht="17.25" customHeight="1" x14ac:dyDescent="0.2">
      <c r="A190" t="s">
        <v>7</v>
      </c>
      <c r="B190" s="20">
        <v>72</v>
      </c>
      <c r="C190" s="20">
        <v>152</v>
      </c>
      <c r="D190" s="20">
        <v>49</v>
      </c>
      <c r="E190" t="s">
        <v>77</v>
      </c>
      <c r="F190" s="26">
        <v>45147</v>
      </c>
      <c r="G190" t="s">
        <v>76</v>
      </c>
      <c r="H190" s="5">
        <v>22.09</v>
      </c>
      <c r="I190" s="5">
        <v>42.77</v>
      </c>
      <c r="J190" s="5">
        <v>34.729999999999997</v>
      </c>
      <c r="K190" s="5">
        <v>3.66</v>
      </c>
      <c r="L190" s="5">
        <v>0.43</v>
      </c>
      <c r="M190" s="3">
        <f t="shared" si="43"/>
        <v>430</v>
      </c>
      <c r="N190" s="5">
        <v>14.49</v>
      </c>
      <c r="O190" s="23">
        <f t="shared" si="54"/>
        <v>1.4489999999999999E-2</v>
      </c>
      <c r="P190" s="23">
        <f t="shared" si="55"/>
        <v>0.26082</v>
      </c>
      <c r="Q190" s="7">
        <f t="shared" si="56"/>
        <v>2.6081999999999999E-4</v>
      </c>
      <c r="R190" s="23">
        <f t="shared" si="57"/>
        <v>0.9389519999999999</v>
      </c>
      <c r="S190" s="5">
        <v>16.68</v>
      </c>
      <c r="T190" s="5">
        <v>2.78</v>
      </c>
      <c r="U190" s="5">
        <f t="shared" si="58"/>
        <v>27799.999999999996</v>
      </c>
      <c r="V190" s="8">
        <v>-0.93</v>
      </c>
      <c r="W190" s="8">
        <v>-1.75</v>
      </c>
      <c r="X190" s="5">
        <f t="shared" si="59"/>
        <v>0.82</v>
      </c>
      <c r="Y190" s="23">
        <f t="shared" si="60"/>
        <v>1.1450634146341463</v>
      </c>
      <c r="Z190" s="23">
        <f t="shared" si="44"/>
        <v>31832.762926829262</v>
      </c>
      <c r="AA190" s="11">
        <f t="shared" si="45"/>
        <v>17.655743942459249</v>
      </c>
      <c r="AB190" s="11">
        <f t="shared" si="46"/>
        <v>490829.68160036707</v>
      </c>
    </row>
    <row r="191" spans="1:28" ht="17.25" customHeight="1" x14ac:dyDescent="0.2">
      <c r="A191" t="s">
        <v>7</v>
      </c>
      <c r="B191" s="20">
        <v>72</v>
      </c>
      <c r="C191" s="20">
        <v>152</v>
      </c>
      <c r="D191" s="20">
        <v>50</v>
      </c>
      <c r="E191" t="s">
        <v>77</v>
      </c>
      <c r="F191" s="26">
        <v>45148</v>
      </c>
      <c r="G191" t="s">
        <v>76</v>
      </c>
      <c r="H191" s="5">
        <v>19.829999999999998</v>
      </c>
      <c r="I191" s="5">
        <v>43.17</v>
      </c>
      <c r="J191" s="5">
        <v>35.68</v>
      </c>
      <c r="K191" s="5">
        <v>4.1100000000000003</v>
      </c>
      <c r="L191" s="5">
        <v>0.28999999999999998</v>
      </c>
      <c r="M191" s="3">
        <f t="shared" si="43"/>
        <v>290</v>
      </c>
      <c r="N191" s="5">
        <v>11.29</v>
      </c>
      <c r="O191" s="23">
        <f t="shared" si="54"/>
        <v>1.129E-2</v>
      </c>
      <c r="P191" s="23">
        <f t="shared" si="55"/>
        <v>0.20321999999999998</v>
      </c>
      <c r="Q191" s="7">
        <f t="shared" si="56"/>
        <v>2.0322E-4</v>
      </c>
      <c r="R191" s="23">
        <f t="shared" si="57"/>
        <v>0.73159200000000002</v>
      </c>
      <c r="S191" s="5">
        <v>29.47</v>
      </c>
      <c r="T191" s="5">
        <v>3.96</v>
      </c>
      <c r="U191" s="3">
        <f t="shared" si="58"/>
        <v>39600</v>
      </c>
      <c r="V191" s="8">
        <v>-0.61</v>
      </c>
      <c r="W191" s="8">
        <v>-2.42</v>
      </c>
      <c r="X191" s="5">
        <f t="shared" si="59"/>
        <v>1.81</v>
      </c>
      <c r="Y191" s="23">
        <f t="shared" si="60"/>
        <v>0.40419447513812157</v>
      </c>
      <c r="Z191" s="23">
        <f t="shared" si="44"/>
        <v>16006.101215469615</v>
      </c>
      <c r="AA191" s="11">
        <f t="shared" si="45"/>
        <v>6.2322785487609771</v>
      </c>
      <c r="AB191" s="11">
        <f t="shared" si="46"/>
        <v>246798.2305309347</v>
      </c>
    </row>
    <row r="192" spans="1:28" ht="17.25" customHeight="1" x14ac:dyDescent="0.2">
      <c r="A192" t="s">
        <v>7</v>
      </c>
      <c r="B192" s="20">
        <v>72</v>
      </c>
      <c r="C192" s="20">
        <v>152</v>
      </c>
      <c r="D192" s="20">
        <v>51</v>
      </c>
      <c r="E192" t="s">
        <v>77</v>
      </c>
      <c r="F192" s="26">
        <v>45148</v>
      </c>
      <c r="G192" t="s">
        <v>76</v>
      </c>
      <c r="H192" s="5">
        <v>20.16</v>
      </c>
      <c r="I192" s="3">
        <v>43</v>
      </c>
      <c r="J192" s="5">
        <v>34.39</v>
      </c>
      <c r="K192" s="5">
        <v>3.7</v>
      </c>
      <c r="L192" s="5">
        <v>0.55000000000000004</v>
      </c>
      <c r="M192" s="3">
        <f t="shared" si="43"/>
        <v>550</v>
      </c>
      <c r="N192" s="5">
        <v>19.309999999999999</v>
      </c>
      <c r="O192" s="23">
        <f t="shared" si="54"/>
        <v>1.9309999999999997E-2</v>
      </c>
      <c r="P192" s="23">
        <f t="shared" si="55"/>
        <v>0.34757999999999994</v>
      </c>
      <c r="Q192" s="7">
        <f t="shared" si="56"/>
        <v>3.4757999999999995E-4</v>
      </c>
      <c r="R192" s="23">
        <f t="shared" si="57"/>
        <v>1.2512879999999997</v>
      </c>
      <c r="S192" s="5">
        <v>11.56</v>
      </c>
      <c r="T192" s="5">
        <v>1.91</v>
      </c>
      <c r="U192" s="3">
        <f t="shared" si="58"/>
        <v>19100</v>
      </c>
      <c r="V192" s="8">
        <v>-0.71199999999999997</v>
      </c>
      <c r="W192" s="8">
        <v>-1.64</v>
      </c>
      <c r="X192" s="5">
        <f t="shared" si="59"/>
        <v>0.92799999999999994</v>
      </c>
      <c r="Y192" s="23">
        <f t="shared" si="60"/>
        <v>1.3483706896551721</v>
      </c>
      <c r="Z192" s="23">
        <f t="shared" si="44"/>
        <v>25753.880172413788</v>
      </c>
      <c r="AA192" s="11">
        <f t="shared" si="45"/>
        <v>20.790540796096611</v>
      </c>
      <c r="AB192" s="11">
        <f t="shared" si="46"/>
        <v>397099.32920544525</v>
      </c>
    </row>
    <row r="193" spans="1:28" ht="17.25" customHeight="1" x14ac:dyDescent="0.2">
      <c r="A193" t="s">
        <v>7</v>
      </c>
      <c r="B193" s="20">
        <v>72</v>
      </c>
      <c r="C193" s="20">
        <v>155</v>
      </c>
      <c r="D193" s="20">
        <v>58</v>
      </c>
      <c r="E193" t="s">
        <v>77</v>
      </c>
      <c r="F193" s="26">
        <v>45147</v>
      </c>
      <c r="G193" t="s">
        <v>76</v>
      </c>
      <c r="H193" s="5">
        <v>25.15</v>
      </c>
      <c r="I193" s="5">
        <v>40.83</v>
      </c>
      <c r="J193" s="5">
        <v>36.520000000000003</v>
      </c>
      <c r="K193" s="5">
        <v>4.18</v>
      </c>
      <c r="L193" s="5">
        <v>0.25</v>
      </c>
      <c r="M193" s="3">
        <f t="shared" si="43"/>
        <v>250</v>
      </c>
      <c r="N193" s="5">
        <v>9.6999999999999993</v>
      </c>
      <c r="O193" s="23">
        <f t="shared" si="54"/>
        <v>9.6999999999999986E-3</v>
      </c>
      <c r="P193" s="23">
        <f t="shared" si="55"/>
        <v>0.17459999999999998</v>
      </c>
      <c r="Q193" s="7">
        <f t="shared" si="56"/>
        <v>1.7459999999999999E-4</v>
      </c>
      <c r="R193" s="23">
        <f t="shared" si="57"/>
        <v>0.62856000000000001</v>
      </c>
      <c r="S193" s="5">
        <v>25.14</v>
      </c>
      <c r="T193" s="5">
        <v>4.53</v>
      </c>
      <c r="U193" s="3">
        <f t="shared" si="58"/>
        <v>45300</v>
      </c>
      <c r="V193" s="8">
        <v>-0.73</v>
      </c>
      <c r="W193" s="8">
        <v>-1.74</v>
      </c>
      <c r="X193" s="5">
        <f t="shared" si="59"/>
        <v>1.01</v>
      </c>
      <c r="Y193" s="23">
        <f t="shared" si="60"/>
        <v>0.62233663366336633</v>
      </c>
      <c r="Z193" s="23">
        <f t="shared" si="44"/>
        <v>28191.849504950496</v>
      </c>
      <c r="AA193" s="11">
        <f t="shared" si="45"/>
        <v>9.5958146156325554</v>
      </c>
      <c r="AB193" s="11">
        <f t="shared" si="46"/>
        <v>434690.40208815475</v>
      </c>
    </row>
    <row r="194" spans="1:28" ht="17.25" customHeight="1" x14ac:dyDescent="0.2">
      <c r="A194" t="s">
        <v>7</v>
      </c>
      <c r="B194" s="20">
        <v>72</v>
      </c>
      <c r="C194" s="20">
        <v>155</v>
      </c>
      <c r="D194" s="20">
        <v>59</v>
      </c>
      <c r="E194" t="s">
        <v>77</v>
      </c>
      <c r="F194" s="26">
        <v>45147</v>
      </c>
      <c r="G194" t="s">
        <v>76</v>
      </c>
      <c r="H194" s="5">
        <v>20.78</v>
      </c>
      <c r="I194" s="5">
        <v>43.24</v>
      </c>
      <c r="J194" s="5">
        <v>40.17</v>
      </c>
      <c r="K194" s="5">
        <v>5.64</v>
      </c>
      <c r="L194" s="5">
        <v>0.12</v>
      </c>
      <c r="M194" s="3">
        <f t="shared" si="43"/>
        <v>120</v>
      </c>
      <c r="N194" s="5">
        <v>6.44</v>
      </c>
      <c r="O194" s="23">
        <f t="shared" si="54"/>
        <v>6.4400000000000004E-3</v>
      </c>
      <c r="P194" s="23">
        <f t="shared" si="55"/>
        <v>0.11592000000000001</v>
      </c>
      <c r="Q194" s="7">
        <f t="shared" si="56"/>
        <v>1.1592000000000001E-4</v>
      </c>
      <c r="R194" s="23">
        <f t="shared" si="57"/>
        <v>0.41731200000000007</v>
      </c>
      <c r="S194" s="5">
        <v>16.940000000000001</v>
      </c>
      <c r="T194" s="5">
        <v>3.17</v>
      </c>
      <c r="U194" s="3">
        <f t="shared" si="58"/>
        <v>31700</v>
      </c>
      <c r="V194" s="8">
        <v>-0.52</v>
      </c>
      <c r="W194" s="8">
        <v>-2.02</v>
      </c>
      <c r="X194" s="5">
        <f t="shared" si="59"/>
        <v>1.5</v>
      </c>
      <c r="Y194" s="23">
        <f t="shared" si="60"/>
        <v>0.27820800000000007</v>
      </c>
      <c r="Z194" s="23">
        <f t="shared" si="44"/>
        <v>8819.1936000000023</v>
      </c>
      <c r="AA194" s="11">
        <f t="shared" si="45"/>
        <v>4.2896918615752861</v>
      </c>
      <c r="AB194" s="11">
        <f t="shared" si="46"/>
        <v>135983.23201193658</v>
      </c>
    </row>
    <row r="195" spans="1:28" ht="17.25" customHeight="1" x14ac:dyDescent="0.2">
      <c r="A195" t="s">
        <v>7</v>
      </c>
      <c r="B195" s="20">
        <v>72</v>
      </c>
      <c r="C195" s="20">
        <v>155</v>
      </c>
      <c r="D195" s="20">
        <v>60</v>
      </c>
      <c r="E195" t="s">
        <v>77</v>
      </c>
      <c r="F195" s="26">
        <v>45148</v>
      </c>
      <c r="G195" t="s">
        <v>76</v>
      </c>
      <c r="H195" s="5">
        <v>21.87</v>
      </c>
      <c r="I195" s="5">
        <v>42.37</v>
      </c>
      <c r="J195" s="5">
        <v>37.31</v>
      </c>
      <c r="K195" s="5">
        <v>4.5599999999999996</v>
      </c>
      <c r="L195" s="5">
        <v>0.19</v>
      </c>
      <c r="M195" s="3">
        <f t="shared" ref="M195:M258" si="61">L195*1000</f>
        <v>190</v>
      </c>
      <c r="N195" s="5">
        <v>7.88</v>
      </c>
      <c r="O195" s="23">
        <f t="shared" si="54"/>
        <v>7.8799999999999999E-3</v>
      </c>
      <c r="P195" s="23">
        <f t="shared" si="55"/>
        <v>0.14183999999999999</v>
      </c>
      <c r="Q195" s="7">
        <f t="shared" si="56"/>
        <v>1.4183999999999998E-4</v>
      </c>
      <c r="R195" s="23">
        <f t="shared" si="57"/>
        <v>0.51062399999999997</v>
      </c>
      <c r="S195" s="5">
        <v>22.24</v>
      </c>
      <c r="T195" s="5">
        <v>4.22</v>
      </c>
      <c r="U195" s="3">
        <f t="shared" si="58"/>
        <v>42200</v>
      </c>
      <c r="V195" s="8">
        <v>-0.49</v>
      </c>
      <c r="W195" s="8">
        <v>-2.4500000000000002</v>
      </c>
      <c r="X195" s="5">
        <f t="shared" si="59"/>
        <v>1.9600000000000002</v>
      </c>
      <c r="Y195" s="23">
        <f t="shared" si="60"/>
        <v>0.26052244897959181</v>
      </c>
      <c r="Z195" s="23">
        <f t="shared" ref="Z195:Z258" si="62">Y195*U195</f>
        <v>10994.047346938774</v>
      </c>
      <c r="AA195" s="11">
        <f t="shared" ref="AA195:AA258" si="63">Y195 * 1000 * 1000 / 18.01528 / 3600</f>
        <v>4.0169981781451902</v>
      </c>
      <c r="AB195" s="11">
        <f t="shared" ref="AB195:AB258" si="64">AA195*U195</f>
        <v>169517.32311772704</v>
      </c>
    </row>
    <row r="196" spans="1:28" ht="17.25" customHeight="1" x14ac:dyDescent="0.2">
      <c r="A196" t="s">
        <v>7</v>
      </c>
      <c r="B196" s="20">
        <v>72</v>
      </c>
      <c r="C196" s="20">
        <v>5</v>
      </c>
      <c r="D196" s="20">
        <v>61</v>
      </c>
      <c r="E196" t="s">
        <v>77</v>
      </c>
      <c r="F196" s="26">
        <v>45148</v>
      </c>
      <c r="G196" t="s">
        <v>76</v>
      </c>
      <c r="H196" s="5">
        <v>19.489999999999998</v>
      </c>
      <c r="I196" s="5">
        <v>43.2</v>
      </c>
      <c r="J196" s="5">
        <v>37.18</v>
      </c>
      <c r="K196" s="5">
        <v>4.6399999999999997</v>
      </c>
      <c r="L196" s="5">
        <v>0.16</v>
      </c>
      <c r="M196" s="3">
        <f t="shared" si="61"/>
        <v>160</v>
      </c>
      <c r="N196" s="5">
        <v>6.93</v>
      </c>
      <c r="O196" s="23">
        <f t="shared" si="54"/>
        <v>6.9299999999999995E-3</v>
      </c>
      <c r="P196" s="23">
        <f t="shared" si="55"/>
        <v>0.12473999999999999</v>
      </c>
      <c r="Q196" s="7">
        <f t="shared" si="56"/>
        <v>1.2474E-4</v>
      </c>
      <c r="R196" s="23">
        <f t="shared" si="57"/>
        <v>0.44906400000000002</v>
      </c>
      <c r="S196" s="5">
        <v>5.59</v>
      </c>
      <c r="T196" s="5">
        <v>1.83</v>
      </c>
      <c r="U196" s="3">
        <f t="shared" si="58"/>
        <v>18300</v>
      </c>
      <c r="V196" s="8">
        <v>-0.52</v>
      </c>
      <c r="W196" s="8">
        <v>-2.48</v>
      </c>
      <c r="X196" s="5">
        <f t="shared" si="59"/>
        <v>1.96</v>
      </c>
      <c r="Y196" s="23">
        <f t="shared" si="60"/>
        <v>0.22911428571428571</v>
      </c>
      <c r="Z196" s="23">
        <f t="shared" si="62"/>
        <v>4192.7914285714287</v>
      </c>
      <c r="AA196" s="11">
        <f t="shared" si="63"/>
        <v>3.5327154028611902</v>
      </c>
      <c r="AB196" s="11">
        <f t="shared" si="64"/>
        <v>64648.691872359785</v>
      </c>
    </row>
    <row r="197" spans="1:28" ht="17.25" customHeight="1" x14ac:dyDescent="0.2">
      <c r="A197" t="s">
        <v>7</v>
      </c>
      <c r="B197" s="20">
        <v>72</v>
      </c>
      <c r="C197" s="20">
        <v>5</v>
      </c>
      <c r="D197" s="20">
        <v>63</v>
      </c>
      <c r="E197" t="s">
        <v>77</v>
      </c>
      <c r="F197" s="26">
        <v>45147</v>
      </c>
      <c r="G197" t="s">
        <v>76</v>
      </c>
      <c r="H197" s="5">
        <v>21.55</v>
      </c>
      <c r="I197" s="5">
        <v>42.85</v>
      </c>
      <c r="J197" s="5">
        <v>37.049999999999997</v>
      </c>
      <c r="K197" s="5">
        <v>4.45</v>
      </c>
      <c r="L197" s="5">
        <v>0.23</v>
      </c>
      <c r="M197" s="3">
        <f t="shared" si="61"/>
        <v>230</v>
      </c>
      <c r="N197" s="5">
        <v>9.66</v>
      </c>
      <c r="O197" s="23">
        <f t="shared" si="54"/>
        <v>9.6600000000000002E-3</v>
      </c>
      <c r="P197" s="23">
        <f t="shared" si="55"/>
        <v>0.17388000000000001</v>
      </c>
      <c r="Q197" s="7">
        <f t="shared" si="56"/>
        <v>1.7388000000000001E-4</v>
      </c>
      <c r="R197" s="23">
        <f t="shared" si="57"/>
        <v>0.62596800000000008</v>
      </c>
      <c r="S197" s="5">
        <v>13.53</v>
      </c>
      <c r="T197" s="5">
        <v>2.78</v>
      </c>
      <c r="U197" s="5">
        <f t="shared" si="58"/>
        <v>27799.999999999996</v>
      </c>
      <c r="V197" s="8">
        <v>-0.76</v>
      </c>
      <c r="W197" s="8">
        <v>-1.58</v>
      </c>
      <c r="X197" s="5">
        <f t="shared" si="59"/>
        <v>0.82000000000000006</v>
      </c>
      <c r="Y197" s="23">
        <f t="shared" si="60"/>
        <v>0.76337560975609764</v>
      </c>
      <c r="Z197" s="23">
        <f t="shared" si="62"/>
        <v>21221.841951219511</v>
      </c>
      <c r="AA197" s="11">
        <f t="shared" si="63"/>
        <v>11.770495961639503</v>
      </c>
      <c r="AB197" s="11">
        <f t="shared" si="64"/>
        <v>327219.78773357812</v>
      </c>
    </row>
    <row r="198" spans="1:28" ht="17.25" customHeight="1" x14ac:dyDescent="0.2">
      <c r="A198" t="s">
        <v>7</v>
      </c>
      <c r="B198" s="20">
        <v>72</v>
      </c>
      <c r="C198" s="20">
        <v>5</v>
      </c>
      <c r="D198" s="20">
        <v>85</v>
      </c>
      <c r="E198" t="s">
        <v>77</v>
      </c>
      <c r="F198" s="26">
        <v>45148</v>
      </c>
      <c r="G198" t="s">
        <v>76</v>
      </c>
      <c r="H198" s="5">
        <v>21.93</v>
      </c>
      <c r="I198" s="5">
        <v>42.6</v>
      </c>
      <c r="J198" s="5">
        <v>38.369999999999997</v>
      </c>
      <c r="K198" s="5">
        <v>4.91</v>
      </c>
      <c r="L198" s="5">
        <v>0.11</v>
      </c>
      <c r="M198" s="3">
        <f t="shared" si="61"/>
        <v>110</v>
      </c>
      <c r="N198" s="5">
        <v>4.99</v>
      </c>
      <c r="O198" s="23">
        <f t="shared" si="54"/>
        <v>4.9900000000000005E-3</v>
      </c>
      <c r="P198" s="23">
        <f t="shared" si="55"/>
        <v>8.9820000000000011E-2</v>
      </c>
      <c r="Q198" s="7">
        <f t="shared" si="56"/>
        <v>8.9820000000000018E-5</v>
      </c>
      <c r="R198" s="23">
        <f t="shared" si="57"/>
        <v>0.32335200000000008</v>
      </c>
      <c r="S198" s="5">
        <v>8.26</v>
      </c>
      <c r="T198" s="5">
        <v>2.33</v>
      </c>
      <c r="U198" s="3">
        <f t="shared" si="58"/>
        <v>23300</v>
      </c>
      <c r="V198" s="8">
        <v>-0.53</v>
      </c>
      <c r="W198" s="8">
        <v>-2.08</v>
      </c>
      <c r="X198" s="5">
        <f t="shared" si="59"/>
        <v>1.55</v>
      </c>
      <c r="Y198" s="23">
        <f t="shared" si="60"/>
        <v>0.20861419354838714</v>
      </c>
      <c r="Z198" s="23">
        <f t="shared" si="62"/>
        <v>4860.7107096774207</v>
      </c>
      <c r="AA198" s="11">
        <f t="shared" si="63"/>
        <v>3.216624282096876</v>
      </c>
      <c r="AB198" s="11">
        <f t="shared" si="64"/>
        <v>74947.34577285721</v>
      </c>
    </row>
    <row r="199" spans="1:28" ht="17.25" customHeight="1" x14ac:dyDescent="0.2">
      <c r="A199" t="s">
        <v>8</v>
      </c>
      <c r="B199" s="20">
        <v>1521</v>
      </c>
      <c r="C199" s="20">
        <v>153</v>
      </c>
      <c r="D199" s="20">
        <v>69</v>
      </c>
      <c r="E199" t="s">
        <v>77</v>
      </c>
      <c r="F199" s="26">
        <v>45148</v>
      </c>
      <c r="G199" t="s">
        <v>76</v>
      </c>
      <c r="H199" s="5">
        <v>19.8</v>
      </c>
      <c r="I199" s="5">
        <v>43.23</v>
      </c>
      <c r="J199" s="5">
        <v>37.28</v>
      </c>
      <c r="K199" s="5">
        <v>4.6399999999999997</v>
      </c>
      <c r="L199" s="5">
        <v>0.18</v>
      </c>
      <c r="M199" s="3">
        <f t="shared" si="61"/>
        <v>180</v>
      </c>
      <c r="N199" s="5">
        <v>7.78</v>
      </c>
      <c r="O199" s="23">
        <f t="shared" si="54"/>
        <v>7.7800000000000005E-3</v>
      </c>
      <c r="P199" s="23">
        <f t="shared" si="55"/>
        <v>0.14004</v>
      </c>
      <c r="Q199" s="7">
        <f t="shared" si="56"/>
        <v>1.4003999999999999E-4</v>
      </c>
      <c r="R199" s="23">
        <f t="shared" si="57"/>
        <v>0.50414399999999993</v>
      </c>
      <c r="S199" s="5">
        <v>1.89</v>
      </c>
      <c r="T199" s="5">
        <v>0.42</v>
      </c>
      <c r="U199" s="3">
        <f t="shared" si="58"/>
        <v>4200</v>
      </c>
      <c r="V199" s="8">
        <v>-0.67</v>
      </c>
      <c r="W199" s="8">
        <v>-2.2999999999999998</v>
      </c>
      <c r="X199" s="5">
        <f t="shared" si="59"/>
        <v>1.63</v>
      </c>
      <c r="Y199" s="23">
        <f t="shared" si="60"/>
        <v>0.30929079754601224</v>
      </c>
      <c r="Z199" s="23">
        <f t="shared" si="62"/>
        <v>1299.0213496932515</v>
      </c>
      <c r="AA199" s="11">
        <f t="shared" si="63"/>
        <v>4.7689578196646316</v>
      </c>
      <c r="AB199" s="11">
        <f t="shared" si="64"/>
        <v>20029.622842591452</v>
      </c>
    </row>
    <row r="200" spans="1:28" ht="17.25" customHeight="1" x14ac:dyDescent="0.2">
      <c r="A200" t="s">
        <v>8</v>
      </c>
      <c r="B200" s="20">
        <v>1521</v>
      </c>
      <c r="C200" s="20">
        <v>153</v>
      </c>
      <c r="D200" s="20">
        <v>76</v>
      </c>
      <c r="E200" t="s">
        <v>77</v>
      </c>
      <c r="F200" s="26">
        <v>45148</v>
      </c>
      <c r="G200" t="s">
        <v>76</v>
      </c>
      <c r="H200" s="5">
        <v>19.649999999999999</v>
      </c>
      <c r="I200" s="5">
        <v>43.37</v>
      </c>
      <c r="J200" s="5">
        <v>40.369999999999997</v>
      </c>
      <c r="K200" s="5">
        <v>5.81</v>
      </c>
      <c r="L200" s="5">
        <v>7.0000000000000007E-2</v>
      </c>
      <c r="M200" s="3">
        <f t="shared" si="61"/>
        <v>70</v>
      </c>
      <c r="N200" s="5">
        <v>3.83</v>
      </c>
      <c r="O200" s="23">
        <f t="shared" si="54"/>
        <v>3.8300000000000001E-3</v>
      </c>
      <c r="P200" s="23">
        <f t="shared" si="55"/>
        <v>6.8940000000000001E-2</v>
      </c>
      <c r="Q200" s="7">
        <f t="shared" si="56"/>
        <v>6.8940000000000001E-5</v>
      </c>
      <c r="R200" s="23">
        <f t="shared" si="57"/>
        <v>0.24818400000000002</v>
      </c>
      <c r="S200" s="5">
        <v>1.63</v>
      </c>
      <c r="T200" s="5">
        <v>0.4</v>
      </c>
      <c r="U200" s="3">
        <f t="shared" si="58"/>
        <v>4000</v>
      </c>
      <c r="V200" s="8">
        <v>-0.77</v>
      </c>
      <c r="W200" s="8">
        <v>-1.82</v>
      </c>
      <c r="X200" s="5">
        <f t="shared" si="59"/>
        <v>1.05</v>
      </c>
      <c r="Y200" s="23">
        <f t="shared" si="60"/>
        <v>0.23636571428571429</v>
      </c>
      <c r="Z200" s="23">
        <f t="shared" si="62"/>
        <v>945.46285714285716</v>
      </c>
      <c r="AA200" s="11">
        <f t="shared" si="63"/>
        <v>3.6445252506285137</v>
      </c>
      <c r="AB200" s="11">
        <f t="shared" si="64"/>
        <v>14578.101002514055</v>
      </c>
    </row>
    <row r="201" spans="1:28" ht="17.25" customHeight="1" x14ac:dyDescent="0.2">
      <c r="A201" t="s">
        <v>8</v>
      </c>
      <c r="B201" s="20">
        <v>1521</v>
      </c>
      <c r="C201" s="20">
        <v>153</v>
      </c>
      <c r="D201" s="20">
        <v>90</v>
      </c>
      <c r="E201" t="s">
        <v>77</v>
      </c>
      <c r="F201" s="26">
        <v>45147</v>
      </c>
      <c r="G201" t="s">
        <v>76</v>
      </c>
      <c r="H201" s="5">
        <v>20.34</v>
      </c>
      <c r="I201" s="5">
        <v>43.14</v>
      </c>
      <c r="J201" s="5">
        <v>39.090000000000003</v>
      </c>
      <c r="K201" s="5">
        <v>5.26</v>
      </c>
      <c r="L201" s="5">
        <v>0.09</v>
      </c>
      <c r="M201" s="3">
        <f t="shared" si="61"/>
        <v>90</v>
      </c>
      <c r="N201" s="5">
        <v>4.38</v>
      </c>
      <c r="O201" s="23">
        <f t="shared" si="54"/>
        <v>4.3800000000000002E-3</v>
      </c>
      <c r="P201" s="23">
        <f t="shared" si="55"/>
        <v>7.8840000000000007E-2</v>
      </c>
      <c r="Q201" s="7">
        <f t="shared" si="56"/>
        <v>7.8840000000000011E-5</v>
      </c>
      <c r="R201" s="23">
        <f t="shared" si="57"/>
        <v>0.28382400000000002</v>
      </c>
      <c r="S201" s="5">
        <v>3.81</v>
      </c>
      <c r="T201" s="5">
        <v>0.53</v>
      </c>
      <c r="U201" s="3">
        <f t="shared" si="58"/>
        <v>5300</v>
      </c>
      <c r="V201" s="8">
        <v>-0.55000000000000004</v>
      </c>
      <c r="W201" s="8">
        <v>-2.0499999999999998</v>
      </c>
      <c r="X201" s="5">
        <f t="shared" si="59"/>
        <v>1.4999999999999998</v>
      </c>
      <c r="Y201" s="23">
        <f t="shared" si="60"/>
        <v>0.18921600000000005</v>
      </c>
      <c r="Z201" s="23">
        <f t="shared" si="62"/>
        <v>1002.8448000000003</v>
      </c>
      <c r="AA201" s="11">
        <f t="shared" si="63"/>
        <v>2.9175233468477875</v>
      </c>
      <c r="AB201" s="11">
        <f t="shared" si="64"/>
        <v>15462.873738293274</v>
      </c>
    </row>
    <row r="202" spans="1:28" ht="17.25" customHeight="1" x14ac:dyDescent="0.2">
      <c r="A202" t="s">
        <v>8</v>
      </c>
      <c r="B202" s="20">
        <v>1521</v>
      </c>
      <c r="C202" s="20">
        <v>155</v>
      </c>
      <c r="D202" s="20">
        <v>62</v>
      </c>
      <c r="E202" t="s">
        <v>77</v>
      </c>
      <c r="F202" s="26">
        <v>45147</v>
      </c>
      <c r="G202" t="s">
        <v>76</v>
      </c>
      <c r="H202" s="5">
        <v>20.77</v>
      </c>
      <c r="I202" s="5">
        <v>43.56</v>
      </c>
      <c r="J202" s="5">
        <v>37.72</v>
      </c>
      <c r="K202" s="5">
        <v>4.68</v>
      </c>
      <c r="L202" s="5">
        <v>0.23</v>
      </c>
      <c r="M202" s="3">
        <f t="shared" si="61"/>
        <v>230</v>
      </c>
      <c r="N202" s="5">
        <v>10.34</v>
      </c>
      <c r="O202" s="23">
        <f t="shared" si="54"/>
        <v>1.034E-2</v>
      </c>
      <c r="P202" s="23">
        <f t="shared" si="55"/>
        <v>0.18612000000000001</v>
      </c>
      <c r="Q202" s="7">
        <f t="shared" si="56"/>
        <v>1.8612000000000001E-4</v>
      </c>
      <c r="R202" s="23">
        <f t="shared" si="57"/>
        <v>0.67003200000000007</v>
      </c>
      <c r="S202" s="5">
        <v>1.17</v>
      </c>
      <c r="T202" s="5">
        <v>0.44</v>
      </c>
      <c r="U202" s="3">
        <f t="shared" si="58"/>
        <v>4400</v>
      </c>
      <c r="V202" s="8">
        <v>-1.3</v>
      </c>
      <c r="W202" s="8">
        <v>-2.12</v>
      </c>
      <c r="X202" s="5">
        <f t="shared" si="59"/>
        <v>0.82000000000000006</v>
      </c>
      <c r="Y202" s="23">
        <f t="shared" si="60"/>
        <v>0.81711219512195121</v>
      </c>
      <c r="Z202" s="23">
        <f t="shared" si="62"/>
        <v>3595.2936585365856</v>
      </c>
      <c r="AA202" s="11">
        <f t="shared" si="63"/>
        <v>12.599060894756983</v>
      </c>
      <c r="AB202" s="11">
        <f t="shared" si="64"/>
        <v>55435.867936930721</v>
      </c>
    </row>
    <row r="203" spans="1:28" ht="17.25" customHeight="1" x14ac:dyDescent="0.2">
      <c r="A203" t="s">
        <v>8</v>
      </c>
      <c r="B203" s="20">
        <v>1521</v>
      </c>
      <c r="C203" s="20">
        <v>155</v>
      </c>
      <c r="D203" s="20">
        <v>64</v>
      </c>
      <c r="E203" t="s">
        <v>77</v>
      </c>
      <c r="F203" s="26">
        <v>45147</v>
      </c>
      <c r="G203" t="s">
        <v>76</v>
      </c>
      <c r="H203" s="5">
        <v>22.22</v>
      </c>
      <c r="I203" s="5">
        <v>42.28</v>
      </c>
      <c r="J203" s="5">
        <v>38.28</v>
      </c>
      <c r="K203" s="5">
        <v>4.88</v>
      </c>
      <c r="L203" s="5">
        <v>0.21</v>
      </c>
      <c r="M203" s="3">
        <f t="shared" si="61"/>
        <v>210</v>
      </c>
      <c r="N203" s="5">
        <v>9.4700000000000006</v>
      </c>
      <c r="O203" s="23">
        <f t="shared" si="54"/>
        <v>9.470000000000001E-3</v>
      </c>
      <c r="P203" s="23">
        <f t="shared" si="55"/>
        <v>0.17046000000000003</v>
      </c>
      <c r="Q203" s="7">
        <f t="shared" si="56"/>
        <v>1.7046000000000002E-4</v>
      </c>
      <c r="R203" s="23">
        <f t="shared" si="57"/>
        <v>0.61365600000000009</v>
      </c>
      <c r="S203" s="5">
        <v>1.37</v>
      </c>
      <c r="T203" s="5">
        <v>0.45</v>
      </c>
      <c r="U203" s="3">
        <f t="shared" si="58"/>
        <v>4500</v>
      </c>
      <c r="V203" s="8">
        <v>-0.61</v>
      </c>
      <c r="W203" s="8">
        <v>-2.15</v>
      </c>
      <c r="X203" s="5">
        <f t="shared" si="59"/>
        <v>1.54</v>
      </c>
      <c r="Y203" s="23">
        <f t="shared" si="60"/>
        <v>0.39847792207792215</v>
      </c>
      <c r="Z203" s="23">
        <f t="shared" si="62"/>
        <v>1793.1506493506497</v>
      </c>
      <c r="AA203" s="11">
        <f t="shared" si="63"/>
        <v>6.1441349614500416</v>
      </c>
      <c r="AB203" s="11">
        <f t="shared" si="64"/>
        <v>27648.607326525187</v>
      </c>
    </row>
    <row r="204" spans="1:28" ht="17.25" customHeight="1" x14ac:dyDescent="0.2">
      <c r="A204" t="s">
        <v>8</v>
      </c>
      <c r="B204" s="20">
        <v>1521</v>
      </c>
      <c r="C204" s="20">
        <v>155</v>
      </c>
      <c r="D204" s="20">
        <v>66</v>
      </c>
      <c r="E204" t="s">
        <v>77</v>
      </c>
      <c r="F204" s="26">
        <v>45148</v>
      </c>
      <c r="G204" t="s">
        <v>76</v>
      </c>
      <c r="H204" s="5">
        <v>19.16</v>
      </c>
      <c r="I204" s="5">
        <v>43.22</v>
      </c>
      <c r="J204" s="5">
        <v>39.049999999999997</v>
      </c>
      <c r="K204" s="5">
        <v>5.35</v>
      </c>
      <c r="L204" s="5">
        <v>0.11</v>
      </c>
      <c r="M204" s="3">
        <f t="shared" si="61"/>
        <v>110</v>
      </c>
      <c r="N204" s="5">
        <v>5.42</v>
      </c>
      <c r="O204" s="23">
        <f t="shared" si="54"/>
        <v>5.4200000000000003E-3</v>
      </c>
      <c r="P204" s="23">
        <f t="shared" si="55"/>
        <v>9.7560000000000008E-2</v>
      </c>
      <c r="Q204" s="7">
        <f t="shared" si="56"/>
        <v>9.7560000000000008E-5</v>
      </c>
      <c r="R204" s="23">
        <f t="shared" si="57"/>
        <v>0.35121600000000003</v>
      </c>
      <c r="S204" s="5">
        <v>3.21</v>
      </c>
      <c r="T204" s="5">
        <v>0.68</v>
      </c>
      <c r="U204" s="5">
        <f t="shared" si="58"/>
        <v>6800.0000000000009</v>
      </c>
      <c r="V204" s="8">
        <v>-0.89</v>
      </c>
      <c r="W204" s="8">
        <v>-1.85</v>
      </c>
      <c r="X204" s="5">
        <f t="shared" si="59"/>
        <v>0.96000000000000008</v>
      </c>
      <c r="Y204" s="23">
        <f t="shared" si="60"/>
        <v>0.36585000000000001</v>
      </c>
      <c r="Z204" s="23">
        <f t="shared" si="62"/>
        <v>2487.7800000000002</v>
      </c>
      <c r="AA204" s="11">
        <f t="shared" si="63"/>
        <v>5.6410447131546109</v>
      </c>
      <c r="AB204" s="11">
        <f t="shared" si="64"/>
        <v>38359.104049451358</v>
      </c>
    </row>
    <row r="205" spans="1:28" ht="17.25" customHeight="1" x14ac:dyDescent="0.2">
      <c r="A205" t="s">
        <v>8</v>
      </c>
      <c r="B205" s="20">
        <v>1521</v>
      </c>
      <c r="C205" s="20">
        <v>156</v>
      </c>
      <c r="D205" s="20">
        <v>71</v>
      </c>
      <c r="E205" t="s">
        <v>77</v>
      </c>
      <c r="F205" s="26">
        <v>45147</v>
      </c>
      <c r="G205" t="s">
        <v>76</v>
      </c>
      <c r="H205" s="5">
        <v>20.45</v>
      </c>
      <c r="I205" s="5">
        <v>43.66</v>
      </c>
      <c r="J205" s="5">
        <v>40.729999999999997</v>
      </c>
      <c r="K205" s="5">
        <v>5.85</v>
      </c>
      <c r="L205" s="5">
        <v>0.08</v>
      </c>
      <c r="M205" s="3">
        <f t="shared" si="61"/>
        <v>80</v>
      </c>
      <c r="N205" s="5">
        <v>4.42</v>
      </c>
      <c r="O205" s="23">
        <f t="shared" si="54"/>
        <v>4.4200000000000003E-3</v>
      </c>
      <c r="P205" s="23">
        <f t="shared" si="55"/>
        <v>7.9560000000000006E-2</v>
      </c>
      <c r="Q205" s="7">
        <f t="shared" si="56"/>
        <v>7.9560000000000004E-5</v>
      </c>
      <c r="R205" s="23">
        <f t="shared" si="57"/>
        <v>0.286416</v>
      </c>
      <c r="S205" s="5">
        <v>3.35</v>
      </c>
      <c r="T205" s="5">
        <v>0.65</v>
      </c>
      <c r="U205" s="3">
        <f t="shared" si="58"/>
        <v>6500</v>
      </c>
      <c r="V205" s="8">
        <v>-0.36</v>
      </c>
      <c r="W205" s="8">
        <v>-1.87</v>
      </c>
      <c r="X205" s="5">
        <f t="shared" si="59"/>
        <v>1.5100000000000002</v>
      </c>
      <c r="Y205" s="23">
        <f t="shared" si="60"/>
        <v>0.18967947019867548</v>
      </c>
      <c r="Z205" s="23">
        <f t="shared" si="62"/>
        <v>1232.9165562913906</v>
      </c>
      <c r="AA205" s="11">
        <f t="shared" si="63"/>
        <v>2.9246695983550799</v>
      </c>
      <c r="AB205" s="11">
        <f t="shared" si="64"/>
        <v>19010.35238930802</v>
      </c>
    </row>
    <row r="206" spans="1:28" ht="17.25" customHeight="1" x14ac:dyDescent="0.2">
      <c r="A206" t="s">
        <v>8</v>
      </c>
      <c r="B206" s="20">
        <v>1521</v>
      </c>
      <c r="C206" s="20">
        <v>156</v>
      </c>
      <c r="D206" s="20">
        <v>74</v>
      </c>
      <c r="E206" t="s">
        <v>77</v>
      </c>
      <c r="F206" s="26">
        <v>45148</v>
      </c>
      <c r="G206" t="s">
        <v>76</v>
      </c>
      <c r="H206" s="5">
        <v>18.82</v>
      </c>
      <c r="I206" s="5">
        <v>43.31</v>
      </c>
      <c r="J206" s="5">
        <v>39.81</v>
      </c>
      <c r="K206" s="5">
        <v>5.69</v>
      </c>
      <c r="L206" s="5">
        <v>0.1</v>
      </c>
      <c r="M206" s="3">
        <f t="shared" si="61"/>
        <v>100</v>
      </c>
      <c r="N206" s="5">
        <v>4.91</v>
      </c>
      <c r="O206" s="23">
        <f t="shared" si="54"/>
        <v>4.9100000000000003E-3</v>
      </c>
      <c r="P206" s="23">
        <f t="shared" si="55"/>
        <v>8.838E-2</v>
      </c>
      <c r="Q206" s="7">
        <f t="shared" si="56"/>
        <v>8.8380000000000004E-5</v>
      </c>
      <c r="R206" s="23">
        <f t="shared" si="57"/>
        <v>0.31816800000000001</v>
      </c>
      <c r="S206" s="5">
        <v>2.92</v>
      </c>
      <c r="T206" s="5">
        <v>0.64</v>
      </c>
      <c r="U206" s="3">
        <f t="shared" si="58"/>
        <v>6400</v>
      </c>
      <c r="V206" s="8">
        <v>-0.35</v>
      </c>
      <c r="W206" s="8">
        <v>-1.77</v>
      </c>
      <c r="X206" s="5">
        <f t="shared" si="59"/>
        <v>1.42</v>
      </c>
      <c r="Y206" s="23">
        <f t="shared" si="60"/>
        <v>0.22406197183098592</v>
      </c>
      <c r="Z206" s="23">
        <f t="shared" si="62"/>
        <v>1433.9966197183098</v>
      </c>
      <c r="AA206" s="11">
        <f t="shared" si="63"/>
        <v>3.4548137258881519</v>
      </c>
      <c r="AB206" s="11">
        <f t="shared" si="64"/>
        <v>22110.807845684172</v>
      </c>
    </row>
    <row r="207" spans="1:28" ht="17.25" customHeight="1" x14ac:dyDescent="0.2">
      <c r="A207" t="s">
        <v>8</v>
      </c>
      <c r="B207" s="20">
        <v>1521</v>
      </c>
      <c r="C207" s="20">
        <v>156</v>
      </c>
      <c r="D207" s="20">
        <v>75</v>
      </c>
      <c r="E207" t="s">
        <v>77</v>
      </c>
      <c r="F207" s="26">
        <v>45148</v>
      </c>
      <c r="G207" t="s">
        <v>76</v>
      </c>
      <c r="H207" s="5">
        <v>19.05</v>
      </c>
      <c r="I207" s="5">
        <v>43.25</v>
      </c>
      <c r="J207" s="5">
        <v>38.19</v>
      </c>
      <c r="K207" s="5">
        <v>5.03</v>
      </c>
      <c r="L207" s="5">
        <v>0.14000000000000001</v>
      </c>
      <c r="M207" s="3">
        <f t="shared" si="61"/>
        <v>140</v>
      </c>
      <c r="N207" s="5">
        <v>6.79</v>
      </c>
      <c r="O207" s="23">
        <f t="shared" si="54"/>
        <v>6.79E-3</v>
      </c>
      <c r="P207" s="23">
        <f t="shared" si="55"/>
        <v>0.12222</v>
      </c>
      <c r="Q207" s="7">
        <f t="shared" si="56"/>
        <v>1.2222000000000001E-4</v>
      </c>
      <c r="R207" s="23">
        <f t="shared" si="57"/>
        <v>0.43999199999999999</v>
      </c>
      <c r="S207" s="5">
        <v>2.78</v>
      </c>
      <c r="T207" s="5">
        <v>0.57999999999999996</v>
      </c>
      <c r="U207" s="3">
        <f t="shared" si="58"/>
        <v>5800</v>
      </c>
      <c r="V207" s="8">
        <v>-0.39</v>
      </c>
      <c r="W207" s="8">
        <v>-2.06</v>
      </c>
      <c r="X207" s="5">
        <f t="shared" si="59"/>
        <v>1.67</v>
      </c>
      <c r="Y207" s="23">
        <f t="shared" si="60"/>
        <v>0.26346826347305391</v>
      </c>
      <c r="Z207" s="23">
        <f t="shared" si="62"/>
        <v>1528.1159281437126</v>
      </c>
      <c r="AA207" s="11">
        <f t="shared" si="63"/>
        <v>4.0624197205103103</v>
      </c>
      <c r="AB207" s="11">
        <f t="shared" si="64"/>
        <v>23562.034378959801</v>
      </c>
    </row>
    <row r="208" spans="1:28" ht="17.25" customHeight="1" x14ac:dyDescent="0.2">
      <c r="A208" t="s">
        <v>8</v>
      </c>
      <c r="B208" s="20">
        <v>1521</v>
      </c>
      <c r="C208" s="20">
        <v>157</v>
      </c>
      <c r="D208" s="20">
        <v>67</v>
      </c>
      <c r="E208" t="s">
        <v>77</v>
      </c>
      <c r="F208" s="26">
        <v>45148</v>
      </c>
      <c r="G208" t="s">
        <v>76</v>
      </c>
      <c r="H208" s="5">
        <v>21.13</v>
      </c>
      <c r="I208" s="5">
        <v>42.75</v>
      </c>
      <c r="J208" s="5">
        <v>39.549999999999997</v>
      </c>
      <c r="K208" s="5">
        <v>5.4</v>
      </c>
      <c r="L208" s="5">
        <v>0.09</v>
      </c>
      <c r="M208" s="3">
        <f t="shared" si="61"/>
        <v>90</v>
      </c>
      <c r="N208" s="5">
        <v>4.49</v>
      </c>
      <c r="O208" s="23">
        <f t="shared" si="54"/>
        <v>4.4900000000000001E-3</v>
      </c>
      <c r="P208" s="23">
        <f t="shared" si="55"/>
        <v>8.0820000000000003E-2</v>
      </c>
      <c r="Q208" s="7">
        <f t="shared" si="56"/>
        <v>8.0820000000000002E-5</v>
      </c>
      <c r="R208" s="23">
        <f t="shared" si="57"/>
        <v>0.29095199999999999</v>
      </c>
      <c r="S208" s="5">
        <v>2.46</v>
      </c>
      <c r="T208" s="5">
        <v>0.65</v>
      </c>
      <c r="U208" s="3">
        <f t="shared" si="58"/>
        <v>6500</v>
      </c>
      <c r="V208" s="8">
        <v>-0.7</v>
      </c>
      <c r="W208" s="8">
        <v>-2.02</v>
      </c>
      <c r="X208" s="5">
        <f t="shared" si="59"/>
        <v>1.32</v>
      </c>
      <c r="Y208" s="23">
        <f t="shared" si="60"/>
        <v>0.22041818181818179</v>
      </c>
      <c r="Z208" s="23">
        <f t="shared" si="62"/>
        <v>1432.7181818181816</v>
      </c>
      <c r="AA208" s="11">
        <f t="shared" si="63"/>
        <v>3.3986300921924451</v>
      </c>
      <c r="AB208" s="11">
        <f t="shared" si="64"/>
        <v>22091.095599250893</v>
      </c>
    </row>
    <row r="209" spans="1:28" ht="17.25" customHeight="1" x14ac:dyDescent="0.2">
      <c r="A209" t="s">
        <v>8</v>
      </c>
      <c r="B209" s="20">
        <v>1521</v>
      </c>
      <c r="C209" s="20">
        <v>157</v>
      </c>
      <c r="D209" s="20">
        <v>68</v>
      </c>
      <c r="E209" t="s">
        <v>77</v>
      </c>
      <c r="F209" s="26">
        <v>45148</v>
      </c>
      <c r="G209" t="s">
        <v>76</v>
      </c>
      <c r="H209" s="5">
        <v>23.09</v>
      </c>
      <c r="I209" s="5">
        <v>41.94</v>
      </c>
      <c r="J209" s="5">
        <v>38.68</v>
      </c>
      <c r="K209" s="5">
        <v>4.99</v>
      </c>
      <c r="L209" s="5">
        <v>0.1</v>
      </c>
      <c r="M209" s="3">
        <f t="shared" si="61"/>
        <v>100</v>
      </c>
      <c r="N209" s="5">
        <v>4.83</v>
      </c>
      <c r="O209" s="23">
        <f t="shared" si="54"/>
        <v>4.8300000000000001E-3</v>
      </c>
      <c r="P209" s="23">
        <f t="shared" si="55"/>
        <v>8.6940000000000003E-2</v>
      </c>
      <c r="Q209" s="7">
        <f t="shared" si="56"/>
        <v>8.6940000000000004E-5</v>
      </c>
      <c r="R209" s="23">
        <f t="shared" si="57"/>
        <v>0.31298400000000004</v>
      </c>
      <c r="S209" s="5">
        <v>2.9</v>
      </c>
      <c r="T209" s="5">
        <v>0.85</v>
      </c>
      <c r="U209" s="3">
        <f t="shared" si="58"/>
        <v>8500</v>
      </c>
      <c r="V209" s="8">
        <v>-0.66</v>
      </c>
      <c r="W209" s="8">
        <v>-2.2000000000000002</v>
      </c>
      <c r="X209" s="5">
        <f t="shared" si="59"/>
        <v>1.54</v>
      </c>
      <c r="Y209" s="23">
        <f t="shared" si="60"/>
        <v>0.20323636363636366</v>
      </c>
      <c r="Z209" s="23">
        <f t="shared" si="62"/>
        <v>1727.5090909090911</v>
      </c>
      <c r="AA209" s="11">
        <f t="shared" si="63"/>
        <v>3.1337034703066204</v>
      </c>
      <c r="AB209" s="11">
        <f t="shared" si="64"/>
        <v>26636.479497606273</v>
      </c>
    </row>
    <row r="210" spans="1:28" ht="17.25" customHeight="1" x14ac:dyDescent="0.2">
      <c r="A210" t="s">
        <v>8</v>
      </c>
      <c r="B210" s="20">
        <v>1521</v>
      </c>
      <c r="C210" s="20">
        <v>157</v>
      </c>
      <c r="D210" s="20">
        <v>72</v>
      </c>
      <c r="E210" t="s">
        <v>77</v>
      </c>
      <c r="F210" s="26">
        <v>45147</v>
      </c>
      <c r="G210" t="s">
        <v>76</v>
      </c>
      <c r="H210" s="5">
        <v>20.079999999999998</v>
      </c>
      <c r="I210" s="5">
        <v>43.44</v>
      </c>
      <c r="J210" s="5">
        <v>39.17</v>
      </c>
      <c r="K210" s="5">
        <v>5.28</v>
      </c>
      <c r="L210" s="5">
        <v>0.11</v>
      </c>
      <c r="M210" s="3">
        <f t="shared" si="61"/>
        <v>110</v>
      </c>
      <c r="N210" s="5">
        <v>5.65</v>
      </c>
      <c r="O210" s="23">
        <f t="shared" si="54"/>
        <v>5.6500000000000005E-3</v>
      </c>
      <c r="P210" s="23">
        <f t="shared" si="55"/>
        <v>0.10170000000000001</v>
      </c>
      <c r="Q210" s="7">
        <f t="shared" si="56"/>
        <v>1.0170000000000002E-4</v>
      </c>
      <c r="R210" s="23">
        <f t="shared" si="57"/>
        <v>0.36612000000000006</v>
      </c>
      <c r="S210" s="5">
        <v>1.89</v>
      </c>
      <c r="T210" s="5">
        <v>1.52</v>
      </c>
      <c r="U210" s="3">
        <f t="shared" si="58"/>
        <v>15200</v>
      </c>
      <c r="V210" s="8">
        <v>-0.72</v>
      </c>
      <c r="W210" s="8">
        <v>-2.09</v>
      </c>
      <c r="X210" s="5">
        <f t="shared" si="59"/>
        <v>1.3699999999999999</v>
      </c>
      <c r="Y210" s="23">
        <f t="shared" si="60"/>
        <v>0.2672408759124088</v>
      </c>
      <c r="Z210" s="23">
        <f t="shared" si="62"/>
        <v>4062.061313868614</v>
      </c>
      <c r="AA210" s="11">
        <f t="shared" si="63"/>
        <v>4.1205896684556542</v>
      </c>
      <c r="AB210" s="11">
        <f t="shared" si="64"/>
        <v>62632.962960525947</v>
      </c>
    </row>
    <row r="211" spans="1:28" ht="17.25" customHeight="1" x14ac:dyDescent="0.2">
      <c r="A211" t="s">
        <v>8</v>
      </c>
      <c r="B211" s="20">
        <v>1521</v>
      </c>
      <c r="C211" s="20">
        <v>158</v>
      </c>
      <c r="D211" s="20">
        <v>70</v>
      </c>
      <c r="E211" t="s">
        <v>77</v>
      </c>
      <c r="F211" s="26">
        <v>45148</v>
      </c>
      <c r="G211" t="s">
        <v>76</v>
      </c>
      <c r="H211" s="5">
        <v>19.489999999999998</v>
      </c>
      <c r="I211" s="5">
        <v>43.09</v>
      </c>
      <c r="J211" s="5">
        <v>38.4</v>
      </c>
      <c r="K211" s="5">
        <v>5.08</v>
      </c>
      <c r="L211" s="5">
        <v>0.1</v>
      </c>
      <c r="M211" s="3">
        <f t="shared" si="61"/>
        <v>100</v>
      </c>
      <c r="N211" s="5">
        <v>4.5599999999999996</v>
      </c>
      <c r="O211" s="23">
        <f t="shared" si="54"/>
        <v>4.5599999999999998E-3</v>
      </c>
      <c r="P211" s="23">
        <f t="shared" si="55"/>
        <v>8.208E-2</v>
      </c>
      <c r="Q211" s="7">
        <f t="shared" si="56"/>
        <v>8.208E-5</v>
      </c>
      <c r="R211" s="23">
        <f t="shared" si="57"/>
        <v>0.29548799999999997</v>
      </c>
      <c r="S211" s="5">
        <v>1.25</v>
      </c>
      <c r="T211" s="5">
        <v>0.24</v>
      </c>
      <c r="U211" s="3">
        <f t="shared" si="58"/>
        <v>2400</v>
      </c>
      <c r="V211" s="8">
        <v>-0.44</v>
      </c>
      <c r="W211" s="8">
        <v>-1.95</v>
      </c>
      <c r="X211" s="5">
        <f t="shared" si="59"/>
        <v>1.51</v>
      </c>
      <c r="Y211" s="23">
        <f t="shared" si="60"/>
        <v>0.19568741721854302</v>
      </c>
      <c r="Z211" s="23">
        <f t="shared" si="62"/>
        <v>469.64980132450324</v>
      </c>
      <c r="AA211" s="11">
        <f t="shared" si="63"/>
        <v>3.0173061919681361</v>
      </c>
      <c r="AB211" s="11">
        <f t="shared" si="64"/>
        <v>7241.5348607235264</v>
      </c>
    </row>
    <row r="212" spans="1:28" ht="17.25" customHeight="1" x14ac:dyDescent="0.2">
      <c r="A212" t="s">
        <v>8</v>
      </c>
      <c r="B212" s="20">
        <v>1521</v>
      </c>
      <c r="C212" s="20">
        <v>158</v>
      </c>
      <c r="D212" s="20">
        <v>73</v>
      </c>
      <c r="E212" t="s">
        <v>77</v>
      </c>
      <c r="F212" s="26">
        <v>45148</v>
      </c>
      <c r="G212" t="s">
        <v>76</v>
      </c>
      <c r="H212" s="5">
        <v>19.41</v>
      </c>
      <c r="I212" s="5">
        <v>43.42</v>
      </c>
      <c r="J212" s="5">
        <v>38.619999999999997</v>
      </c>
      <c r="K212" s="5">
        <v>5.14</v>
      </c>
      <c r="L212" s="5">
        <v>0.11</v>
      </c>
      <c r="M212" s="3">
        <f t="shared" si="61"/>
        <v>110</v>
      </c>
      <c r="N212" s="5">
        <v>5.1100000000000003</v>
      </c>
      <c r="O212" s="23">
        <f t="shared" si="54"/>
        <v>5.11E-3</v>
      </c>
      <c r="P212" s="23">
        <f t="shared" si="55"/>
        <v>9.1980000000000006E-2</v>
      </c>
      <c r="Q212" s="7">
        <f t="shared" si="56"/>
        <v>9.198000000000001E-5</v>
      </c>
      <c r="R212" s="23">
        <f t="shared" si="57"/>
        <v>0.33112800000000003</v>
      </c>
      <c r="S212" s="5">
        <v>1.75</v>
      </c>
      <c r="T212" s="5">
        <v>0.39</v>
      </c>
      <c r="U212" s="3">
        <f t="shared" si="58"/>
        <v>3900</v>
      </c>
      <c r="V212" s="8">
        <v>-0.49</v>
      </c>
      <c r="W212" s="8">
        <v>-2.7</v>
      </c>
      <c r="X212" s="5">
        <f t="shared" si="59"/>
        <v>2.21</v>
      </c>
      <c r="Y212" s="23">
        <f t="shared" si="60"/>
        <v>0.1498316742081448</v>
      </c>
      <c r="Z212" s="23">
        <f t="shared" si="62"/>
        <v>584.34352941176473</v>
      </c>
      <c r="AA212" s="11">
        <f t="shared" si="63"/>
        <v>2.310256043883995</v>
      </c>
      <c r="AB212" s="11">
        <f t="shared" si="64"/>
        <v>9009.9985711475802</v>
      </c>
    </row>
    <row r="213" spans="1:28" ht="17.25" customHeight="1" x14ac:dyDescent="0.2">
      <c r="A213" t="s">
        <v>8</v>
      </c>
      <c r="B213" s="20">
        <v>1521</v>
      </c>
      <c r="C213" s="20">
        <v>158</v>
      </c>
      <c r="D213" s="20">
        <v>81</v>
      </c>
      <c r="E213" t="s">
        <v>77</v>
      </c>
      <c r="F213" s="26">
        <v>45148</v>
      </c>
      <c r="G213" t="s">
        <v>76</v>
      </c>
      <c r="H213" s="5">
        <v>19.510000000000002</v>
      </c>
      <c r="I213" s="5">
        <v>43.21</v>
      </c>
      <c r="J213" s="5">
        <v>38.82</v>
      </c>
      <c r="K213" s="5">
        <v>5.22</v>
      </c>
      <c r="L213" s="5">
        <v>0.11</v>
      </c>
      <c r="M213" s="3">
        <f t="shared" si="61"/>
        <v>110</v>
      </c>
      <c r="N213" s="5">
        <v>5.31</v>
      </c>
      <c r="O213" s="23">
        <f t="shared" si="54"/>
        <v>5.3099999999999996E-3</v>
      </c>
      <c r="P213" s="23">
        <f t="shared" si="55"/>
        <v>9.5579999999999998E-2</v>
      </c>
      <c r="Q213" s="7">
        <f t="shared" si="56"/>
        <v>9.5580000000000003E-5</v>
      </c>
      <c r="R213" s="23">
        <f t="shared" si="57"/>
        <v>0.344088</v>
      </c>
      <c r="S213" s="5">
        <v>0.53</v>
      </c>
      <c r="T213" s="5">
        <v>0.2</v>
      </c>
      <c r="U213" s="3">
        <f t="shared" si="58"/>
        <v>2000</v>
      </c>
      <c r="V213" s="8">
        <v>-0.83</v>
      </c>
      <c r="W213" s="8">
        <v>-1.97</v>
      </c>
      <c r="X213" s="5">
        <f t="shared" si="59"/>
        <v>1.1400000000000001</v>
      </c>
      <c r="Y213" s="23">
        <f t="shared" si="60"/>
        <v>0.3018315789473684</v>
      </c>
      <c r="Z213" s="23">
        <f t="shared" si="62"/>
        <v>603.66315789473674</v>
      </c>
      <c r="AA213" s="11">
        <f t="shared" si="63"/>
        <v>4.6539440554439269</v>
      </c>
      <c r="AB213" s="11">
        <f t="shared" si="64"/>
        <v>9307.8881108878541</v>
      </c>
    </row>
    <row r="214" spans="1:28" ht="17.25" customHeight="1" x14ac:dyDescent="0.2">
      <c r="A214" t="s">
        <v>9</v>
      </c>
      <c r="B214" s="20">
        <v>666</v>
      </c>
      <c r="C214" s="20">
        <v>101</v>
      </c>
      <c r="D214" s="20">
        <v>1</v>
      </c>
      <c r="E214" t="s">
        <v>77</v>
      </c>
      <c r="F214" s="26">
        <v>45147</v>
      </c>
      <c r="G214" t="s">
        <v>76</v>
      </c>
      <c r="H214" s="5">
        <v>18.57</v>
      </c>
      <c r="I214" s="5">
        <v>44.19</v>
      </c>
      <c r="J214" s="5">
        <v>37.979999999999997</v>
      </c>
      <c r="K214" s="5">
        <v>4.92</v>
      </c>
      <c r="L214" s="5">
        <v>0.26</v>
      </c>
      <c r="M214" s="3">
        <f t="shared" si="61"/>
        <v>260</v>
      </c>
      <c r="N214" s="5">
        <v>11.95</v>
      </c>
      <c r="O214" s="23">
        <f t="shared" si="54"/>
        <v>1.1949999999999999E-2</v>
      </c>
      <c r="P214" s="23">
        <f t="shared" si="55"/>
        <v>0.21509999999999999</v>
      </c>
      <c r="Q214" s="7">
        <f t="shared" si="56"/>
        <v>2.151E-4</v>
      </c>
      <c r="R214" s="23">
        <f t="shared" si="57"/>
        <v>0.77435999999999994</v>
      </c>
      <c r="S214" s="5">
        <v>5.47</v>
      </c>
      <c r="T214" s="5">
        <v>1.21</v>
      </c>
      <c r="U214" s="3">
        <f t="shared" si="58"/>
        <v>12100</v>
      </c>
      <c r="V214" s="8">
        <v>-0.41</v>
      </c>
      <c r="W214" s="8">
        <v>-1.98</v>
      </c>
      <c r="X214" s="5">
        <f t="shared" si="59"/>
        <v>1.57</v>
      </c>
      <c r="Y214" s="23">
        <f t="shared" si="60"/>
        <v>0.49322292993630568</v>
      </c>
      <c r="Z214" s="23">
        <f t="shared" si="62"/>
        <v>5967.9974522292987</v>
      </c>
      <c r="AA214" s="11">
        <f t="shared" si="63"/>
        <v>7.6050091603767234</v>
      </c>
      <c r="AB214" s="11">
        <f t="shared" si="64"/>
        <v>92020.610840558351</v>
      </c>
    </row>
    <row r="215" spans="1:28" ht="17.25" customHeight="1" x14ac:dyDescent="0.2">
      <c r="A215" t="s">
        <v>9</v>
      </c>
      <c r="B215" s="20">
        <v>666</v>
      </c>
      <c r="C215" s="20">
        <v>101</v>
      </c>
      <c r="D215" s="20">
        <v>2</v>
      </c>
      <c r="E215" t="s">
        <v>77</v>
      </c>
      <c r="F215" s="26">
        <v>45147</v>
      </c>
      <c r="G215" t="s">
        <v>76</v>
      </c>
      <c r="H215" s="5">
        <v>19.68</v>
      </c>
      <c r="I215" s="5">
        <v>44.1</v>
      </c>
      <c r="J215" s="5">
        <v>37.08</v>
      </c>
      <c r="K215" s="5">
        <v>4.51</v>
      </c>
      <c r="L215" s="5">
        <v>0.33</v>
      </c>
      <c r="M215" s="3">
        <f t="shared" si="61"/>
        <v>330</v>
      </c>
      <c r="N215" s="5">
        <v>14.05</v>
      </c>
      <c r="O215" s="23">
        <f t="shared" si="54"/>
        <v>1.405E-2</v>
      </c>
      <c r="P215" s="23">
        <f t="shared" si="55"/>
        <v>0.25290000000000001</v>
      </c>
      <c r="Q215" s="7">
        <f t="shared" si="56"/>
        <v>2.5290000000000002E-4</v>
      </c>
      <c r="R215" s="23">
        <f t="shared" si="57"/>
        <v>0.91044000000000003</v>
      </c>
      <c r="S215" s="5">
        <v>6.42</v>
      </c>
      <c r="T215" s="5">
        <v>1.41</v>
      </c>
      <c r="U215" s="3">
        <f t="shared" si="58"/>
        <v>14100</v>
      </c>
      <c r="V215" s="8">
        <v>-0.33</v>
      </c>
      <c r="W215" s="8">
        <v>-2.63</v>
      </c>
      <c r="X215" s="5">
        <f t="shared" si="59"/>
        <v>2.2999999999999998</v>
      </c>
      <c r="Y215" s="23">
        <f t="shared" si="60"/>
        <v>0.39584347826086963</v>
      </c>
      <c r="Z215" s="23">
        <f t="shared" si="62"/>
        <v>5581.3930434782615</v>
      </c>
      <c r="AA215" s="11">
        <f t="shared" si="63"/>
        <v>6.1035144465770417</v>
      </c>
      <c r="AB215" s="11">
        <f t="shared" si="64"/>
        <v>86059.553696736286</v>
      </c>
    </row>
    <row r="216" spans="1:28" ht="17.25" customHeight="1" x14ac:dyDescent="0.2">
      <c r="A216" t="s">
        <v>9</v>
      </c>
      <c r="B216" s="20">
        <v>666</v>
      </c>
      <c r="C216" s="20">
        <v>101</v>
      </c>
      <c r="D216" s="20">
        <v>3</v>
      </c>
      <c r="E216" t="s">
        <v>77</v>
      </c>
      <c r="F216" s="26">
        <v>45147</v>
      </c>
      <c r="G216" t="s">
        <v>76</v>
      </c>
      <c r="H216" s="5">
        <v>20.96</v>
      </c>
      <c r="I216" s="5">
        <v>43.06</v>
      </c>
      <c r="J216" s="5">
        <v>36.950000000000003</v>
      </c>
      <c r="K216" s="5">
        <v>4.4400000000000004</v>
      </c>
      <c r="L216" s="5">
        <v>0.25</v>
      </c>
      <c r="M216" s="3">
        <f t="shared" si="61"/>
        <v>250</v>
      </c>
      <c r="N216" s="5">
        <v>10.26</v>
      </c>
      <c r="O216" s="23">
        <f t="shared" si="54"/>
        <v>1.026E-2</v>
      </c>
      <c r="P216" s="23">
        <f t="shared" si="55"/>
        <v>0.18468000000000001</v>
      </c>
      <c r="Q216" s="7">
        <f t="shared" si="56"/>
        <v>1.8468E-4</v>
      </c>
      <c r="R216" s="23">
        <f t="shared" si="57"/>
        <v>0.66484799999999999</v>
      </c>
      <c r="S216" s="5">
        <v>5.07</v>
      </c>
      <c r="T216" s="5">
        <v>1.03</v>
      </c>
      <c r="U216" s="3">
        <f t="shared" si="58"/>
        <v>10300</v>
      </c>
      <c r="V216" s="8">
        <v>-0.54</v>
      </c>
      <c r="W216" s="8">
        <v>-2.2999999999999998</v>
      </c>
      <c r="X216" s="5">
        <f t="shared" si="59"/>
        <v>1.7599999999999998</v>
      </c>
      <c r="Y216" s="23">
        <f t="shared" si="60"/>
        <v>0.37775454545454551</v>
      </c>
      <c r="Z216" s="23">
        <f t="shared" si="62"/>
        <v>3890.8718181818185</v>
      </c>
      <c r="AA216" s="11">
        <f t="shared" si="63"/>
        <v>5.8246010154612193</v>
      </c>
      <c r="AB216" s="11">
        <f t="shared" si="64"/>
        <v>59993.390459250557</v>
      </c>
    </row>
    <row r="217" spans="1:28" ht="17.25" customHeight="1" x14ac:dyDescent="0.2">
      <c r="A217" t="s">
        <v>9</v>
      </c>
      <c r="B217" s="20">
        <v>666</v>
      </c>
      <c r="C217" s="20">
        <v>105</v>
      </c>
      <c r="D217" s="20">
        <v>7</v>
      </c>
      <c r="E217" t="s">
        <v>77</v>
      </c>
      <c r="F217" s="26">
        <v>45147</v>
      </c>
      <c r="G217" t="s">
        <v>76</v>
      </c>
      <c r="H217" s="5">
        <v>20.09</v>
      </c>
      <c r="I217" s="5">
        <v>43.71</v>
      </c>
      <c r="J217" s="5">
        <v>36.700000000000003</v>
      </c>
      <c r="K217" s="5">
        <v>4.37</v>
      </c>
      <c r="L217" s="5">
        <v>0.34</v>
      </c>
      <c r="M217" s="3">
        <f t="shared" si="61"/>
        <v>340</v>
      </c>
      <c r="N217" s="5">
        <v>14.04</v>
      </c>
      <c r="O217" s="23">
        <f t="shared" si="54"/>
        <v>1.4039999999999999E-2</v>
      </c>
      <c r="P217" s="23">
        <f t="shared" si="55"/>
        <v>0.25272</v>
      </c>
      <c r="Q217" s="7">
        <f t="shared" si="56"/>
        <v>2.5272000000000001E-4</v>
      </c>
      <c r="R217" s="23">
        <f t="shared" si="57"/>
        <v>0.90979200000000005</v>
      </c>
      <c r="S217" s="5">
        <v>3.34</v>
      </c>
      <c r="T217" s="5">
        <v>0.91</v>
      </c>
      <c r="U217" s="3">
        <f t="shared" si="58"/>
        <v>9100</v>
      </c>
      <c r="V217" s="8">
        <v>-1.19</v>
      </c>
      <c r="W217" s="8">
        <v>-2.2599999999999998</v>
      </c>
      <c r="X217" s="5">
        <f t="shared" si="59"/>
        <v>1.0699999999999998</v>
      </c>
      <c r="Y217" s="23">
        <f t="shared" si="60"/>
        <v>0.85027289719626187</v>
      </c>
      <c r="Z217" s="23">
        <f t="shared" si="62"/>
        <v>7737.4833644859827</v>
      </c>
      <c r="AA217" s="11">
        <f t="shared" si="63"/>
        <v>13.110366083005676</v>
      </c>
      <c r="AB217" s="11">
        <f t="shared" si="64"/>
        <v>119304.33135535165</v>
      </c>
    </row>
    <row r="218" spans="1:28" ht="17.25" customHeight="1" x14ac:dyDescent="0.2">
      <c r="A218" t="s">
        <v>9</v>
      </c>
      <c r="B218" s="20">
        <v>666</v>
      </c>
      <c r="C218" s="20">
        <v>105</v>
      </c>
      <c r="D218" s="20">
        <v>8</v>
      </c>
      <c r="E218" t="s">
        <v>77</v>
      </c>
      <c r="F218" s="26">
        <v>45147</v>
      </c>
      <c r="G218" t="s">
        <v>76</v>
      </c>
      <c r="H218" s="5">
        <v>20.66</v>
      </c>
      <c r="I218" s="5">
        <v>43.52</v>
      </c>
      <c r="J218" s="5">
        <v>36.630000000000003</v>
      </c>
      <c r="K218" s="5">
        <v>4.32</v>
      </c>
      <c r="L218" s="5">
        <v>0.35</v>
      </c>
      <c r="M218" s="3">
        <f t="shared" si="61"/>
        <v>350</v>
      </c>
      <c r="N218" s="5">
        <v>14.07</v>
      </c>
      <c r="O218" s="23">
        <f t="shared" si="54"/>
        <v>1.4070000000000001E-2</v>
      </c>
      <c r="P218" s="23">
        <f t="shared" si="55"/>
        <v>0.25326000000000004</v>
      </c>
      <c r="Q218" s="7">
        <f t="shared" si="56"/>
        <v>2.5326000000000005E-4</v>
      </c>
      <c r="R218" s="23">
        <f t="shared" si="57"/>
        <v>0.91173600000000021</v>
      </c>
      <c r="S218" s="5">
        <v>2.64</v>
      </c>
      <c r="T218" s="5">
        <v>0.69</v>
      </c>
      <c r="U218" s="5">
        <f t="shared" si="58"/>
        <v>6899.9999999999991</v>
      </c>
      <c r="V218" s="8">
        <v>-0.73</v>
      </c>
      <c r="W218" s="8">
        <v>-2.1800000000000002</v>
      </c>
      <c r="X218" s="5">
        <f t="shared" si="59"/>
        <v>1.4500000000000002</v>
      </c>
      <c r="Y218" s="23">
        <f t="shared" si="60"/>
        <v>0.62878344827586219</v>
      </c>
      <c r="Z218" s="23">
        <f t="shared" si="62"/>
        <v>4338.6057931034484</v>
      </c>
      <c r="AA218" s="11">
        <f t="shared" si="63"/>
        <v>9.6952181129306485</v>
      </c>
      <c r="AB218" s="11">
        <f t="shared" si="64"/>
        <v>66897.00497922147</v>
      </c>
    </row>
    <row r="219" spans="1:28" ht="17.25" customHeight="1" x14ac:dyDescent="0.2">
      <c r="A219" t="s">
        <v>9</v>
      </c>
      <c r="B219" s="20">
        <v>666</v>
      </c>
      <c r="C219" s="20">
        <v>105</v>
      </c>
      <c r="D219" s="20">
        <v>9</v>
      </c>
      <c r="E219" t="s">
        <v>77</v>
      </c>
      <c r="F219" s="26">
        <v>45148</v>
      </c>
      <c r="G219" t="s">
        <v>76</v>
      </c>
      <c r="H219" s="5">
        <v>23.44</v>
      </c>
      <c r="I219" s="5">
        <v>42.88</v>
      </c>
      <c r="J219" s="5">
        <v>37.97</v>
      </c>
      <c r="K219" s="5">
        <v>4.63</v>
      </c>
      <c r="L219" s="5">
        <v>0.18</v>
      </c>
      <c r="M219" s="3">
        <f t="shared" si="61"/>
        <v>180</v>
      </c>
      <c r="N219" s="5">
        <v>7.34</v>
      </c>
      <c r="O219" s="23">
        <f t="shared" si="54"/>
        <v>7.3400000000000002E-3</v>
      </c>
      <c r="P219" s="23">
        <f t="shared" si="55"/>
        <v>0.13212000000000002</v>
      </c>
      <c r="Q219" s="7">
        <f t="shared" si="56"/>
        <v>1.3212E-4</v>
      </c>
      <c r="R219" s="23">
        <f t="shared" si="57"/>
        <v>0.475632</v>
      </c>
      <c r="S219" s="5">
        <v>5.01</v>
      </c>
      <c r="T219" s="5">
        <v>1.0900000000000001</v>
      </c>
      <c r="U219" s="3">
        <f t="shared" si="58"/>
        <v>10900</v>
      </c>
      <c r="V219" s="8">
        <v>-0.92</v>
      </c>
      <c r="W219" s="8">
        <v>-2.63</v>
      </c>
      <c r="X219" s="5">
        <f t="shared" si="59"/>
        <v>1.71</v>
      </c>
      <c r="Y219" s="23">
        <f t="shared" si="60"/>
        <v>0.27814736842105264</v>
      </c>
      <c r="Z219" s="23">
        <f t="shared" si="62"/>
        <v>3031.806315789474</v>
      </c>
      <c r="AA219" s="11">
        <f t="shared" si="63"/>
        <v>4.2887569826689811</v>
      </c>
      <c r="AB219" s="11">
        <f t="shared" si="64"/>
        <v>46747.451111091897</v>
      </c>
    </row>
    <row r="220" spans="1:28" ht="17.25" customHeight="1" x14ac:dyDescent="0.2">
      <c r="A220" t="s">
        <v>9</v>
      </c>
      <c r="B220" s="20">
        <v>666</v>
      </c>
      <c r="C220" s="20">
        <v>118</v>
      </c>
      <c r="D220" s="20">
        <v>10</v>
      </c>
      <c r="E220" t="s">
        <v>77</v>
      </c>
      <c r="F220" s="26">
        <v>45148</v>
      </c>
      <c r="G220" t="s">
        <v>76</v>
      </c>
      <c r="H220" s="5">
        <v>19.98</v>
      </c>
      <c r="I220" s="5">
        <v>43.18</v>
      </c>
      <c r="J220" s="5">
        <v>36.549999999999997</v>
      </c>
      <c r="K220" s="5">
        <v>4.4000000000000004</v>
      </c>
      <c r="L220" s="5">
        <v>0.26</v>
      </c>
      <c r="M220" s="3">
        <f t="shared" si="61"/>
        <v>260</v>
      </c>
      <c r="N220" s="5">
        <v>10.35</v>
      </c>
      <c r="O220" s="23">
        <f t="shared" ref="O220:O243" si="65">N220/1000</f>
        <v>1.035E-2</v>
      </c>
      <c r="P220" s="23">
        <f t="shared" ref="P220:P243" si="66">O220*18</f>
        <v>0.18629999999999999</v>
      </c>
      <c r="Q220" s="7">
        <f t="shared" ref="Q220:Q243" si="67">P220/1000</f>
        <v>1.863E-4</v>
      </c>
      <c r="R220" s="23">
        <f t="shared" ref="R220:R243" si="68">Q220*3600</f>
        <v>0.67068000000000005</v>
      </c>
      <c r="S220" s="5">
        <v>3.56</v>
      </c>
      <c r="T220" s="5">
        <v>1</v>
      </c>
      <c r="U220" s="3">
        <f t="shared" ref="U220:U243" si="69">T220*10000</f>
        <v>10000</v>
      </c>
      <c r="V220" s="8">
        <v>-0.72</v>
      </c>
      <c r="W220" s="8">
        <v>-2.11</v>
      </c>
      <c r="X220" s="5">
        <f t="shared" ref="X220:X243" si="70">V220-W220</f>
        <v>1.39</v>
      </c>
      <c r="Y220" s="23">
        <f t="shared" ref="Y220:Y243" si="71">R220/X220</f>
        <v>0.48250359712230223</v>
      </c>
      <c r="Z220" s="23">
        <f t="shared" si="62"/>
        <v>4825.035971223022</v>
      </c>
      <c r="AA220" s="11">
        <f t="shared" si="63"/>
        <v>7.4397276633178766</v>
      </c>
      <c r="AB220" s="11">
        <f t="shared" si="64"/>
        <v>74397.276633178772</v>
      </c>
    </row>
    <row r="221" spans="1:28" ht="17.25" customHeight="1" x14ac:dyDescent="0.2">
      <c r="A221" t="s">
        <v>9</v>
      </c>
      <c r="B221" s="20">
        <v>666</v>
      </c>
      <c r="C221" s="20">
        <v>118</v>
      </c>
      <c r="D221" s="20">
        <v>11</v>
      </c>
      <c r="E221" t="s">
        <v>77</v>
      </c>
      <c r="F221" s="26">
        <v>45148</v>
      </c>
      <c r="G221" t="s">
        <v>76</v>
      </c>
      <c r="H221" s="5">
        <v>19.190000000000001</v>
      </c>
      <c r="I221" s="5">
        <v>43.15</v>
      </c>
      <c r="J221" s="5">
        <v>39.39</v>
      </c>
      <c r="K221" s="5">
        <v>5.47</v>
      </c>
      <c r="L221" s="5">
        <v>0.06</v>
      </c>
      <c r="M221" s="3">
        <f t="shared" si="61"/>
        <v>60</v>
      </c>
      <c r="N221" s="5">
        <v>3.27</v>
      </c>
      <c r="O221" s="23">
        <f t="shared" si="65"/>
        <v>3.2699999999999999E-3</v>
      </c>
      <c r="P221" s="23">
        <f t="shared" si="66"/>
        <v>5.8859999999999996E-2</v>
      </c>
      <c r="Q221" s="7">
        <f t="shared" si="67"/>
        <v>5.8859999999999995E-5</v>
      </c>
      <c r="R221" s="23">
        <f t="shared" si="68"/>
        <v>0.21189599999999997</v>
      </c>
      <c r="S221" s="5">
        <v>3.32</v>
      </c>
      <c r="T221" s="5">
        <v>0.91</v>
      </c>
      <c r="U221" s="3">
        <f t="shared" si="69"/>
        <v>9100</v>
      </c>
      <c r="V221" s="8">
        <v>-0.56999999999999995</v>
      </c>
      <c r="W221" s="8">
        <v>-1.72</v>
      </c>
      <c r="X221" s="5">
        <f t="shared" si="70"/>
        <v>1.1499999999999999</v>
      </c>
      <c r="Y221" s="23">
        <f t="shared" si="71"/>
        <v>0.18425739130434782</v>
      </c>
      <c r="Z221" s="23">
        <f t="shared" si="62"/>
        <v>1676.7422608695651</v>
      </c>
      <c r="AA221" s="11">
        <f t="shared" si="63"/>
        <v>2.8410665110757187</v>
      </c>
      <c r="AB221" s="11">
        <f t="shared" si="64"/>
        <v>25853.70525078904</v>
      </c>
    </row>
    <row r="222" spans="1:28" ht="17.25" customHeight="1" x14ac:dyDescent="0.2">
      <c r="A222" t="s">
        <v>9</v>
      </c>
      <c r="B222" s="20">
        <v>666</v>
      </c>
      <c r="C222" s="20">
        <v>118</v>
      </c>
      <c r="D222" s="20">
        <v>12</v>
      </c>
      <c r="E222" t="s">
        <v>77</v>
      </c>
      <c r="F222" s="26">
        <v>45147</v>
      </c>
      <c r="G222" t="s">
        <v>76</v>
      </c>
      <c r="H222" s="5">
        <v>19.89</v>
      </c>
      <c r="I222" s="5">
        <v>43.76</v>
      </c>
      <c r="J222" s="5">
        <v>38.659999999999997</v>
      </c>
      <c r="K222" s="5">
        <v>5.0999999999999996</v>
      </c>
      <c r="L222" s="5">
        <v>0.12</v>
      </c>
      <c r="M222" s="3">
        <f t="shared" si="61"/>
        <v>120</v>
      </c>
      <c r="N222" s="5">
        <v>5.81</v>
      </c>
      <c r="O222" s="23">
        <f t="shared" si="65"/>
        <v>5.8099999999999992E-3</v>
      </c>
      <c r="P222" s="23">
        <f t="shared" si="66"/>
        <v>0.10457999999999998</v>
      </c>
      <c r="Q222" s="7">
        <f t="shared" si="67"/>
        <v>1.0457999999999998E-4</v>
      </c>
      <c r="R222" s="23">
        <f t="shared" si="68"/>
        <v>0.37648799999999993</v>
      </c>
      <c r="S222" s="5">
        <v>1.61</v>
      </c>
      <c r="T222" s="5">
        <v>0.5</v>
      </c>
      <c r="U222" s="3">
        <f t="shared" si="69"/>
        <v>5000</v>
      </c>
      <c r="V222" s="8">
        <v>-0.28999999999999998</v>
      </c>
      <c r="W222" s="8">
        <v>-1.91</v>
      </c>
      <c r="X222" s="5">
        <f t="shared" si="70"/>
        <v>1.6199999999999999</v>
      </c>
      <c r="Y222" s="23">
        <f t="shared" si="71"/>
        <v>0.23239999999999997</v>
      </c>
      <c r="Z222" s="23">
        <f t="shared" si="62"/>
        <v>1161.9999999999998</v>
      </c>
      <c r="AA222" s="11">
        <f t="shared" si="63"/>
        <v>3.5833778634334603</v>
      </c>
      <c r="AB222" s="11">
        <f t="shared" si="64"/>
        <v>17916.889317167301</v>
      </c>
    </row>
    <row r="223" spans="1:28" ht="17.25" customHeight="1" x14ac:dyDescent="0.2">
      <c r="A223" t="s">
        <v>9</v>
      </c>
      <c r="B223" s="20">
        <v>666</v>
      </c>
      <c r="C223" s="20">
        <v>122</v>
      </c>
      <c r="D223" s="20">
        <v>16</v>
      </c>
      <c r="E223" t="s">
        <v>77</v>
      </c>
      <c r="F223" s="26">
        <v>45148</v>
      </c>
      <c r="G223" t="s">
        <v>76</v>
      </c>
      <c r="H223" s="5">
        <v>19.22</v>
      </c>
      <c r="I223" s="5">
        <v>43.32</v>
      </c>
      <c r="J223" s="5">
        <v>37.06</v>
      </c>
      <c r="K223" s="5">
        <v>4.6100000000000003</v>
      </c>
      <c r="L223" s="5">
        <v>0.2</v>
      </c>
      <c r="M223" s="3">
        <f t="shared" si="61"/>
        <v>200</v>
      </c>
      <c r="N223" s="5">
        <v>8.89</v>
      </c>
      <c r="O223" s="23">
        <f t="shared" si="65"/>
        <v>8.8900000000000003E-3</v>
      </c>
      <c r="P223" s="23">
        <f t="shared" si="66"/>
        <v>0.16002</v>
      </c>
      <c r="Q223" s="7">
        <f t="shared" si="67"/>
        <v>1.6002E-4</v>
      </c>
      <c r="R223" s="23">
        <f t="shared" si="68"/>
        <v>0.57607200000000003</v>
      </c>
      <c r="S223" s="5">
        <v>7.05</v>
      </c>
      <c r="T223" s="5">
        <v>2.21</v>
      </c>
      <c r="U223" s="3">
        <f t="shared" si="69"/>
        <v>22100</v>
      </c>
      <c r="V223" s="8">
        <v>-0.6</v>
      </c>
      <c r="W223" s="8">
        <v>-2.31</v>
      </c>
      <c r="X223" s="5">
        <f t="shared" si="70"/>
        <v>1.71</v>
      </c>
      <c r="Y223" s="23">
        <f t="shared" si="71"/>
        <v>0.33688421052631579</v>
      </c>
      <c r="Z223" s="23">
        <f t="shared" si="62"/>
        <v>7445.1410526315785</v>
      </c>
      <c r="AA223" s="11">
        <f t="shared" si="63"/>
        <v>5.1944209231508509</v>
      </c>
      <c r="AB223" s="11">
        <f t="shared" si="64"/>
        <v>114796.70240163381</v>
      </c>
    </row>
    <row r="224" spans="1:28" ht="17.25" customHeight="1" x14ac:dyDescent="0.2">
      <c r="A224" t="s">
        <v>9</v>
      </c>
      <c r="B224" s="20">
        <v>666</v>
      </c>
      <c r="C224" s="20">
        <v>122</v>
      </c>
      <c r="D224" s="20">
        <v>17</v>
      </c>
      <c r="E224" t="s">
        <v>77</v>
      </c>
      <c r="F224" s="26">
        <v>45148</v>
      </c>
      <c r="G224" t="s">
        <v>76</v>
      </c>
      <c r="H224" s="5">
        <v>18.82</v>
      </c>
      <c r="I224" s="5">
        <v>43.28</v>
      </c>
      <c r="J224" s="5">
        <v>38.409999999999997</v>
      </c>
      <c r="K224" s="5">
        <v>5.13</v>
      </c>
      <c r="L224" s="5">
        <v>0.14000000000000001</v>
      </c>
      <c r="M224" s="3">
        <f t="shared" si="61"/>
        <v>140</v>
      </c>
      <c r="N224" s="5">
        <v>6.73</v>
      </c>
      <c r="O224" s="23">
        <f t="shared" si="65"/>
        <v>6.7300000000000007E-3</v>
      </c>
      <c r="P224" s="23">
        <f t="shared" si="66"/>
        <v>0.12114000000000001</v>
      </c>
      <c r="Q224" s="7">
        <f t="shared" si="67"/>
        <v>1.2114000000000001E-4</v>
      </c>
      <c r="R224" s="23">
        <f t="shared" si="68"/>
        <v>0.43610400000000005</v>
      </c>
      <c r="S224" s="5">
        <v>4.82</v>
      </c>
      <c r="T224" s="5">
        <v>1.19</v>
      </c>
      <c r="U224" s="3">
        <f t="shared" si="69"/>
        <v>11900</v>
      </c>
      <c r="V224" s="8">
        <v>-0.56000000000000005</v>
      </c>
      <c r="W224" s="8">
        <v>-2.2000000000000002</v>
      </c>
      <c r="X224" s="5">
        <f t="shared" si="70"/>
        <v>1.6400000000000001</v>
      </c>
      <c r="Y224" s="23">
        <f t="shared" si="71"/>
        <v>0.26591707317073171</v>
      </c>
      <c r="Z224" s="23">
        <f t="shared" si="62"/>
        <v>3164.4131707317074</v>
      </c>
      <c r="AA224" s="11">
        <f t="shared" si="63"/>
        <v>4.1001779410887087</v>
      </c>
      <c r="AB224" s="11">
        <f t="shared" si="64"/>
        <v>48792.117498955631</v>
      </c>
    </row>
    <row r="225" spans="1:28" ht="17.25" customHeight="1" x14ac:dyDescent="0.2">
      <c r="A225" t="s">
        <v>9</v>
      </c>
      <c r="B225" s="20">
        <v>666</v>
      </c>
      <c r="C225" s="20">
        <v>122</v>
      </c>
      <c r="D225" s="20">
        <v>18</v>
      </c>
      <c r="E225" t="s">
        <v>77</v>
      </c>
      <c r="F225" s="26">
        <v>45147</v>
      </c>
      <c r="G225" t="s">
        <v>76</v>
      </c>
      <c r="H225" s="5">
        <v>20.32</v>
      </c>
      <c r="I225" s="5">
        <v>44.06</v>
      </c>
      <c r="J225" s="5">
        <v>39.380000000000003</v>
      </c>
      <c r="K225" s="5">
        <v>5.29</v>
      </c>
      <c r="L225" s="5">
        <v>0.2</v>
      </c>
      <c r="M225" s="3">
        <f t="shared" si="61"/>
        <v>200</v>
      </c>
      <c r="N225" s="5">
        <v>9.7100000000000009</v>
      </c>
      <c r="O225" s="23">
        <f t="shared" si="65"/>
        <v>9.7100000000000016E-3</v>
      </c>
      <c r="P225" s="23">
        <f t="shared" si="66"/>
        <v>0.17478000000000002</v>
      </c>
      <c r="Q225" s="7">
        <f t="shared" si="67"/>
        <v>1.7478000000000003E-4</v>
      </c>
      <c r="R225" s="23">
        <f t="shared" si="68"/>
        <v>0.6292080000000001</v>
      </c>
      <c r="S225" s="5">
        <v>7.37</v>
      </c>
      <c r="T225" s="5">
        <v>1.96</v>
      </c>
      <c r="U225" s="3">
        <f t="shared" si="69"/>
        <v>19600</v>
      </c>
      <c r="V225" s="8">
        <v>-0.54</v>
      </c>
      <c r="W225" s="8">
        <v>-2.4700000000000002</v>
      </c>
      <c r="X225" s="5">
        <f t="shared" si="70"/>
        <v>1.9300000000000002</v>
      </c>
      <c r="Y225" s="23">
        <f t="shared" si="71"/>
        <v>0.32601450777202073</v>
      </c>
      <c r="Z225" s="23">
        <f t="shared" si="62"/>
        <v>6389.8843523316064</v>
      </c>
      <c r="AA225" s="11">
        <f t="shared" si="63"/>
        <v>5.0268208705181374</v>
      </c>
      <c r="AB225" s="11">
        <f t="shared" si="64"/>
        <v>98525.689062155492</v>
      </c>
    </row>
    <row r="226" spans="1:28" ht="17.25" customHeight="1" x14ac:dyDescent="0.2">
      <c r="A226" t="s">
        <v>9</v>
      </c>
      <c r="B226" s="20">
        <v>666</v>
      </c>
      <c r="C226" s="20">
        <v>123</v>
      </c>
      <c r="D226" s="20">
        <v>19</v>
      </c>
      <c r="E226" t="s">
        <v>77</v>
      </c>
      <c r="F226" s="26">
        <v>45147</v>
      </c>
      <c r="G226" t="s">
        <v>76</v>
      </c>
      <c r="H226" s="5">
        <v>23.22</v>
      </c>
      <c r="I226" s="5">
        <v>41.97</v>
      </c>
      <c r="J226" s="5">
        <v>36.76</v>
      </c>
      <c r="K226" s="5">
        <v>4.3</v>
      </c>
      <c r="L226" s="5">
        <v>0.3</v>
      </c>
      <c r="M226" s="3">
        <f t="shared" si="61"/>
        <v>300</v>
      </c>
      <c r="N226" s="3">
        <v>12</v>
      </c>
      <c r="O226" s="23">
        <f t="shared" si="65"/>
        <v>1.2E-2</v>
      </c>
      <c r="P226" s="23">
        <f t="shared" si="66"/>
        <v>0.216</v>
      </c>
      <c r="Q226" s="7">
        <f t="shared" si="67"/>
        <v>2.1599999999999999E-4</v>
      </c>
      <c r="R226" s="23">
        <f t="shared" si="68"/>
        <v>0.77759999999999996</v>
      </c>
      <c r="S226" s="5">
        <v>6.06</v>
      </c>
      <c r="T226" s="5">
        <v>1.55</v>
      </c>
      <c r="U226" s="3">
        <f t="shared" si="69"/>
        <v>15500</v>
      </c>
      <c r="V226" s="8">
        <v>-0.59</v>
      </c>
      <c r="W226" s="8">
        <v>-2.0299999999999998</v>
      </c>
      <c r="X226" s="5">
        <f t="shared" si="70"/>
        <v>1.44</v>
      </c>
      <c r="Y226" s="23">
        <f t="shared" si="71"/>
        <v>0.54</v>
      </c>
      <c r="Z226" s="23">
        <f t="shared" si="62"/>
        <v>8370</v>
      </c>
      <c r="AA226" s="11">
        <f t="shared" si="63"/>
        <v>8.3262652592687978</v>
      </c>
      <c r="AB226" s="11">
        <f t="shared" si="64"/>
        <v>129057.11151866637</v>
      </c>
    </row>
    <row r="227" spans="1:28" ht="17.25" customHeight="1" x14ac:dyDescent="0.2">
      <c r="A227" t="s">
        <v>9</v>
      </c>
      <c r="B227" s="20">
        <v>666</v>
      </c>
      <c r="C227" s="20">
        <v>123</v>
      </c>
      <c r="D227" s="20">
        <v>20</v>
      </c>
      <c r="E227" t="s">
        <v>77</v>
      </c>
      <c r="F227" s="26">
        <v>45147</v>
      </c>
      <c r="G227" t="s">
        <v>76</v>
      </c>
      <c r="H227" s="5">
        <v>21.37</v>
      </c>
      <c r="I227" s="5">
        <v>42.6</v>
      </c>
      <c r="J227" s="5">
        <v>37.53</v>
      </c>
      <c r="K227" s="5">
        <v>4.6500000000000004</v>
      </c>
      <c r="L227" s="5">
        <v>0.27</v>
      </c>
      <c r="M227" s="3">
        <f t="shared" si="61"/>
        <v>270</v>
      </c>
      <c r="N227" s="5">
        <v>11.71</v>
      </c>
      <c r="O227" s="23">
        <f t="shared" si="65"/>
        <v>1.1710000000000002E-2</v>
      </c>
      <c r="P227" s="23">
        <f t="shared" si="66"/>
        <v>0.21078000000000002</v>
      </c>
      <c r="Q227" s="7">
        <f t="shared" si="67"/>
        <v>2.1078000000000001E-4</v>
      </c>
      <c r="R227" s="23">
        <f t="shared" si="68"/>
        <v>0.75880800000000004</v>
      </c>
      <c r="S227" s="5">
        <v>5.82</v>
      </c>
      <c r="T227" s="5">
        <v>2.02</v>
      </c>
      <c r="U227" s="3">
        <f t="shared" si="69"/>
        <v>20200</v>
      </c>
      <c r="V227" s="8">
        <v>-0.68</v>
      </c>
      <c r="W227" s="8">
        <v>-2.0499999999999998</v>
      </c>
      <c r="X227" s="5">
        <f t="shared" si="70"/>
        <v>1.3699999999999997</v>
      </c>
      <c r="Y227" s="23">
        <f t="shared" si="71"/>
        <v>0.55387445255474466</v>
      </c>
      <c r="Z227" s="23">
        <f t="shared" si="62"/>
        <v>11188.263941605843</v>
      </c>
      <c r="AA227" s="11">
        <f t="shared" si="63"/>
        <v>8.5401955783390626</v>
      </c>
      <c r="AB227" s="11">
        <f t="shared" si="64"/>
        <v>172511.95068244907</v>
      </c>
    </row>
    <row r="228" spans="1:28" ht="17.25" customHeight="1" x14ac:dyDescent="0.2">
      <c r="A228" t="s">
        <v>9</v>
      </c>
      <c r="B228" s="20">
        <v>666</v>
      </c>
      <c r="C228" s="20">
        <v>123</v>
      </c>
      <c r="D228" s="20">
        <v>22</v>
      </c>
      <c r="E228" t="s">
        <v>77</v>
      </c>
      <c r="F228" s="26">
        <v>45147</v>
      </c>
      <c r="G228" t="s">
        <v>76</v>
      </c>
      <c r="H228" s="5">
        <v>18.920000000000002</v>
      </c>
      <c r="I228" s="5">
        <v>44.05</v>
      </c>
      <c r="J228" s="5">
        <v>38.18</v>
      </c>
      <c r="K228" s="5">
        <v>4.96</v>
      </c>
      <c r="L228" s="5">
        <v>0.27</v>
      </c>
      <c r="M228" s="3">
        <f t="shared" si="61"/>
        <v>270</v>
      </c>
      <c r="N228" s="5">
        <v>12.36</v>
      </c>
      <c r="O228" s="23">
        <f t="shared" si="65"/>
        <v>1.2359999999999999E-2</v>
      </c>
      <c r="P228" s="23">
        <f t="shared" si="66"/>
        <v>0.22247999999999998</v>
      </c>
      <c r="Q228" s="7">
        <f t="shared" si="67"/>
        <v>2.2247999999999997E-4</v>
      </c>
      <c r="R228" s="23">
        <f t="shared" si="68"/>
        <v>0.80092799999999986</v>
      </c>
      <c r="S228" s="5">
        <v>4.78</v>
      </c>
      <c r="T228" s="5">
        <v>1.58</v>
      </c>
      <c r="U228" s="3">
        <f t="shared" si="69"/>
        <v>15800</v>
      </c>
      <c r="V228" s="8">
        <v>-0.36</v>
      </c>
      <c r="W228" s="8">
        <v>-2.12</v>
      </c>
      <c r="X228" s="5">
        <f t="shared" si="70"/>
        <v>1.7600000000000002</v>
      </c>
      <c r="Y228" s="23">
        <f t="shared" si="71"/>
        <v>0.45507272727272713</v>
      </c>
      <c r="Z228" s="23">
        <f t="shared" si="62"/>
        <v>7190.149090909089</v>
      </c>
      <c r="AA228" s="11">
        <f t="shared" si="63"/>
        <v>7.0167708139474314</v>
      </c>
      <c r="AB228" s="11">
        <f t="shared" si="64"/>
        <v>110864.97886036942</v>
      </c>
    </row>
    <row r="229" spans="1:28" ht="17.25" customHeight="1" x14ac:dyDescent="0.2">
      <c r="A229" t="s">
        <v>10</v>
      </c>
      <c r="B229" s="20">
        <v>1212</v>
      </c>
      <c r="C229" s="20">
        <v>3</v>
      </c>
      <c r="D229" s="20">
        <v>29</v>
      </c>
      <c r="E229" t="s">
        <v>77</v>
      </c>
      <c r="F229" s="26">
        <v>45147</v>
      </c>
      <c r="G229" t="s">
        <v>76</v>
      </c>
      <c r="H229" s="5">
        <v>20.23</v>
      </c>
      <c r="I229" s="5">
        <v>43.27</v>
      </c>
      <c r="J229" s="5">
        <v>37.340000000000003</v>
      </c>
      <c r="K229" s="5">
        <v>4.62</v>
      </c>
      <c r="L229" s="5">
        <v>0.2</v>
      </c>
      <c r="M229" s="3">
        <f t="shared" si="61"/>
        <v>200</v>
      </c>
      <c r="N229" s="5">
        <v>8.91</v>
      </c>
      <c r="O229" s="23">
        <f t="shared" si="65"/>
        <v>8.9099999999999995E-3</v>
      </c>
      <c r="P229" s="23">
        <f t="shared" si="66"/>
        <v>0.16037999999999999</v>
      </c>
      <c r="Q229" s="7">
        <f t="shared" si="67"/>
        <v>1.6038000000000001E-4</v>
      </c>
      <c r="R229" s="23">
        <f t="shared" si="68"/>
        <v>0.57736799999999999</v>
      </c>
      <c r="S229" s="5">
        <v>8.68</v>
      </c>
      <c r="T229" s="5">
        <v>2.3199999999999998</v>
      </c>
      <c r="U229" s="3">
        <f t="shared" si="69"/>
        <v>23200</v>
      </c>
      <c r="V229" s="8">
        <v>-0.68</v>
      </c>
      <c r="W229" s="8">
        <v>-2.4700000000000002</v>
      </c>
      <c r="X229" s="5">
        <f t="shared" si="70"/>
        <v>1.79</v>
      </c>
      <c r="Y229" s="23">
        <f t="shared" si="71"/>
        <v>0.32255195530726255</v>
      </c>
      <c r="Z229" s="23">
        <f t="shared" si="62"/>
        <v>7483.2053631284907</v>
      </c>
      <c r="AA229" s="11">
        <f t="shared" si="63"/>
        <v>4.9734317403408941</v>
      </c>
      <c r="AB229" s="11">
        <f t="shared" si="64"/>
        <v>115383.61637590874</v>
      </c>
    </row>
    <row r="230" spans="1:28" ht="17.25" customHeight="1" x14ac:dyDescent="0.2">
      <c r="A230" t="s">
        <v>10</v>
      </c>
      <c r="B230" s="20">
        <v>1212</v>
      </c>
      <c r="C230" s="20">
        <v>3</v>
      </c>
      <c r="D230" s="20">
        <v>30</v>
      </c>
      <c r="E230" t="s">
        <v>77</v>
      </c>
      <c r="F230" s="26">
        <v>45147</v>
      </c>
      <c r="G230" t="s">
        <v>76</v>
      </c>
      <c r="H230" s="5">
        <v>18.63</v>
      </c>
      <c r="I230" s="5">
        <v>44.03</v>
      </c>
      <c r="J230" s="5">
        <v>38.4</v>
      </c>
      <c r="K230" s="5">
        <v>5.07</v>
      </c>
      <c r="L230" s="5">
        <v>0.18</v>
      </c>
      <c r="M230" s="3">
        <f t="shared" si="61"/>
        <v>180</v>
      </c>
      <c r="N230" s="5">
        <v>8.6999999999999993</v>
      </c>
      <c r="O230" s="23">
        <f t="shared" si="65"/>
        <v>8.6999999999999994E-3</v>
      </c>
      <c r="P230" s="23">
        <f t="shared" si="66"/>
        <v>0.15659999999999999</v>
      </c>
      <c r="Q230" s="7">
        <f t="shared" si="67"/>
        <v>1.5659999999999998E-4</v>
      </c>
      <c r="R230" s="23">
        <f t="shared" si="68"/>
        <v>0.56375999999999993</v>
      </c>
      <c r="S230" s="5">
        <v>7</v>
      </c>
      <c r="T230" s="5">
        <v>2.4300000000000002</v>
      </c>
      <c r="U230" s="3">
        <f t="shared" si="69"/>
        <v>24300</v>
      </c>
      <c r="V230" s="8">
        <v>-0.77</v>
      </c>
      <c r="W230" s="8">
        <v>-2.74</v>
      </c>
      <c r="X230" s="5">
        <f t="shared" si="70"/>
        <v>1.9700000000000002</v>
      </c>
      <c r="Y230" s="23">
        <f t="shared" si="71"/>
        <v>0.28617258883248725</v>
      </c>
      <c r="Z230" s="23">
        <f t="shared" si="62"/>
        <v>6953.9939086294398</v>
      </c>
      <c r="AA230" s="11">
        <f t="shared" si="63"/>
        <v>4.4124979343536159</v>
      </c>
      <c r="AB230" s="11">
        <f t="shared" si="64"/>
        <v>107223.69980479286</v>
      </c>
    </row>
    <row r="231" spans="1:28" ht="17.25" customHeight="1" x14ac:dyDescent="0.2">
      <c r="A231" t="s">
        <v>10</v>
      </c>
      <c r="B231" s="20">
        <v>1212</v>
      </c>
      <c r="C231" s="20">
        <v>3</v>
      </c>
      <c r="D231" s="20">
        <v>31</v>
      </c>
      <c r="E231" t="s">
        <v>77</v>
      </c>
      <c r="F231" s="26">
        <v>45148</v>
      </c>
      <c r="G231" t="s">
        <v>76</v>
      </c>
      <c r="H231" s="5">
        <v>21.34</v>
      </c>
      <c r="I231" s="5">
        <v>43.14</v>
      </c>
      <c r="J231" s="5">
        <v>38.71</v>
      </c>
      <c r="K231" s="5">
        <v>5.03</v>
      </c>
      <c r="L231" s="5">
        <v>0.18</v>
      </c>
      <c r="M231" s="3">
        <f t="shared" si="61"/>
        <v>180</v>
      </c>
      <c r="N231" s="5">
        <v>8.33</v>
      </c>
      <c r="O231" s="23">
        <f t="shared" si="65"/>
        <v>8.3300000000000006E-3</v>
      </c>
      <c r="P231" s="23">
        <f t="shared" si="66"/>
        <v>0.14994000000000002</v>
      </c>
      <c r="Q231" s="7">
        <f t="shared" si="67"/>
        <v>1.4994000000000002E-4</v>
      </c>
      <c r="R231" s="23">
        <f t="shared" si="68"/>
        <v>0.53978400000000004</v>
      </c>
      <c r="S231" s="5">
        <v>6.14</v>
      </c>
      <c r="T231" s="5">
        <v>1.8</v>
      </c>
      <c r="U231" s="3">
        <f t="shared" si="69"/>
        <v>18000</v>
      </c>
      <c r="V231" s="8">
        <v>-0.44</v>
      </c>
      <c r="W231" s="8">
        <v>-2.16</v>
      </c>
      <c r="X231" s="5">
        <f t="shared" si="70"/>
        <v>1.7200000000000002</v>
      </c>
      <c r="Y231" s="23">
        <f t="shared" si="71"/>
        <v>0.31382790697674418</v>
      </c>
      <c r="Z231" s="23">
        <f t="shared" si="62"/>
        <v>5648.9023255813954</v>
      </c>
      <c r="AA231" s="11">
        <f t="shared" si="63"/>
        <v>4.8389155541657498</v>
      </c>
      <c r="AB231" s="11">
        <f t="shared" si="64"/>
        <v>87100.479974983493</v>
      </c>
    </row>
    <row r="232" spans="1:28" ht="17.25" customHeight="1" x14ac:dyDescent="0.2">
      <c r="A232" t="s">
        <v>10</v>
      </c>
      <c r="B232" s="20">
        <v>1212</v>
      </c>
      <c r="C232" s="20">
        <v>4</v>
      </c>
      <c r="D232" s="20">
        <v>32</v>
      </c>
      <c r="E232" t="s">
        <v>77</v>
      </c>
      <c r="F232" s="26">
        <v>45147</v>
      </c>
      <c r="G232" t="s">
        <v>76</v>
      </c>
      <c r="H232" s="5">
        <v>20.29</v>
      </c>
      <c r="I232" s="5">
        <v>43.24</v>
      </c>
      <c r="J232" s="5">
        <v>37.630000000000003</v>
      </c>
      <c r="K232" s="5">
        <v>4.72</v>
      </c>
      <c r="L232" s="5">
        <v>0.17</v>
      </c>
      <c r="M232" s="3">
        <f t="shared" si="61"/>
        <v>170</v>
      </c>
      <c r="N232" s="5">
        <v>7.59</v>
      </c>
      <c r="O232" s="23">
        <f t="shared" si="65"/>
        <v>7.5899999999999995E-3</v>
      </c>
      <c r="P232" s="23">
        <f t="shared" si="66"/>
        <v>0.13661999999999999</v>
      </c>
      <c r="Q232" s="7">
        <f t="shared" si="67"/>
        <v>1.3662E-4</v>
      </c>
      <c r="R232" s="23">
        <f t="shared" si="68"/>
        <v>0.49183199999999999</v>
      </c>
      <c r="S232" s="5">
        <v>6.68</v>
      </c>
      <c r="T232" s="5">
        <v>1.44</v>
      </c>
      <c r="U232" s="3">
        <f t="shared" si="69"/>
        <v>14400</v>
      </c>
      <c r="V232" s="8">
        <v>-0.4</v>
      </c>
      <c r="W232" s="8">
        <v>-1.92</v>
      </c>
      <c r="X232" s="5">
        <f t="shared" si="70"/>
        <v>1.52</v>
      </c>
      <c r="Y232" s="23">
        <f t="shared" si="71"/>
        <v>0.32357368421052629</v>
      </c>
      <c r="Z232" s="23">
        <f t="shared" si="62"/>
        <v>4659.4610526315782</v>
      </c>
      <c r="AA232" s="11">
        <f t="shared" si="63"/>
        <v>4.9891857882513291</v>
      </c>
      <c r="AB232" s="11">
        <f t="shared" si="64"/>
        <v>71844.275350819138</v>
      </c>
    </row>
    <row r="233" spans="1:28" ht="17.25" customHeight="1" x14ac:dyDescent="0.2">
      <c r="A233" t="s">
        <v>10</v>
      </c>
      <c r="B233" s="20">
        <v>1212</v>
      </c>
      <c r="C233" s="20">
        <v>4</v>
      </c>
      <c r="D233" s="20">
        <v>33</v>
      </c>
      <c r="E233" t="s">
        <v>77</v>
      </c>
      <c r="F233" s="26">
        <v>45148</v>
      </c>
      <c r="G233" t="s">
        <v>76</v>
      </c>
      <c r="H233" s="5">
        <v>19.399999999999999</v>
      </c>
      <c r="I233" s="5">
        <v>43.23</v>
      </c>
      <c r="J233" s="5">
        <v>37.42</v>
      </c>
      <c r="K233" s="5">
        <v>4.7300000000000004</v>
      </c>
      <c r="L233" s="5">
        <v>0.21</v>
      </c>
      <c r="M233" s="3">
        <f t="shared" si="61"/>
        <v>210</v>
      </c>
      <c r="N233" s="5">
        <v>9.19</v>
      </c>
      <c r="O233" s="23">
        <f t="shared" si="65"/>
        <v>9.1900000000000003E-3</v>
      </c>
      <c r="P233" s="23">
        <f t="shared" si="66"/>
        <v>0.16542000000000001</v>
      </c>
      <c r="Q233" s="7">
        <f t="shared" si="67"/>
        <v>1.6542E-4</v>
      </c>
      <c r="R233" s="23">
        <f t="shared" si="68"/>
        <v>0.59551200000000004</v>
      </c>
      <c r="S233" s="5">
        <v>14.08</v>
      </c>
      <c r="T233" s="5">
        <v>4.13</v>
      </c>
      <c r="U233" s="3">
        <f t="shared" si="69"/>
        <v>41300</v>
      </c>
      <c r="V233" s="8">
        <v>-0.37</v>
      </c>
      <c r="W233" s="8">
        <v>-1.79</v>
      </c>
      <c r="X233" s="5">
        <f t="shared" si="70"/>
        <v>1.42</v>
      </c>
      <c r="Y233" s="23">
        <f t="shared" si="71"/>
        <v>0.41937464788732398</v>
      </c>
      <c r="Z233" s="23">
        <f t="shared" si="62"/>
        <v>17320.172957746479</v>
      </c>
      <c r="AA233" s="11">
        <f t="shared" si="63"/>
        <v>6.4663417802265011</v>
      </c>
      <c r="AB233" s="11">
        <f t="shared" si="64"/>
        <v>267059.91552335449</v>
      </c>
    </row>
    <row r="234" spans="1:28" ht="17.25" customHeight="1" x14ac:dyDescent="0.2">
      <c r="A234" t="s">
        <v>10</v>
      </c>
      <c r="B234" s="20">
        <v>1212</v>
      </c>
      <c r="C234" s="20">
        <v>4</v>
      </c>
      <c r="D234" s="20">
        <v>34</v>
      </c>
      <c r="E234" t="s">
        <v>77</v>
      </c>
      <c r="F234" s="26">
        <v>45147</v>
      </c>
      <c r="G234" t="s">
        <v>76</v>
      </c>
      <c r="H234" s="5">
        <v>18.670000000000002</v>
      </c>
      <c r="I234" s="5">
        <v>44.13</v>
      </c>
      <c r="J234" s="5">
        <v>37.450000000000003</v>
      </c>
      <c r="K234" s="5">
        <v>4.72</v>
      </c>
      <c r="L234" s="5">
        <v>0.23</v>
      </c>
      <c r="M234" s="3">
        <f t="shared" si="61"/>
        <v>230</v>
      </c>
      <c r="N234" s="5">
        <v>10.02</v>
      </c>
      <c r="O234" s="23">
        <f t="shared" si="65"/>
        <v>1.0019999999999999E-2</v>
      </c>
      <c r="P234" s="23">
        <f t="shared" si="66"/>
        <v>0.18035999999999999</v>
      </c>
      <c r="Q234" s="7">
        <f t="shared" si="67"/>
        <v>1.8035999999999999E-4</v>
      </c>
      <c r="R234" s="23">
        <f t="shared" si="68"/>
        <v>0.64929599999999998</v>
      </c>
      <c r="S234" s="5">
        <v>4.71</v>
      </c>
      <c r="T234" s="5">
        <v>1.38</v>
      </c>
      <c r="U234" s="5">
        <f t="shared" si="69"/>
        <v>13799.999999999998</v>
      </c>
      <c r="V234" s="8">
        <v>-0.74</v>
      </c>
      <c r="W234" s="8">
        <v>-2.59</v>
      </c>
      <c r="X234" s="5">
        <f t="shared" si="70"/>
        <v>1.8499999999999999</v>
      </c>
      <c r="Y234" s="23">
        <f t="shared" si="71"/>
        <v>0.35097081081081083</v>
      </c>
      <c r="Z234" s="23">
        <f t="shared" si="62"/>
        <v>4843.3971891891888</v>
      </c>
      <c r="AA234" s="11">
        <f t="shared" si="63"/>
        <v>5.4116223501323262</v>
      </c>
      <c r="AB234" s="11">
        <f t="shared" si="64"/>
        <v>74680.388431826097</v>
      </c>
    </row>
    <row r="235" spans="1:28" ht="17.25" customHeight="1" x14ac:dyDescent="0.2">
      <c r="A235" t="s">
        <v>10</v>
      </c>
      <c r="B235" s="20">
        <v>1212</v>
      </c>
      <c r="C235" s="20">
        <v>7</v>
      </c>
      <c r="D235" s="20">
        <v>36</v>
      </c>
      <c r="E235" t="s">
        <v>77</v>
      </c>
      <c r="F235" s="26">
        <v>45147</v>
      </c>
      <c r="G235" t="s">
        <v>76</v>
      </c>
      <c r="H235" s="5">
        <v>18.88</v>
      </c>
      <c r="I235" s="5">
        <v>43.96</v>
      </c>
      <c r="J235" s="5">
        <v>40.15</v>
      </c>
      <c r="K235" s="5">
        <v>5.73</v>
      </c>
      <c r="L235" s="5">
        <v>0.11</v>
      </c>
      <c r="M235" s="3">
        <f t="shared" si="61"/>
        <v>110</v>
      </c>
      <c r="N235" s="5">
        <v>5.82</v>
      </c>
      <c r="O235" s="23">
        <f t="shared" si="65"/>
        <v>5.8200000000000005E-3</v>
      </c>
      <c r="P235" s="23">
        <f t="shared" si="66"/>
        <v>0.10476000000000001</v>
      </c>
      <c r="Q235" s="7">
        <f t="shared" si="67"/>
        <v>1.0476000000000001E-4</v>
      </c>
      <c r="R235" s="23">
        <f t="shared" si="68"/>
        <v>0.37713600000000003</v>
      </c>
      <c r="S235" s="5">
        <v>6.11</v>
      </c>
      <c r="T235" s="5">
        <v>0.97</v>
      </c>
      <c r="U235" s="3">
        <f t="shared" si="69"/>
        <v>9700</v>
      </c>
      <c r="V235" s="8">
        <v>-0.39</v>
      </c>
      <c r="W235" s="8">
        <v>-2.15</v>
      </c>
      <c r="X235" s="5">
        <f t="shared" si="70"/>
        <v>1.7599999999999998</v>
      </c>
      <c r="Y235" s="23">
        <f t="shared" si="71"/>
        <v>0.21428181818181821</v>
      </c>
      <c r="Z235" s="23">
        <f t="shared" si="62"/>
        <v>2078.5336363636366</v>
      </c>
      <c r="AA235" s="11">
        <f t="shared" si="63"/>
        <v>3.3040134415189373</v>
      </c>
      <c r="AB235" s="11">
        <f t="shared" si="64"/>
        <v>32048.930382733692</v>
      </c>
    </row>
    <row r="236" spans="1:28" ht="17.25" customHeight="1" x14ac:dyDescent="0.2">
      <c r="A236" t="s">
        <v>10</v>
      </c>
      <c r="B236" s="20">
        <v>1212</v>
      </c>
      <c r="C236" s="20">
        <v>7</v>
      </c>
      <c r="D236" s="20">
        <v>37</v>
      </c>
      <c r="E236" t="s">
        <v>77</v>
      </c>
      <c r="F236" s="26">
        <v>45147</v>
      </c>
      <c r="G236" t="s">
        <v>76</v>
      </c>
      <c r="H236" s="5">
        <v>18.86</v>
      </c>
      <c r="I236" s="5">
        <v>44.08</v>
      </c>
      <c r="J236" s="5">
        <v>39.49</v>
      </c>
      <c r="K236" s="5">
        <v>5.47</v>
      </c>
      <c r="L236" s="5">
        <v>0.13</v>
      </c>
      <c r="M236" s="3">
        <f t="shared" si="61"/>
        <v>130</v>
      </c>
      <c r="N236" s="5">
        <v>6.65</v>
      </c>
      <c r="O236" s="23">
        <f t="shared" si="65"/>
        <v>6.6500000000000005E-3</v>
      </c>
      <c r="P236" s="23">
        <f t="shared" si="66"/>
        <v>0.11970000000000001</v>
      </c>
      <c r="Q236" s="7">
        <f t="shared" si="67"/>
        <v>1.1970000000000001E-4</v>
      </c>
      <c r="R236" s="23">
        <f t="shared" si="68"/>
        <v>0.43092000000000003</v>
      </c>
      <c r="S236" s="5">
        <v>3.68</v>
      </c>
      <c r="T236" s="5">
        <v>0.9</v>
      </c>
      <c r="U236" s="3">
        <f t="shared" si="69"/>
        <v>9000</v>
      </c>
      <c r="V236" s="8">
        <v>-0.51</v>
      </c>
      <c r="W236" s="8">
        <v>-2.31</v>
      </c>
      <c r="X236" s="5">
        <f t="shared" si="70"/>
        <v>1.8</v>
      </c>
      <c r="Y236" s="23">
        <f t="shared" si="71"/>
        <v>0.2394</v>
      </c>
      <c r="Z236" s="23">
        <f t="shared" si="62"/>
        <v>2154.6</v>
      </c>
      <c r="AA236" s="11">
        <f t="shared" si="63"/>
        <v>3.6913109316091672</v>
      </c>
      <c r="AB236" s="11">
        <f t="shared" si="64"/>
        <v>33221.798384482507</v>
      </c>
    </row>
    <row r="237" spans="1:28" ht="17.25" customHeight="1" x14ac:dyDescent="0.2">
      <c r="A237" t="s">
        <v>10</v>
      </c>
      <c r="B237" s="20">
        <v>1212</v>
      </c>
      <c r="C237" s="20">
        <v>7</v>
      </c>
      <c r="D237" s="20">
        <v>83</v>
      </c>
      <c r="E237" t="s">
        <v>77</v>
      </c>
      <c r="F237" s="26">
        <v>45147</v>
      </c>
      <c r="G237" t="s">
        <v>76</v>
      </c>
      <c r="H237" s="5">
        <v>20.61</v>
      </c>
      <c r="I237" s="5">
        <v>43.73</v>
      </c>
      <c r="J237" s="5">
        <v>39.770000000000003</v>
      </c>
      <c r="K237" s="5">
        <v>5.45</v>
      </c>
      <c r="L237" s="5">
        <v>0.17</v>
      </c>
      <c r="M237" s="3">
        <f t="shared" si="61"/>
        <v>170</v>
      </c>
      <c r="N237" s="5">
        <v>8.57</v>
      </c>
      <c r="O237" s="23">
        <f t="shared" si="65"/>
        <v>8.5699999999999995E-3</v>
      </c>
      <c r="P237" s="23">
        <f t="shared" si="66"/>
        <v>0.15425999999999998</v>
      </c>
      <c r="Q237" s="7">
        <f t="shared" si="67"/>
        <v>1.5425999999999998E-4</v>
      </c>
      <c r="R237" s="23">
        <f t="shared" si="68"/>
        <v>0.55533599999999994</v>
      </c>
      <c r="S237" s="5">
        <v>7.91</v>
      </c>
      <c r="T237" s="5">
        <v>2.14</v>
      </c>
      <c r="U237" s="3">
        <f t="shared" si="69"/>
        <v>21400</v>
      </c>
      <c r="V237" s="8">
        <v>-0.43</v>
      </c>
      <c r="W237" s="8">
        <v>-2.98</v>
      </c>
      <c r="X237" s="5">
        <f t="shared" si="70"/>
        <v>2.5499999999999998</v>
      </c>
      <c r="Y237" s="23">
        <f t="shared" si="71"/>
        <v>0.21777882352941175</v>
      </c>
      <c r="Z237" s="23">
        <f t="shared" si="62"/>
        <v>4660.4668235294112</v>
      </c>
      <c r="AA237" s="11">
        <f t="shared" si="63"/>
        <v>3.3579338010321691</v>
      </c>
      <c r="AB237" s="11">
        <f t="shared" si="64"/>
        <v>71859.783342088413</v>
      </c>
    </row>
    <row r="238" spans="1:28" ht="17.25" customHeight="1" x14ac:dyDescent="0.2">
      <c r="A238" t="s">
        <v>10</v>
      </c>
      <c r="B238" s="20">
        <v>1212</v>
      </c>
      <c r="C238" s="20">
        <v>8</v>
      </c>
      <c r="D238" s="20">
        <v>38</v>
      </c>
      <c r="E238" t="s">
        <v>77</v>
      </c>
      <c r="F238" s="26">
        <v>45147</v>
      </c>
      <c r="G238" t="s">
        <v>76</v>
      </c>
      <c r="H238" s="5">
        <v>20.11</v>
      </c>
      <c r="I238" s="5">
        <v>43.55</v>
      </c>
      <c r="J238" s="5">
        <v>36.869999999999997</v>
      </c>
      <c r="K238" s="5">
        <v>4.4400000000000004</v>
      </c>
      <c r="L238" s="5">
        <v>0.33</v>
      </c>
      <c r="M238" s="3">
        <f t="shared" si="61"/>
        <v>330</v>
      </c>
      <c r="N238" s="5">
        <v>13.84</v>
      </c>
      <c r="O238" s="23">
        <f t="shared" si="65"/>
        <v>1.384E-2</v>
      </c>
      <c r="P238" s="23">
        <f t="shared" si="66"/>
        <v>0.24912000000000001</v>
      </c>
      <c r="Q238" s="7">
        <f t="shared" si="67"/>
        <v>2.4912000000000003E-4</v>
      </c>
      <c r="R238" s="23">
        <f t="shared" si="68"/>
        <v>0.89683200000000007</v>
      </c>
      <c r="S238" s="5">
        <v>13.38</v>
      </c>
      <c r="T238" s="5">
        <v>3.28</v>
      </c>
      <c r="U238" s="3">
        <f t="shared" si="69"/>
        <v>32800</v>
      </c>
      <c r="V238" s="8">
        <v>-0.57999999999999996</v>
      </c>
      <c r="W238" s="8">
        <v>-2.4700000000000002</v>
      </c>
      <c r="X238" s="5">
        <f t="shared" si="70"/>
        <v>1.8900000000000001</v>
      </c>
      <c r="Y238" s="23">
        <f t="shared" si="71"/>
        <v>0.47451428571428572</v>
      </c>
      <c r="Z238" s="23">
        <f t="shared" si="62"/>
        <v>15564.068571428572</v>
      </c>
      <c r="AA238" s="11">
        <f t="shared" si="63"/>
        <v>7.3165403929066777</v>
      </c>
      <c r="AB238" s="11">
        <f t="shared" si="64"/>
        <v>239982.52488733904</v>
      </c>
    </row>
    <row r="239" spans="1:28" ht="17.25" customHeight="1" x14ac:dyDescent="0.2">
      <c r="A239" t="s">
        <v>10</v>
      </c>
      <c r="B239" s="20">
        <v>1212</v>
      </c>
      <c r="C239" s="20">
        <v>8</v>
      </c>
      <c r="D239" s="20">
        <v>39</v>
      </c>
      <c r="E239" t="s">
        <v>77</v>
      </c>
      <c r="F239" s="26">
        <v>45148</v>
      </c>
      <c r="G239" t="s">
        <v>76</v>
      </c>
      <c r="H239" s="5">
        <v>19.850000000000001</v>
      </c>
      <c r="I239" s="5">
        <v>43.19</v>
      </c>
      <c r="J239" s="5">
        <v>35.75</v>
      </c>
      <c r="K239" s="5">
        <v>4.13</v>
      </c>
      <c r="L239" s="5">
        <v>0.24</v>
      </c>
      <c r="M239" s="3">
        <f t="shared" si="61"/>
        <v>240</v>
      </c>
      <c r="N239" s="5">
        <v>9.2899999999999991</v>
      </c>
      <c r="O239" s="23">
        <f t="shared" si="65"/>
        <v>9.2899999999999996E-3</v>
      </c>
      <c r="P239" s="23">
        <f t="shared" si="66"/>
        <v>0.16721999999999998</v>
      </c>
      <c r="Q239" s="7">
        <f t="shared" si="67"/>
        <v>1.6721999999999999E-4</v>
      </c>
      <c r="R239" s="23">
        <f t="shared" si="68"/>
        <v>0.60199199999999997</v>
      </c>
      <c r="S239" s="5">
        <v>3.71</v>
      </c>
      <c r="T239" s="5">
        <v>1.36</v>
      </c>
      <c r="U239" s="5">
        <f t="shared" si="69"/>
        <v>13600.000000000002</v>
      </c>
      <c r="V239" s="8">
        <v>-0.48</v>
      </c>
      <c r="W239" s="8">
        <v>-2.2799999999999998</v>
      </c>
      <c r="X239" s="5">
        <f t="shared" si="70"/>
        <v>1.7999999999999998</v>
      </c>
      <c r="Y239" s="23">
        <f t="shared" si="71"/>
        <v>0.33444000000000002</v>
      </c>
      <c r="Z239" s="23">
        <f t="shared" si="62"/>
        <v>4548.3840000000009</v>
      </c>
      <c r="AA239" s="11">
        <f t="shared" si="63"/>
        <v>5.1567336172404756</v>
      </c>
      <c r="AB239" s="11">
        <f t="shared" si="64"/>
        <v>70131.577194470476</v>
      </c>
    </row>
    <row r="240" spans="1:28" ht="17.25" customHeight="1" x14ac:dyDescent="0.2">
      <c r="A240" t="s">
        <v>10</v>
      </c>
      <c r="B240" s="20">
        <v>1212</v>
      </c>
      <c r="C240" s="20">
        <v>8</v>
      </c>
      <c r="D240" s="20">
        <v>40</v>
      </c>
      <c r="E240" t="s">
        <v>77</v>
      </c>
      <c r="F240" s="26">
        <v>45148</v>
      </c>
      <c r="G240" t="s">
        <v>76</v>
      </c>
      <c r="H240" s="3">
        <v>22</v>
      </c>
      <c r="I240" s="5">
        <v>43.02</v>
      </c>
      <c r="J240" s="5">
        <v>37.22</v>
      </c>
      <c r="K240" s="5">
        <v>4.45</v>
      </c>
      <c r="L240" s="5">
        <v>0.21</v>
      </c>
      <c r="M240" s="3">
        <f t="shared" si="61"/>
        <v>210</v>
      </c>
      <c r="N240" s="5">
        <v>8.8000000000000007</v>
      </c>
      <c r="O240" s="23">
        <f t="shared" si="65"/>
        <v>8.8000000000000005E-3</v>
      </c>
      <c r="P240" s="23">
        <f t="shared" si="66"/>
        <v>0.15840000000000001</v>
      </c>
      <c r="Q240" s="7">
        <f t="shared" si="67"/>
        <v>1.584E-4</v>
      </c>
      <c r="R240" s="23">
        <f t="shared" si="68"/>
        <v>0.57023999999999997</v>
      </c>
      <c r="S240" s="5">
        <v>4.62</v>
      </c>
      <c r="T240" s="5">
        <v>1.66</v>
      </c>
      <c r="U240" s="3">
        <f t="shared" si="69"/>
        <v>16600</v>
      </c>
      <c r="V240" s="8">
        <v>-0.6</v>
      </c>
      <c r="W240" s="8">
        <v>-3.11</v>
      </c>
      <c r="X240" s="5">
        <f t="shared" si="70"/>
        <v>2.5099999999999998</v>
      </c>
      <c r="Y240" s="23">
        <f t="shared" si="71"/>
        <v>0.22718725099601594</v>
      </c>
      <c r="Z240" s="23">
        <f t="shared" si="62"/>
        <v>3771.3083665338645</v>
      </c>
      <c r="AA240" s="11">
        <f t="shared" si="63"/>
        <v>3.5030024357720526</v>
      </c>
      <c r="AB240" s="11">
        <f t="shared" si="64"/>
        <v>58149.840433816076</v>
      </c>
    </row>
    <row r="241" spans="1:28" ht="17.25" customHeight="1" x14ac:dyDescent="0.2">
      <c r="A241" t="s">
        <v>10</v>
      </c>
      <c r="B241" s="20">
        <v>1212</v>
      </c>
      <c r="C241" s="20">
        <v>10</v>
      </c>
      <c r="D241" s="20">
        <v>21</v>
      </c>
      <c r="E241" t="s">
        <v>77</v>
      </c>
      <c r="F241" s="26">
        <v>45147</v>
      </c>
      <c r="G241" t="s">
        <v>76</v>
      </c>
      <c r="H241" s="5">
        <v>18.850000000000001</v>
      </c>
      <c r="I241" s="5">
        <v>44.05</v>
      </c>
      <c r="J241" s="5">
        <v>39.14</v>
      </c>
      <c r="K241" s="5">
        <v>5.33</v>
      </c>
      <c r="L241" s="5">
        <v>0.16</v>
      </c>
      <c r="M241" s="3">
        <f t="shared" si="61"/>
        <v>160</v>
      </c>
      <c r="N241" s="3">
        <v>8</v>
      </c>
      <c r="O241" s="23">
        <f t="shared" si="65"/>
        <v>8.0000000000000002E-3</v>
      </c>
      <c r="P241" s="23">
        <f t="shared" si="66"/>
        <v>0.14400000000000002</v>
      </c>
      <c r="Q241" s="7">
        <f t="shared" si="67"/>
        <v>1.44E-4</v>
      </c>
      <c r="R241" s="23">
        <f t="shared" si="68"/>
        <v>0.51839999999999997</v>
      </c>
      <c r="S241" s="5">
        <v>4.78</v>
      </c>
      <c r="T241" s="5">
        <v>1.38</v>
      </c>
      <c r="U241" s="5">
        <f t="shared" si="69"/>
        <v>13799.999999999998</v>
      </c>
      <c r="V241" s="8">
        <v>-0.44</v>
      </c>
      <c r="W241" s="8">
        <v>-2.76</v>
      </c>
      <c r="X241" s="5">
        <f t="shared" si="70"/>
        <v>2.3199999999999998</v>
      </c>
      <c r="Y241" s="23">
        <f t="shared" si="71"/>
        <v>0.22344827586206897</v>
      </c>
      <c r="Z241" s="23">
        <f t="shared" si="62"/>
        <v>3083.5862068965516</v>
      </c>
      <c r="AA241" s="11">
        <f t="shared" si="63"/>
        <v>3.4453511417663996</v>
      </c>
      <c r="AB241" s="11">
        <f t="shared" si="64"/>
        <v>47545.845756376308</v>
      </c>
    </row>
    <row r="242" spans="1:28" ht="17.25" customHeight="1" x14ac:dyDescent="0.2">
      <c r="A242" t="s">
        <v>10</v>
      </c>
      <c r="B242" s="20">
        <v>1212</v>
      </c>
      <c r="C242" s="20">
        <v>10</v>
      </c>
      <c r="D242" s="20">
        <v>41</v>
      </c>
      <c r="E242" t="s">
        <v>77</v>
      </c>
      <c r="F242" s="26">
        <v>45148</v>
      </c>
      <c r="G242" t="s">
        <v>76</v>
      </c>
      <c r="H242" s="3">
        <v>20</v>
      </c>
      <c r="I242" s="5">
        <v>43.14</v>
      </c>
      <c r="J242" s="5">
        <v>36.630000000000003</v>
      </c>
      <c r="K242" s="5">
        <v>4.41</v>
      </c>
      <c r="L242" s="5">
        <v>0.18</v>
      </c>
      <c r="M242" s="3">
        <f t="shared" si="61"/>
        <v>180</v>
      </c>
      <c r="N242" s="5">
        <v>7.46</v>
      </c>
      <c r="O242" s="23">
        <f t="shared" si="65"/>
        <v>7.4599999999999996E-3</v>
      </c>
      <c r="P242" s="23">
        <f t="shared" si="66"/>
        <v>0.13427999999999998</v>
      </c>
      <c r="Q242" s="7">
        <f t="shared" si="67"/>
        <v>1.3428E-4</v>
      </c>
      <c r="R242" s="23">
        <f t="shared" si="68"/>
        <v>0.483408</v>
      </c>
      <c r="S242" s="5">
        <v>15.53</v>
      </c>
      <c r="T242" s="5">
        <v>3.35</v>
      </c>
      <c r="U242" s="3">
        <f t="shared" si="69"/>
        <v>33500</v>
      </c>
      <c r="V242" s="8">
        <v>-0.65</v>
      </c>
      <c r="W242" s="8">
        <v>-2.09</v>
      </c>
      <c r="X242" s="5">
        <f t="shared" si="70"/>
        <v>1.44</v>
      </c>
      <c r="Y242" s="23">
        <f t="shared" si="71"/>
        <v>0.3357</v>
      </c>
      <c r="Z242" s="23">
        <f t="shared" si="62"/>
        <v>11245.95</v>
      </c>
      <c r="AA242" s="11">
        <f t="shared" si="63"/>
        <v>5.1761615695121028</v>
      </c>
      <c r="AB242" s="11">
        <f t="shared" si="64"/>
        <v>173401.41257865544</v>
      </c>
    </row>
    <row r="243" spans="1:28" ht="17.25" customHeight="1" x14ac:dyDescent="0.2">
      <c r="A243" t="s">
        <v>10</v>
      </c>
      <c r="B243" s="20">
        <v>1212</v>
      </c>
      <c r="C243" s="20">
        <v>10</v>
      </c>
      <c r="D243" s="20">
        <v>42</v>
      </c>
      <c r="E243" t="s">
        <v>77</v>
      </c>
      <c r="F243" s="26">
        <v>45148</v>
      </c>
      <c r="G243" t="s">
        <v>76</v>
      </c>
      <c r="H243" s="5">
        <v>19.53</v>
      </c>
      <c r="I243" s="5">
        <v>43.13</v>
      </c>
      <c r="J243" s="5">
        <v>36.380000000000003</v>
      </c>
      <c r="K243" s="5">
        <v>4.37</v>
      </c>
      <c r="L243" s="5">
        <v>0.24</v>
      </c>
      <c r="M243" s="3">
        <f t="shared" si="61"/>
        <v>240</v>
      </c>
      <c r="N243" s="5">
        <v>9.94</v>
      </c>
      <c r="O243" s="23">
        <f t="shared" si="65"/>
        <v>9.9399999999999992E-3</v>
      </c>
      <c r="P243" s="23">
        <f t="shared" si="66"/>
        <v>0.17892</v>
      </c>
      <c r="Q243" s="7">
        <f t="shared" si="67"/>
        <v>1.7892E-4</v>
      </c>
      <c r="R243" s="23">
        <f t="shared" si="68"/>
        <v>0.64411200000000002</v>
      </c>
      <c r="S243" s="5">
        <v>14.52</v>
      </c>
      <c r="T243" s="5">
        <v>3.06</v>
      </c>
      <c r="U243" s="3">
        <f t="shared" si="69"/>
        <v>30600</v>
      </c>
      <c r="V243" s="8">
        <v>-0.51</v>
      </c>
      <c r="W243" s="8">
        <v>-2.25</v>
      </c>
      <c r="X243" s="5">
        <f t="shared" si="70"/>
        <v>1.74</v>
      </c>
      <c r="Y243" s="23">
        <f t="shared" si="71"/>
        <v>0.37017931034482759</v>
      </c>
      <c r="Z243" s="23">
        <f t="shared" si="62"/>
        <v>11327.486896551725</v>
      </c>
      <c r="AA243" s="11">
        <f t="shared" si="63"/>
        <v>5.7077983915263353</v>
      </c>
      <c r="AB243" s="11">
        <f t="shared" si="64"/>
        <v>174658.63078070586</v>
      </c>
    </row>
    <row r="244" spans="1:28" ht="17.25" customHeight="1" x14ac:dyDescent="0.2">
      <c r="F244" s="26"/>
      <c r="M244" s="3">
        <f t="shared" si="61"/>
        <v>0</v>
      </c>
      <c r="O244" s="23"/>
      <c r="P244" s="23"/>
      <c r="Q244" s="7"/>
      <c r="R244" s="23"/>
      <c r="W244" s="8"/>
      <c r="Y244" s="23"/>
      <c r="Z244" s="23">
        <f t="shared" si="62"/>
        <v>0</v>
      </c>
      <c r="AA244" s="20">
        <f t="shared" si="63"/>
        <v>0</v>
      </c>
      <c r="AB244" s="20">
        <f t="shared" si="64"/>
        <v>0</v>
      </c>
    </row>
    <row r="245" spans="1:28" ht="17.25" customHeight="1" x14ac:dyDescent="0.2">
      <c r="A245" t="s">
        <v>7</v>
      </c>
      <c r="B245" s="20">
        <v>72</v>
      </c>
      <c r="C245" s="20">
        <v>156</v>
      </c>
      <c r="D245" s="20">
        <v>43</v>
      </c>
      <c r="E245" t="s">
        <v>75</v>
      </c>
      <c r="F245" s="26">
        <v>45155</v>
      </c>
      <c r="G245" t="s">
        <v>76</v>
      </c>
      <c r="H245" s="5">
        <v>33.15</v>
      </c>
      <c r="I245" s="5">
        <v>35.950000000000003</v>
      </c>
      <c r="J245" s="5">
        <v>32.65</v>
      </c>
      <c r="K245" s="5">
        <v>2.98</v>
      </c>
      <c r="L245" s="5">
        <v>0.26</v>
      </c>
      <c r="M245" s="3">
        <f t="shared" si="61"/>
        <v>260</v>
      </c>
      <c r="N245" s="5">
        <v>7.41</v>
      </c>
      <c r="O245" s="23">
        <f t="shared" ref="O245:O276" si="72">N245/1000</f>
        <v>7.4099999999999999E-3</v>
      </c>
      <c r="P245" s="23">
        <f t="shared" ref="P245:P276" si="73">O245*18</f>
        <v>0.13338</v>
      </c>
      <c r="Q245" s="7">
        <f t="shared" ref="Q245:Q276" si="74">P245/1000</f>
        <v>1.3338E-4</v>
      </c>
      <c r="R245" s="23">
        <f t="shared" ref="R245:R276" si="75">Q245*3600</f>
        <v>0.48016799999999998</v>
      </c>
      <c r="S245" s="5">
        <v>18.53</v>
      </c>
      <c r="T245" s="5">
        <v>3.87</v>
      </c>
      <c r="U245" s="3">
        <f t="shared" ref="U245:U276" si="76">T245*10000</f>
        <v>38700</v>
      </c>
      <c r="V245" s="8">
        <v>-0.36</v>
      </c>
      <c r="W245" s="8">
        <v>-1.89</v>
      </c>
      <c r="X245" s="5">
        <f t="shared" ref="X245:X276" si="77">V245-W245</f>
        <v>1.5299999999999998</v>
      </c>
      <c r="Y245" s="23">
        <f t="shared" ref="Y245:Y276" si="78">R245/X245</f>
        <v>0.3138352941176471</v>
      </c>
      <c r="Z245" s="23">
        <f t="shared" si="62"/>
        <v>12145.425882352944</v>
      </c>
      <c r="AA245" s="11">
        <f t="shared" si="63"/>
        <v>4.8390294565632788</v>
      </c>
      <c r="AB245" s="11">
        <f t="shared" si="64"/>
        <v>187270.43996899889</v>
      </c>
    </row>
    <row r="246" spans="1:28" ht="17.25" customHeight="1" x14ac:dyDescent="0.2">
      <c r="A246" t="s">
        <v>7</v>
      </c>
      <c r="B246" s="20">
        <v>72</v>
      </c>
      <c r="C246" s="20">
        <v>156</v>
      </c>
      <c r="D246" s="20">
        <v>44</v>
      </c>
      <c r="E246" t="s">
        <v>75</v>
      </c>
      <c r="F246" s="26">
        <v>45154</v>
      </c>
      <c r="G246" t="s">
        <v>76</v>
      </c>
      <c r="H246" s="5">
        <v>32.33</v>
      </c>
      <c r="I246" s="5">
        <v>37.69</v>
      </c>
      <c r="J246" s="5">
        <v>32.869999999999997</v>
      </c>
      <c r="K246" s="5">
        <v>2.89</v>
      </c>
      <c r="L246" s="5">
        <v>0.39</v>
      </c>
      <c r="M246" s="3">
        <f t="shared" si="61"/>
        <v>390</v>
      </c>
      <c r="N246" s="5">
        <v>10.66</v>
      </c>
      <c r="O246" s="23">
        <f t="shared" si="72"/>
        <v>1.0659999999999999E-2</v>
      </c>
      <c r="P246" s="23">
        <f t="shared" si="73"/>
        <v>0.19188</v>
      </c>
      <c r="Q246" s="7">
        <f t="shared" si="74"/>
        <v>1.9187999999999999E-4</v>
      </c>
      <c r="R246" s="23">
        <f t="shared" si="75"/>
        <v>0.69076799999999994</v>
      </c>
      <c r="S246" s="5">
        <v>5.08</v>
      </c>
      <c r="T246" s="5">
        <v>1.59</v>
      </c>
      <c r="U246" s="3">
        <f t="shared" si="76"/>
        <v>15900</v>
      </c>
      <c r="V246" s="8">
        <v>-0.88</v>
      </c>
      <c r="W246" s="8">
        <v>-1.81</v>
      </c>
      <c r="X246" s="5">
        <f t="shared" si="77"/>
        <v>0.93</v>
      </c>
      <c r="Y246" s="23">
        <f t="shared" si="78"/>
        <v>0.74276129032258054</v>
      </c>
      <c r="Z246" s="23">
        <f t="shared" si="62"/>
        <v>11809.904516129031</v>
      </c>
      <c r="AA246" s="11">
        <f t="shared" si="63"/>
        <v>11.452643569523273</v>
      </c>
      <c r="AB246" s="11">
        <f t="shared" si="64"/>
        <v>182097.03275542005</v>
      </c>
    </row>
    <row r="247" spans="1:28" ht="17.25" customHeight="1" x14ac:dyDescent="0.2">
      <c r="A247" t="s">
        <v>7</v>
      </c>
      <c r="B247" s="20">
        <v>72</v>
      </c>
      <c r="C247" s="20">
        <v>156</v>
      </c>
      <c r="D247" s="20">
        <v>45</v>
      </c>
      <c r="E247" t="s">
        <v>75</v>
      </c>
      <c r="F247" s="26">
        <v>45155</v>
      </c>
      <c r="G247" t="s">
        <v>76</v>
      </c>
      <c r="H247" s="5">
        <v>30.24</v>
      </c>
      <c r="I247" s="5">
        <v>37.18</v>
      </c>
      <c r="J247" s="5">
        <v>32.67</v>
      </c>
      <c r="K247" s="5">
        <v>3.02</v>
      </c>
      <c r="L247" s="5">
        <v>0.28000000000000003</v>
      </c>
      <c r="M247" s="3">
        <f t="shared" si="61"/>
        <v>280</v>
      </c>
      <c r="N247" s="5">
        <v>8.07</v>
      </c>
      <c r="O247" s="23">
        <f t="shared" si="72"/>
        <v>8.0700000000000008E-3</v>
      </c>
      <c r="P247" s="23">
        <f t="shared" si="73"/>
        <v>0.14526</v>
      </c>
      <c r="Q247" s="7">
        <f t="shared" si="74"/>
        <v>1.4526E-4</v>
      </c>
      <c r="R247" s="23">
        <f t="shared" si="75"/>
        <v>0.52293599999999996</v>
      </c>
      <c r="S247" s="5">
        <v>13.38</v>
      </c>
      <c r="T247" s="5">
        <v>3.64</v>
      </c>
      <c r="U247" s="3">
        <f t="shared" si="76"/>
        <v>36400</v>
      </c>
      <c r="V247" s="8">
        <v>-0.83</v>
      </c>
      <c r="W247" s="8">
        <v>-2.33</v>
      </c>
      <c r="X247" s="5">
        <f t="shared" si="77"/>
        <v>1.5</v>
      </c>
      <c r="Y247" s="23">
        <f t="shared" si="78"/>
        <v>0.34862399999999999</v>
      </c>
      <c r="Z247" s="23">
        <f t="shared" si="62"/>
        <v>12689.9136</v>
      </c>
      <c r="AA247" s="11">
        <f t="shared" si="63"/>
        <v>5.3754368513839355</v>
      </c>
      <c r="AB247" s="11">
        <f t="shared" si="64"/>
        <v>195665.90139037525</v>
      </c>
    </row>
    <row r="248" spans="1:28" ht="17.25" customHeight="1" x14ac:dyDescent="0.2">
      <c r="A248" t="s">
        <v>7</v>
      </c>
      <c r="B248" s="20">
        <v>72</v>
      </c>
      <c r="C248" s="20">
        <v>149</v>
      </c>
      <c r="D248" s="20">
        <v>46</v>
      </c>
      <c r="E248" t="s">
        <v>75</v>
      </c>
      <c r="F248" s="26">
        <v>45155</v>
      </c>
      <c r="G248" t="s">
        <v>76</v>
      </c>
      <c r="H248" s="5">
        <v>33.26</v>
      </c>
      <c r="I248" s="5">
        <v>36.270000000000003</v>
      </c>
      <c r="J248" s="5">
        <v>32.39</v>
      </c>
      <c r="K248" s="5">
        <v>2.86</v>
      </c>
      <c r="L248" s="5">
        <v>0.38</v>
      </c>
      <c r="M248" s="3">
        <f t="shared" si="61"/>
        <v>380</v>
      </c>
      <c r="N248" s="5">
        <v>10.4</v>
      </c>
      <c r="O248" s="23">
        <f t="shared" si="72"/>
        <v>1.04E-2</v>
      </c>
      <c r="P248" s="23">
        <f t="shared" si="73"/>
        <v>0.18719999999999998</v>
      </c>
      <c r="Q248" s="7">
        <f t="shared" si="74"/>
        <v>1.8719999999999997E-4</v>
      </c>
      <c r="R248" s="23">
        <f t="shared" si="75"/>
        <v>0.67391999999999985</v>
      </c>
      <c r="S248" s="5">
        <v>10.99</v>
      </c>
      <c r="T248" s="5">
        <v>2.0499999999999998</v>
      </c>
      <c r="U248" s="3">
        <f t="shared" si="76"/>
        <v>20500</v>
      </c>
      <c r="V248" s="8">
        <v>-0.61</v>
      </c>
      <c r="W248" s="8">
        <v>-1.66</v>
      </c>
      <c r="X248" s="5">
        <f t="shared" si="77"/>
        <v>1.0499999999999998</v>
      </c>
      <c r="Y248" s="23">
        <f t="shared" si="78"/>
        <v>0.64182857142857141</v>
      </c>
      <c r="Z248" s="23">
        <f t="shared" si="62"/>
        <v>13157.485714285714</v>
      </c>
      <c r="AA248" s="11">
        <f t="shared" si="63"/>
        <v>9.8963609938737722</v>
      </c>
      <c r="AB248" s="11">
        <f t="shared" si="64"/>
        <v>202875.40037441233</v>
      </c>
    </row>
    <row r="249" spans="1:28" ht="17.25" customHeight="1" x14ac:dyDescent="0.2">
      <c r="A249" t="s">
        <v>7</v>
      </c>
      <c r="B249" s="20">
        <v>72</v>
      </c>
      <c r="C249" s="20">
        <v>149</v>
      </c>
      <c r="D249" s="20">
        <v>47</v>
      </c>
      <c r="E249" t="s">
        <v>75</v>
      </c>
      <c r="F249" s="26">
        <v>45154</v>
      </c>
      <c r="G249" t="s">
        <v>76</v>
      </c>
      <c r="H249" s="5">
        <v>47.13</v>
      </c>
      <c r="I249" s="5">
        <v>32.57</v>
      </c>
      <c r="J249" s="5">
        <v>29.99</v>
      </c>
      <c r="K249" s="5">
        <v>1.93</v>
      </c>
      <c r="L249" s="5">
        <v>0.38</v>
      </c>
      <c r="M249" s="3">
        <f t="shared" si="61"/>
        <v>380</v>
      </c>
      <c r="N249" s="3">
        <v>7</v>
      </c>
      <c r="O249" s="23">
        <f t="shared" si="72"/>
        <v>7.0000000000000001E-3</v>
      </c>
      <c r="P249" s="23">
        <f t="shared" si="73"/>
        <v>0.126</v>
      </c>
      <c r="Q249" s="7">
        <f t="shared" si="74"/>
        <v>1.26E-4</v>
      </c>
      <c r="R249" s="23">
        <f t="shared" si="75"/>
        <v>0.4536</v>
      </c>
      <c r="S249" s="5">
        <v>10.98</v>
      </c>
      <c r="T249" s="5">
        <v>2.5099999999999998</v>
      </c>
      <c r="U249" s="5">
        <f t="shared" si="76"/>
        <v>25099.999999999996</v>
      </c>
      <c r="V249" s="8">
        <v>-0.75</v>
      </c>
      <c r="W249" s="8">
        <v>-2.13</v>
      </c>
      <c r="X249" s="5">
        <f t="shared" si="77"/>
        <v>1.38</v>
      </c>
      <c r="Y249" s="23">
        <f t="shared" si="78"/>
        <v>0.32869565217391306</v>
      </c>
      <c r="Z249" s="23">
        <f t="shared" si="62"/>
        <v>8250.2608695652161</v>
      </c>
      <c r="AA249" s="11">
        <f t="shared" si="63"/>
        <v>5.0681614621636175</v>
      </c>
      <c r="AB249" s="11">
        <f t="shared" si="64"/>
        <v>127210.85270030679</v>
      </c>
    </row>
    <row r="250" spans="1:28" ht="17.25" customHeight="1" x14ac:dyDescent="0.2">
      <c r="A250" t="s">
        <v>7</v>
      </c>
      <c r="B250" s="20">
        <v>72</v>
      </c>
      <c r="C250" s="20">
        <v>149</v>
      </c>
      <c r="D250" s="20">
        <v>48</v>
      </c>
      <c r="E250" t="s">
        <v>75</v>
      </c>
      <c r="F250" s="26">
        <v>45154</v>
      </c>
      <c r="G250" t="s">
        <v>76</v>
      </c>
      <c r="H250" s="5">
        <v>40.590000000000003</v>
      </c>
      <c r="I250" s="5">
        <v>35.51</v>
      </c>
      <c r="J250" s="5">
        <v>32.54</v>
      </c>
      <c r="K250" s="5">
        <v>2.56</v>
      </c>
      <c r="L250" s="5">
        <v>0.37</v>
      </c>
      <c r="M250" s="3">
        <f t="shared" si="61"/>
        <v>370</v>
      </c>
      <c r="N250" s="5">
        <v>8.9499999999999993</v>
      </c>
      <c r="O250" s="23">
        <f t="shared" si="72"/>
        <v>8.9499999999999996E-3</v>
      </c>
      <c r="P250" s="23">
        <f t="shared" si="73"/>
        <v>0.16109999999999999</v>
      </c>
      <c r="Q250" s="7">
        <f t="shared" si="74"/>
        <v>1.6109999999999999E-4</v>
      </c>
      <c r="R250" s="23">
        <f t="shared" si="75"/>
        <v>0.57995999999999992</v>
      </c>
      <c r="S250" s="5">
        <v>17.25</v>
      </c>
      <c r="T250" s="5">
        <v>2.85</v>
      </c>
      <c r="U250" s="3">
        <f t="shared" si="76"/>
        <v>28500</v>
      </c>
      <c r="V250" s="8">
        <v>-0.81</v>
      </c>
      <c r="W250" s="8">
        <v>-2.1800000000000002</v>
      </c>
      <c r="X250" s="5">
        <f t="shared" si="77"/>
        <v>1.37</v>
      </c>
      <c r="Y250" s="23">
        <f t="shared" si="78"/>
        <v>0.42332846715328459</v>
      </c>
      <c r="Z250" s="23">
        <f t="shared" si="62"/>
        <v>12064.861313868611</v>
      </c>
      <c r="AA250" s="11">
        <f t="shared" si="63"/>
        <v>6.527305757996122</v>
      </c>
      <c r="AB250" s="11">
        <f t="shared" si="64"/>
        <v>186028.21410288947</v>
      </c>
    </row>
    <row r="251" spans="1:28" ht="17.25" customHeight="1" x14ac:dyDescent="0.2">
      <c r="A251" t="s">
        <v>7</v>
      </c>
      <c r="B251" s="20">
        <v>72</v>
      </c>
      <c r="C251" s="20">
        <v>152</v>
      </c>
      <c r="D251" s="20">
        <v>49</v>
      </c>
      <c r="E251" t="s">
        <v>75</v>
      </c>
      <c r="F251" s="26">
        <v>45155</v>
      </c>
      <c r="G251" t="s">
        <v>76</v>
      </c>
      <c r="H251" s="5">
        <v>36.22</v>
      </c>
      <c r="I251" s="5">
        <v>33.96</v>
      </c>
      <c r="J251" s="5">
        <v>29.92</v>
      </c>
      <c r="K251" s="5">
        <v>2.31</v>
      </c>
      <c r="L251" s="5">
        <v>0.34</v>
      </c>
      <c r="M251" s="3">
        <f t="shared" si="61"/>
        <v>340</v>
      </c>
      <c r="N251" s="5">
        <v>7.21</v>
      </c>
      <c r="O251" s="23">
        <f t="shared" si="72"/>
        <v>7.2100000000000003E-3</v>
      </c>
      <c r="P251" s="23">
        <f t="shared" si="73"/>
        <v>0.12978000000000001</v>
      </c>
      <c r="Q251" s="7">
        <f t="shared" si="74"/>
        <v>1.2977999999999999E-4</v>
      </c>
      <c r="R251" s="23">
        <f t="shared" si="75"/>
        <v>0.46720799999999996</v>
      </c>
      <c r="S251" s="5">
        <v>16.68</v>
      </c>
      <c r="T251" s="5">
        <v>2.78</v>
      </c>
      <c r="U251" s="5">
        <f t="shared" si="76"/>
        <v>27799.999999999996</v>
      </c>
      <c r="V251" s="8">
        <v>-0.78</v>
      </c>
      <c r="W251" s="8">
        <v>-1.66</v>
      </c>
      <c r="X251" s="5">
        <f t="shared" si="77"/>
        <v>0.87999999999999989</v>
      </c>
      <c r="Y251" s="23">
        <f t="shared" si="78"/>
        <v>0.53091818181818184</v>
      </c>
      <c r="Z251" s="23">
        <f t="shared" si="62"/>
        <v>14759.525454545454</v>
      </c>
      <c r="AA251" s="11">
        <f t="shared" si="63"/>
        <v>8.1862326162720063</v>
      </c>
      <c r="AB251" s="11">
        <f t="shared" si="64"/>
        <v>227577.26673236175</v>
      </c>
    </row>
    <row r="252" spans="1:28" ht="17.25" customHeight="1" x14ac:dyDescent="0.2">
      <c r="A252" t="s">
        <v>7</v>
      </c>
      <c r="B252" s="20">
        <v>72</v>
      </c>
      <c r="C252" s="20">
        <v>152</v>
      </c>
      <c r="D252" s="20">
        <v>50</v>
      </c>
      <c r="E252" t="s">
        <v>75</v>
      </c>
      <c r="F252" s="26">
        <v>45154</v>
      </c>
      <c r="G252" t="s">
        <v>76</v>
      </c>
      <c r="H252" s="5">
        <v>44.3</v>
      </c>
      <c r="I252" s="5">
        <v>34.53</v>
      </c>
      <c r="J252" s="5">
        <v>30.79</v>
      </c>
      <c r="K252" s="5">
        <v>2.0099999999999998</v>
      </c>
      <c r="L252" s="5">
        <v>0.24</v>
      </c>
      <c r="M252" s="3">
        <f t="shared" si="61"/>
        <v>240</v>
      </c>
      <c r="N252" s="5">
        <v>4.5</v>
      </c>
      <c r="O252" s="23">
        <f t="shared" si="72"/>
        <v>4.4999999999999997E-3</v>
      </c>
      <c r="P252" s="23">
        <f t="shared" si="73"/>
        <v>8.0999999999999989E-2</v>
      </c>
      <c r="Q252" s="7">
        <f t="shared" si="74"/>
        <v>8.099999999999999E-5</v>
      </c>
      <c r="R252" s="23">
        <f t="shared" si="75"/>
        <v>0.29159999999999997</v>
      </c>
      <c r="S252" s="5">
        <v>29.47</v>
      </c>
      <c r="T252" s="5">
        <v>3.96</v>
      </c>
      <c r="U252" s="3">
        <f t="shared" si="76"/>
        <v>39600</v>
      </c>
      <c r="V252" s="8">
        <v>-0.32</v>
      </c>
      <c r="W252" s="8">
        <v>-1.74</v>
      </c>
      <c r="X252" s="5">
        <f t="shared" si="77"/>
        <v>1.42</v>
      </c>
      <c r="Y252" s="23">
        <f t="shared" si="78"/>
        <v>0.20535211267605633</v>
      </c>
      <c r="Z252" s="23">
        <f t="shared" si="62"/>
        <v>8131.9436619718308</v>
      </c>
      <c r="AA252" s="11">
        <f t="shared" si="63"/>
        <v>3.16632622535574</v>
      </c>
      <c r="AB252" s="11">
        <f t="shared" si="64"/>
        <v>125386.51852408731</v>
      </c>
    </row>
    <row r="253" spans="1:28" ht="17.25" customHeight="1" x14ac:dyDescent="0.2">
      <c r="A253" t="s">
        <v>7</v>
      </c>
      <c r="B253" s="20">
        <v>72</v>
      </c>
      <c r="C253" s="20">
        <v>152</v>
      </c>
      <c r="D253" s="20">
        <v>51</v>
      </c>
      <c r="E253" t="s">
        <v>75</v>
      </c>
      <c r="F253" s="26">
        <v>45154</v>
      </c>
      <c r="G253" t="s">
        <v>76</v>
      </c>
      <c r="H253" s="5">
        <v>31.86</v>
      </c>
      <c r="I253" s="5">
        <v>37.85</v>
      </c>
      <c r="J253" s="5">
        <v>32.25</v>
      </c>
      <c r="K253" s="5">
        <v>2.73</v>
      </c>
      <c r="L253" s="5">
        <v>0.49</v>
      </c>
      <c r="M253" s="3">
        <f t="shared" si="61"/>
        <v>490</v>
      </c>
      <c r="N253" s="5">
        <v>12.81</v>
      </c>
      <c r="O253" s="23">
        <f t="shared" si="72"/>
        <v>1.281E-2</v>
      </c>
      <c r="P253" s="23">
        <f t="shared" si="73"/>
        <v>0.23058000000000001</v>
      </c>
      <c r="Q253" s="7">
        <f t="shared" si="74"/>
        <v>2.3058E-4</v>
      </c>
      <c r="R253" s="23">
        <f t="shared" si="75"/>
        <v>0.83008800000000005</v>
      </c>
      <c r="S253" s="5">
        <v>11.56</v>
      </c>
      <c r="T253" s="5">
        <v>1.91</v>
      </c>
      <c r="U253" s="3">
        <f t="shared" si="76"/>
        <v>19100</v>
      </c>
      <c r="V253" s="8">
        <v>-0.37</v>
      </c>
      <c r="W253" s="8">
        <v>-1.51</v>
      </c>
      <c r="X253" s="5">
        <f t="shared" si="77"/>
        <v>1.1400000000000001</v>
      </c>
      <c r="Y253" s="23">
        <f t="shared" si="78"/>
        <v>0.72814736842105254</v>
      </c>
      <c r="Z253" s="23">
        <f t="shared" si="62"/>
        <v>13907.614736842104</v>
      </c>
      <c r="AA253" s="11">
        <f t="shared" si="63"/>
        <v>11.22731136539298</v>
      </c>
      <c r="AB253" s="11">
        <f t="shared" si="64"/>
        <v>214441.64707900592</v>
      </c>
    </row>
    <row r="254" spans="1:28" ht="17.25" customHeight="1" x14ac:dyDescent="0.2">
      <c r="A254" t="s">
        <v>7</v>
      </c>
      <c r="B254" s="20">
        <v>72</v>
      </c>
      <c r="C254" s="20">
        <v>155</v>
      </c>
      <c r="D254" s="20">
        <v>58</v>
      </c>
      <c r="E254" t="s">
        <v>75</v>
      </c>
      <c r="F254" s="26">
        <v>45154</v>
      </c>
      <c r="G254" t="s">
        <v>76</v>
      </c>
      <c r="H254" s="5">
        <v>48.61</v>
      </c>
      <c r="I254" s="5">
        <v>32.26</v>
      </c>
      <c r="J254" s="5">
        <v>29.94</v>
      </c>
      <c r="K254" s="5">
        <v>1.88</v>
      </c>
      <c r="L254" s="5">
        <v>0.22</v>
      </c>
      <c r="M254" s="3">
        <f t="shared" si="61"/>
        <v>220</v>
      </c>
      <c r="N254" s="5">
        <v>3.89</v>
      </c>
      <c r="O254" s="23">
        <f t="shared" si="72"/>
        <v>3.8900000000000002E-3</v>
      </c>
      <c r="P254" s="23">
        <f t="shared" si="73"/>
        <v>7.0019999999999999E-2</v>
      </c>
      <c r="Q254" s="7">
        <f t="shared" si="74"/>
        <v>7.0019999999999997E-5</v>
      </c>
      <c r="R254" s="23">
        <f t="shared" si="75"/>
        <v>0.25207199999999996</v>
      </c>
      <c r="S254" s="5">
        <v>25.14</v>
      </c>
      <c r="T254" s="5">
        <v>4.53</v>
      </c>
      <c r="U254" s="3">
        <f t="shared" si="76"/>
        <v>45300</v>
      </c>
      <c r="V254" s="8">
        <v>-0.47</v>
      </c>
      <c r="W254" s="8">
        <v>-1.91</v>
      </c>
      <c r="X254" s="5">
        <f t="shared" si="77"/>
        <v>1.44</v>
      </c>
      <c r="Y254" s="23">
        <f t="shared" si="78"/>
        <v>0.17504999999999998</v>
      </c>
      <c r="Z254" s="23">
        <f t="shared" si="62"/>
        <v>7929.7649999999994</v>
      </c>
      <c r="AA254" s="11">
        <f t="shared" si="63"/>
        <v>2.699097654879635</v>
      </c>
      <c r="AB254" s="11">
        <f t="shared" si="64"/>
        <v>122269.12376604747</v>
      </c>
    </row>
    <row r="255" spans="1:28" ht="17.25" customHeight="1" x14ac:dyDescent="0.2">
      <c r="A255" t="s">
        <v>7</v>
      </c>
      <c r="B255" s="20">
        <v>72</v>
      </c>
      <c r="C255" s="20">
        <v>155</v>
      </c>
      <c r="D255" s="20">
        <v>59</v>
      </c>
      <c r="E255" t="s">
        <v>75</v>
      </c>
      <c r="F255" s="26">
        <v>45155</v>
      </c>
      <c r="G255" t="s">
        <v>76</v>
      </c>
      <c r="H255" s="5">
        <v>35.880000000000003</v>
      </c>
      <c r="I255" s="5">
        <v>34.46</v>
      </c>
      <c r="J255" s="5">
        <v>31.45</v>
      </c>
      <c r="K255" s="5">
        <v>2.65</v>
      </c>
      <c r="L255" s="5">
        <v>0.21</v>
      </c>
      <c r="M255" s="3">
        <f t="shared" si="61"/>
        <v>210</v>
      </c>
      <c r="N255" s="5">
        <v>5.3</v>
      </c>
      <c r="O255" s="23">
        <f t="shared" si="72"/>
        <v>5.3E-3</v>
      </c>
      <c r="P255" s="23">
        <f t="shared" si="73"/>
        <v>9.5399999999999999E-2</v>
      </c>
      <c r="Q255" s="7">
        <f t="shared" si="74"/>
        <v>9.5400000000000001E-5</v>
      </c>
      <c r="R255" s="23">
        <f t="shared" si="75"/>
        <v>0.34344000000000002</v>
      </c>
      <c r="S255" s="5">
        <v>16.940000000000001</v>
      </c>
      <c r="T255" s="5">
        <v>3.17</v>
      </c>
      <c r="U255" s="3">
        <f t="shared" si="76"/>
        <v>31700</v>
      </c>
      <c r="V255" s="8">
        <v>-0.54</v>
      </c>
      <c r="W255" s="8">
        <v>-1.73</v>
      </c>
      <c r="X255" s="5">
        <f t="shared" si="77"/>
        <v>1.19</v>
      </c>
      <c r="Y255" s="23">
        <f t="shared" si="78"/>
        <v>0.28860504201680676</v>
      </c>
      <c r="Z255" s="23">
        <f t="shared" si="62"/>
        <v>9148.779831932774</v>
      </c>
      <c r="AA255" s="11">
        <f t="shared" si="63"/>
        <v>4.4500039536932396</v>
      </c>
      <c r="AB255" s="11">
        <f t="shared" si="64"/>
        <v>141065.1253320757</v>
      </c>
    </row>
    <row r="256" spans="1:28" ht="17.25" customHeight="1" x14ac:dyDescent="0.2">
      <c r="A256" t="s">
        <v>7</v>
      </c>
      <c r="B256" s="20">
        <v>72</v>
      </c>
      <c r="C256" s="20">
        <v>155</v>
      </c>
      <c r="D256" s="20">
        <v>60</v>
      </c>
      <c r="E256" t="s">
        <v>75</v>
      </c>
      <c r="F256" s="26">
        <v>45154</v>
      </c>
      <c r="G256" t="s">
        <v>76</v>
      </c>
      <c r="H256" s="5">
        <v>48.17</v>
      </c>
      <c r="I256" s="5">
        <v>33.15</v>
      </c>
      <c r="J256" s="5">
        <v>30.83</v>
      </c>
      <c r="K256" s="5">
        <v>2.0099999999999998</v>
      </c>
      <c r="L256" s="5">
        <v>0.19</v>
      </c>
      <c r="M256" s="3">
        <f t="shared" si="61"/>
        <v>190</v>
      </c>
      <c r="N256" s="5">
        <v>3.62</v>
      </c>
      <c r="O256" s="23">
        <f t="shared" si="72"/>
        <v>3.62E-3</v>
      </c>
      <c r="P256" s="23">
        <f t="shared" si="73"/>
        <v>6.5159999999999996E-2</v>
      </c>
      <c r="Q256" s="7">
        <f t="shared" si="74"/>
        <v>6.5159999999999993E-5</v>
      </c>
      <c r="R256" s="23">
        <f t="shared" si="75"/>
        <v>0.23457599999999998</v>
      </c>
      <c r="S256" s="5">
        <v>22.24</v>
      </c>
      <c r="T256" s="5">
        <v>4.22</v>
      </c>
      <c r="U256" s="3">
        <f t="shared" si="76"/>
        <v>42200</v>
      </c>
      <c r="V256" s="8">
        <v>-0.34</v>
      </c>
      <c r="W256" s="8">
        <v>-1.87</v>
      </c>
      <c r="X256" s="5">
        <f t="shared" si="77"/>
        <v>1.53</v>
      </c>
      <c r="Y256" s="23">
        <f t="shared" si="78"/>
        <v>0.1533176470588235</v>
      </c>
      <c r="Z256" s="23">
        <f t="shared" si="62"/>
        <v>6470.004705882352</v>
      </c>
      <c r="AA256" s="11">
        <f t="shared" si="63"/>
        <v>2.3640062932198465</v>
      </c>
      <c r="AB256" s="11">
        <f t="shared" si="64"/>
        <v>99761.065573877524</v>
      </c>
    </row>
    <row r="257" spans="1:28" ht="17.25" customHeight="1" x14ac:dyDescent="0.2">
      <c r="A257" t="s">
        <v>7</v>
      </c>
      <c r="B257" s="20">
        <v>72</v>
      </c>
      <c r="C257" s="20">
        <v>5</v>
      </c>
      <c r="D257" s="20">
        <v>61</v>
      </c>
      <c r="E257" t="s">
        <v>75</v>
      </c>
      <c r="F257" s="26">
        <v>45154</v>
      </c>
      <c r="G257" t="s">
        <v>76</v>
      </c>
      <c r="H257" s="5">
        <v>38.51</v>
      </c>
      <c r="I257" s="5">
        <v>36.090000000000003</v>
      </c>
      <c r="J257" s="5">
        <v>32.340000000000003</v>
      </c>
      <c r="K257" s="5">
        <v>2.5499999999999998</v>
      </c>
      <c r="L257" s="5">
        <v>0.26</v>
      </c>
      <c r="M257" s="3">
        <f t="shared" si="61"/>
        <v>260</v>
      </c>
      <c r="N257" s="5">
        <v>6.13</v>
      </c>
      <c r="O257" s="23">
        <f t="shared" si="72"/>
        <v>6.13E-3</v>
      </c>
      <c r="P257" s="23">
        <f t="shared" si="73"/>
        <v>0.11033999999999999</v>
      </c>
      <c r="Q257" s="7">
        <f t="shared" si="74"/>
        <v>1.1033999999999999E-4</v>
      </c>
      <c r="R257" s="23">
        <f t="shared" si="75"/>
        <v>0.39722399999999997</v>
      </c>
      <c r="S257" s="5">
        <v>5.59</v>
      </c>
      <c r="T257" s="5">
        <v>1.83</v>
      </c>
      <c r="U257" s="3">
        <f t="shared" si="76"/>
        <v>18300</v>
      </c>
      <c r="V257" s="8">
        <v>-0.69</v>
      </c>
      <c r="W257" s="8">
        <v>-2.0099999999999998</v>
      </c>
      <c r="X257" s="5">
        <f t="shared" si="77"/>
        <v>1.3199999999999998</v>
      </c>
      <c r="Y257" s="23">
        <f t="shared" si="78"/>
        <v>0.30092727272727277</v>
      </c>
      <c r="Z257" s="23">
        <f t="shared" si="62"/>
        <v>5506.9690909090914</v>
      </c>
      <c r="AA257" s="11">
        <f t="shared" si="63"/>
        <v>4.640000549028886</v>
      </c>
      <c r="AB257" s="11">
        <f t="shared" si="64"/>
        <v>84912.010047228614</v>
      </c>
    </row>
    <row r="258" spans="1:28" ht="17.25" customHeight="1" x14ac:dyDescent="0.2">
      <c r="A258" t="s">
        <v>7</v>
      </c>
      <c r="B258" s="20">
        <v>72</v>
      </c>
      <c r="C258" s="20">
        <v>5</v>
      </c>
      <c r="D258" s="20">
        <v>63</v>
      </c>
      <c r="E258" t="s">
        <v>75</v>
      </c>
      <c r="F258" s="26">
        <v>45155</v>
      </c>
      <c r="G258" t="s">
        <v>76</v>
      </c>
      <c r="H258" s="5">
        <v>35.299999999999997</v>
      </c>
      <c r="I258" s="5">
        <v>34.15</v>
      </c>
      <c r="J258" s="5">
        <v>30.09</v>
      </c>
      <c r="K258" s="5">
        <v>2.38</v>
      </c>
      <c r="L258" s="5">
        <v>0.26</v>
      </c>
      <c r="M258" s="3">
        <f t="shared" si="61"/>
        <v>260</v>
      </c>
      <c r="N258" s="5">
        <v>5.74</v>
      </c>
      <c r="O258" s="23">
        <f t="shared" si="72"/>
        <v>5.7400000000000003E-3</v>
      </c>
      <c r="P258" s="23">
        <f t="shared" si="73"/>
        <v>0.10332000000000001</v>
      </c>
      <c r="Q258" s="7">
        <f t="shared" si="74"/>
        <v>1.0332000000000001E-4</v>
      </c>
      <c r="R258" s="23">
        <f t="shared" si="75"/>
        <v>0.371952</v>
      </c>
      <c r="S258" s="5">
        <v>13.53</v>
      </c>
      <c r="T258" s="5">
        <v>2.78</v>
      </c>
      <c r="U258" s="5">
        <f t="shared" si="76"/>
        <v>27799.999999999996</v>
      </c>
      <c r="V258" s="8">
        <v>-0.56999999999999995</v>
      </c>
      <c r="W258" s="8">
        <v>-1.91</v>
      </c>
      <c r="X258" s="5">
        <f t="shared" si="77"/>
        <v>1.3399999999999999</v>
      </c>
      <c r="Y258" s="23">
        <f t="shared" si="78"/>
        <v>0.2775761194029851</v>
      </c>
      <c r="Z258" s="23">
        <f t="shared" si="62"/>
        <v>7716.6161194029846</v>
      </c>
      <c r="AA258" s="11">
        <f t="shared" si="63"/>
        <v>4.2799488884957819</v>
      </c>
      <c r="AB258" s="11">
        <f t="shared" si="64"/>
        <v>118982.57910018272</v>
      </c>
    </row>
    <row r="259" spans="1:28" ht="17.25" customHeight="1" x14ac:dyDescent="0.2">
      <c r="A259" t="s">
        <v>7</v>
      </c>
      <c r="B259" s="20">
        <v>72</v>
      </c>
      <c r="C259" s="20">
        <v>5</v>
      </c>
      <c r="D259" s="20">
        <v>85</v>
      </c>
      <c r="E259" t="s">
        <v>75</v>
      </c>
      <c r="F259" s="26">
        <v>45154</v>
      </c>
      <c r="G259" t="s">
        <v>76</v>
      </c>
      <c r="H259" s="5">
        <v>46.05</v>
      </c>
      <c r="I259" s="5">
        <v>33.42</v>
      </c>
      <c r="J259" s="5">
        <v>30.28</v>
      </c>
      <c r="K259" s="5">
        <v>1.94</v>
      </c>
      <c r="L259" s="5">
        <v>0.27</v>
      </c>
      <c r="M259" s="3">
        <f t="shared" ref="M259:M322" si="79">L259*1000</f>
        <v>270</v>
      </c>
      <c r="N259" s="5">
        <v>5.0199999999999996</v>
      </c>
      <c r="O259" s="23">
        <f t="shared" si="72"/>
        <v>5.0199999999999993E-3</v>
      </c>
      <c r="P259" s="23">
        <f t="shared" si="73"/>
        <v>9.0359999999999982E-2</v>
      </c>
      <c r="Q259" s="7">
        <f t="shared" si="74"/>
        <v>9.0359999999999982E-5</v>
      </c>
      <c r="R259" s="23">
        <f t="shared" si="75"/>
        <v>0.32529599999999992</v>
      </c>
      <c r="S259" s="5">
        <v>8.26</v>
      </c>
      <c r="T259" s="5">
        <v>2.33</v>
      </c>
      <c r="U259" s="3">
        <f t="shared" si="76"/>
        <v>23300</v>
      </c>
      <c r="V259" s="8">
        <v>-0.49</v>
      </c>
      <c r="W259" s="8">
        <v>-2.06</v>
      </c>
      <c r="X259" s="5">
        <f t="shared" si="77"/>
        <v>1.57</v>
      </c>
      <c r="Y259" s="23">
        <f t="shared" si="78"/>
        <v>0.20719490445859867</v>
      </c>
      <c r="Z259" s="23">
        <f t="shared" ref="Z259:Z322" si="80">Y259*U259</f>
        <v>4827.6412738853487</v>
      </c>
      <c r="AA259" s="11">
        <f t="shared" ref="AA259:AA322" si="81">Y259 * 1000 * 1000 / 18.01528 / 3600</f>
        <v>3.1947402497984219</v>
      </c>
      <c r="AB259" s="11">
        <f t="shared" ref="AB259:AB322" si="82">AA259*U259</f>
        <v>74437.447820303234</v>
      </c>
    </row>
    <row r="260" spans="1:28" ht="17.25" customHeight="1" x14ac:dyDescent="0.2">
      <c r="A260" t="s">
        <v>8</v>
      </c>
      <c r="B260" s="20">
        <v>1521</v>
      </c>
      <c r="C260" s="20">
        <v>153</v>
      </c>
      <c r="D260" s="20">
        <v>69</v>
      </c>
      <c r="E260" t="s">
        <v>75</v>
      </c>
      <c r="F260" s="26">
        <v>45154</v>
      </c>
      <c r="G260" t="s">
        <v>76</v>
      </c>
      <c r="H260" s="5">
        <v>40.409999999999997</v>
      </c>
      <c r="I260" s="5">
        <v>35.78</v>
      </c>
      <c r="J260" s="5">
        <v>32.78</v>
      </c>
      <c r="K260" s="5">
        <v>2.6</v>
      </c>
      <c r="L260" s="5">
        <v>0.33</v>
      </c>
      <c r="M260" s="3">
        <f t="shared" si="79"/>
        <v>330</v>
      </c>
      <c r="N260" s="5">
        <v>8.11</v>
      </c>
      <c r="O260" s="23">
        <f t="shared" si="72"/>
        <v>8.1099999999999992E-3</v>
      </c>
      <c r="P260" s="23">
        <f t="shared" si="73"/>
        <v>0.14598</v>
      </c>
      <c r="Q260" s="7">
        <f t="shared" si="74"/>
        <v>1.4598000000000001E-4</v>
      </c>
      <c r="R260" s="23">
        <f t="shared" si="75"/>
        <v>0.525528</v>
      </c>
      <c r="S260" s="5">
        <v>1.89</v>
      </c>
      <c r="T260" s="5">
        <v>0.42</v>
      </c>
      <c r="U260" s="3">
        <f t="shared" si="76"/>
        <v>4200</v>
      </c>
      <c r="V260" s="8">
        <v>-0.62</v>
      </c>
      <c r="W260" s="8">
        <v>-2.1</v>
      </c>
      <c r="X260" s="5">
        <f t="shared" si="77"/>
        <v>1.48</v>
      </c>
      <c r="Y260" s="23">
        <f t="shared" si="78"/>
        <v>0.3550864864864865</v>
      </c>
      <c r="Z260" s="23">
        <f t="shared" si="80"/>
        <v>1491.3632432432432</v>
      </c>
      <c r="AA260" s="11">
        <f t="shared" si="81"/>
        <v>5.4750819934597255</v>
      </c>
      <c r="AB260" s="11">
        <f t="shared" si="82"/>
        <v>22995.344372530846</v>
      </c>
    </row>
    <row r="261" spans="1:28" ht="17.25" customHeight="1" x14ac:dyDescent="0.2">
      <c r="A261" t="s">
        <v>8</v>
      </c>
      <c r="B261" s="20">
        <v>1521</v>
      </c>
      <c r="C261" s="20">
        <v>153</v>
      </c>
      <c r="D261" s="20">
        <v>76</v>
      </c>
      <c r="E261" t="s">
        <v>75</v>
      </c>
      <c r="F261" s="26">
        <v>45154</v>
      </c>
      <c r="G261" t="s">
        <v>76</v>
      </c>
      <c r="H261" s="5">
        <v>42.44</v>
      </c>
      <c r="I261" s="5">
        <v>34.909999999999997</v>
      </c>
      <c r="J261" s="5">
        <v>33.630000000000003</v>
      </c>
      <c r="K261" s="5">
        <v>2.86</v>
      </c>
      <c r="L261" s="5">
        <v>0.2</v>
      </c>
      <c r="M261" s="3">
        <f t="shared" si="79"/>
        <v>200</v>
      </c>
      <c r="N261" s="5">
        <v>5.0599999999999996</v>
      </c>
      <c r="O261" s="23">
        <f t="shared" si="72"/>
        <v>5.0599999999999994E-3</v>
      </c>
      <c r="P261" s="23">
        <f t="shared" si="73"/>
        <v>9.1079999999999994E-2</v>
      </c>
      <c r="Q261" s="7">
        <f t="shared" si="74"/>
        <v>9.1079999999999989E-5</v>
      </c>
      <c r="R261" s="23">
        <f t="shared" si="75"/>
        <v>0.32788799999999996</v>
      </c>
      <c r="S261" s="5">
        <v>1.63</v>
      </c>
      <c r="T261" s="5">
        <v>0.4</v>
      </c>
      <c r="U261" s="3">
        <f t="shared" si="76"/>
        <v>4000</v>
      </c>
      <c r="V261" s="8">
        <v>-0.51</v>
      </c>
      <c r="W261" s="8">
        <v>-1.72</v>
      </c>
      <c r="X261" s="5">
        <f t="shared" si="77"/>
        <v>1.21</v>
      </c>
      <c r="Y261" s="23">
        <f t="shared" si="78"/>
        <v>0.27098181818181816</v>
      </c>
      <c r="Z261" s="23">
        <f t="shared" si="80"/>
        <v>1083.9272727272726</v>
      </c>
      <c r="AA261" s="11">
        <f t="shared" si="81"/>
        <v>4.17827129374216</v>
      </c>
      <c r="AB261" s="11">
        <f t="shared" si="82"/>
        <v>16713.085174968641</v>
      </c>
    </row>
    <row r="262" spans="1:28" ht="17.25" customHeight="1" x14ac:dyDescent="0.2">
      <c r="A262" t="s">
        <v>8</v>
      </c>
      <c r="B262" s="20">
        <v>1521</v>
      </c>
      <c r="C262" s="20">
        <v>153</v>
      </c>
      <c r="D262" s="20">
        <v>90</v>
      </c>
      <c r="E262" t="s">
        <v>75</v>
      </c>
      <c r="F262" s="26">
        <v>45155</v>
      </c>
      <c r="G262" t="s">
        <v>76</v>
      </c>
      <c r="H262" s="5">
        <v>31.24</v>
      </c>
      <c r="I262" s="5">
        <v>36.700000000000003</v>
      </c>
      <c r="J262" s="5">
        <v>33.83</v>
      </c>
      <c r="K262" s="5">
        <v>3.37</v>
      </c>
      <c r="L262" s="5">
        <v>0.23</v>
      </c>
      <c r="M262" s="3">
        <f t="shared" si="79"/>
        <v>230</v>
      </c>
      <c r="N262" s="5">
        <v>6.74</v>
      </c>
      <c r="O262" s="23">
        <f t="shared" si="72"/>
        <v>6.7400000000000003E-3</v>
      </c>
      <c r="P262" s="23">
        <f t="shared" si="73"/>
        <v>0.12132000000000001</v>
      </c>
      <c r="Q262" s="7">
        <f t="shared" si="74"/>
        <v>1.2132000000000001E-4</v>
      </c>
      <c r="R262" s="23">
        <f t="shared" si="75"/>
        <v>0.43675200000000003</v>
      </c>
      <c r="S262" s="5">
        <v>3.81</v>
      </c>
      <c r="T262" s="5">
        <v>0.53</v>
      </c>
      <c r="U262" s="3">
        <f t="shared" si="76"/>
        <v>5300</v>
      </c>
      <c r="V262" s="8">
        <v>-0.67</v>
      </c>
      <c r="W262" s="27">
        <v>-2</v>
      </c>
      <c r="X262" s="5">
        <f t="shared" si="77"/>
        <v>1.33</v>
      </c>
      <c r="Y262" s="23">
        <f t="shared" si="78"/>
        <v>0.32838496240601506</v>
      </c>
      <c r="Z262" s="23">
        <f t="shared" si="80"/>
        <v>1740.4403007518797</v>
      </c>
      <c r="AA262" s="11">
        <f t="shared" si="81"/>
        <v>5.0633709336064694</v>
      </c>
      <c r="AB262" s="11">
        <f t="shared" si="82"/>
        <v>26835.865948114289</v>
      </c>
    </row>
    <row r="263" spans="1:28" ht="17.25" customHeight="1" x14ac:dyDescent="0.2">
      <c r="A263" t="s">
        <v>8</v>
      </c>
      <c r="B263" s="20">
        <v>1521</v>
      </c>
      <c r="C263" s="20">
        <v>155</v>
      </c>
      <c r="D263" s="20">
        <v>62</v>
      </c>
      <c r="E263" t="s">
        <v>75</v>
      </c>
      <c r="F263" s="26">
        <v>45155</v>
      </c>
      <c r="G263" t="s">
        <v>76</v>
      </c>
      <c r="H263" s="5">
        <v>33.07</v>
      </c>
      <c r="I263" s="5">
        <v>35.520000000000003</v>
      </c>
      <c r="J263" s="5">
        <v>31.24</v>
      </c>
      <c r="K263" s="5">
        <v>2.64</v>
      </c>
      <c r="L263" s="5">
        <v>0.33</v>
      </c>
      <c r="M263" s="3">
        <f t="shared" si="79"/>
        <v>330</v>
      </c>
      <c r="N263" s="5">
        <v>8.3000000000000007</v>
      </c>
      <c r="O263" s="23">
        <f t="shared" si="72"/>
        <v>8.3000000000000001E-3</v>
      </c>
      <c r="P263" s="23">
        <f t="shared" si="73"/>
        <v>0.14940000000000001</v>
      </c>
      <c r="Q263" s="7">
        <f t="shared" si="74"/>
        <v>1.494E-4</v>
      </c>
      <c r="R263" s="23">
        <f t="shared" si="75"/>
        <v>0.53783999999999998</v>
      </c>
      <c r="S263" s="5">
        <v>1.17</v>
      </c>
      <c r="T263" s="5">
        <v>0.44</v>
      </c>
      <c r="U263" s="3">
        <f t="shared" si="76"/>
        <v>4400</v>
      </c>
      <c r="V263" s="8">
        <v>-0.48</v>
      </c>
      <c r="W263" s="8">
        <v>-2.0299999999999998</v>
      </c>
      <c r="X263" s="5">
        <f t="shared" si="77"/>
        <v>1.5499999999999998</v>
      </c>
      <c r="Y263" s="23">
        <f t="shared" si="78"/>
        <v>0.34699354838709678</v>
      </c>
      <c r="Z263" s="23">
        <f t="shared" si="80"/>
        <v>1526.7716129032258</v>
      </c>
      <c r="AA263" s="11">
        <f t="shared" si="81"/>
        <v>5.3502969020849829</v>
      </c>
      <c r="AB263" s="11">
        <f t="shared" si="82"/>
        <v>23541.306369173926</v>
      </c>
    </row>
    <row r="264" spans="1:28" ht="17.25" customHeight="1" x14ac:dyDescent="0.2">
      <c r="A264" t="s">
        <v>8</v>
      </c>
      <c r="B264" s="20">
        <v>1521</v>
      </c>
      <c r="C264" s="20">
        <v>155</v>
      </c>
      <c r="D264" s="20">
        <v>64</v>
      </c>
      <c r="E264" t="s">
        <v>75</v>
      </c>
      <c r="F264" s="26">
        <v>45155</v>
      </c>
      <c r="G264" t="s">
        <v>76</v>
      </c>
      <c r="H264" s="5">
        <v>36.35</v>
      </c>
      <c r="I264" s="5">
        <v>33.229999999999997</v>
      </c>
      <c r="J264" s="5">
        <v>30.81</v>
      </c>
      <c r="K264" s="5">
        <v>2.6</v>
      </c>
      <c r="L264" s="5">
        <v>0.19</v>
      </c>
      <c r="M264" s="3">
        <f t="shared" si="79"/>
        <v>190</v>
      </c>
      <c r="N264" s="5">
        <v>4.63</v>
      </c>
      <c r="O264" s="23">
        <f t="shared" si="72"/>
        <v>4.6299999999999996E-3</v>
      </c>
      <c r="P264" s="23">
        <f t="shared" si="73"/>
        <v>8.3339999999999997E-2</v>
      </c>
      <c r="Q264" s="7">
        <f t="shared" si="74"/>
        <v>8.3339999999999998E-5</v>
      </c>
      <c r="R264" s="23">
        <f t="shared" si="75"/>
        <v>0.30002400000000001</v>
      </c>
      <c r="S264" s="5">
        <v>1.37</v>
      </c>
      <c r="T264" s="5">
        <v>0.45</v>
      </c>
      <c r="U264" s="3">
        <f t="shared" si="76"/>
        <v>4500</v>
      </c>
      <c r="V264" s="8">
        <v>-0.42</v>
      </c>
      <c r="W264" s="8">
        <v>-1.81</v>
      </c>
      <c r="X264" s="5">
        <f t="shared" si="77"/>
        <v>1.3900000000000001</v>
      </c>
      <c r="Y264" s="23">
        <f t="shared" si="78"/>
        <v>0.21584460431654676</v>
      </c>
      <c r="Z264" s="23">
        <f t="shared" si="80"/>
        <v>971.30071942446045</v>
      </c>
      <c r="AA264" s="11">
        <f t="shared" si="81"/>
        <v>3.3281100561508952</v>
      </c>
      <c r="AB264" s="11">
        <f t="shared" si="82"/>
        <v>14976.495252679028</v>
      </c>
    </row>
    <row r="265" spans="1:28" ht="17.25" customHeight="1" x14ac:dyDescent="0.2">
      <c r="A265" t="s">
        <v>8</v>
      </c>
      <c r="B265" s="20">
        <v>1521</v>
      </c>
      <c r="C265" s="20">
        <v>155</v>
      </c>
      <c r="D265" s="20">
        <v>66</v>
      </c>
      <c r="E265" t="s">
        <v>75</v>
      </c>
      <c r="F265" s="26">
        <v>45154</v>
      </c>
      <c r="G265" t="s">
        <v>76</v>
      </c>
      <c r="H265" s="5">
        <v>31.68</v>
      </c>
      <c r="I265" s="5">
        <v>37.24</v>
      </c>
      <c r="J265" s="5">
        <v>33.14</v>
      </c>
      <c r="K265" s="5">
        <v>3.07</v>
      </c>
      <c r="L265" s="5">
        <v>0.26</v>
      </c>
      <c r="M265" s="3">
        <f t="shared" si="79"/>
        <v>260</v>
      </c>
      <c r="N265" s="5">
        <v>7.28</v>
      </c>
      <c r="O265" s="23">
        <f t="shared" si="72"/>
        <v>7.28E-3</v>
      </c>
      <c r="P265" s="23">
        <f t="shared" si="73"/>
        <v>0.13103999999999999</v>
      </c>
      <c r="Q265" s="7">
        <f t="shared" si="74"/>
        <v>1.3103999999999999E-4</v>
      </c>
      <c r="R265" s="23">
        <f t="shared" si="75"/>
        <v>0.471744</v>
      </c>
      <c r="S265" s="5">
        <v>3.21</v>
      </c>
      <c r="T265" s="5">
        <v>0.68</v>
      </c>
      <c r="U265" s="5">
        <f t="shared" si="76"/>
        <v>6800.0000000000009</v>
      </c>
      <c r="V265" s="8">
        <v>-0.55000000000000004</v>
      </c>
      <c r="W265" s="8">
        <v>-1.7</v>
      </c>
      <c r="X265" s="5">
        <f t="shared" si="77"/>
        <v>1.1499999999999999</v>
      </c>
      <c r="Y265" s="23">
        <f t="shared" si="78"/>
        <v>0.41021217391304349</v>
      </c>
      <c r="Z265" s="23">
        <f t="shared" si="80"/>
        <v>2789.4427826086962</v>
      </c>
      <c r="AA265" s="11">
        <f t="shared" si="81"/>
        <v>6.325065504780194</v>
      </c>
      <c r="AB265" s="11">
        <f t="shared" si="82"/>
        <v>43010.445432505323</v>
      </c>
    </row>
    <row r="266" spans="1:28" ht="17.25" customHeight="1" x14ac:dyDescent="0.2">
      <c r="A266" t="s">
        <v>8</v>
      </c>
      <c r="B266" s="20">
        <v>1521</v>
      </c>
      <c r="C266" s="20">
        <v>156</v>
      </c>
      <c r="D266" s="20">
        <v>71</v>
      </c>
      <c r="E266" t="s">
        <v>75</v>
      </c>
      <c r="F266" s="26">
        <v>45155</v>
      </c>
      <c r="G266" t="s">
        <v>76</v>
      </c>
      <c r="H266" s="5">
        <v>33.36</v>
      </c>
      <c r="I266" s="5">
        <v>35.630000000000003</v>
      </c>
      <c r="J266" s="5">
        <v>32.520000000000003</v>
      </c>
      <c r="K266" s="5">
        <v>2.96</v>
      </c>
      <c r="L266" s="5">
        <v>0.23</v>
      </c>
      <c r="M266" s="3">
        <f t="shared" si="79"/>
        <v>230</v>
      </c>
      <c r="N266" s="5">
        <v>6.29</v>
      </c>
      <c r="O266" s="23">
        <f t="shared" si="72"/>
        <v>6.2900000000000005E-3</v>
      </c>
      <c r="P266" s="23">
        <f t="shared" si="73"/>
        <v>0.11322000000000002</v>
      </c>
      <c r="Q266" s="7">
        <f t="shared" si="74"/>
        <v>1.1322000000000002E-4</v>
      </c>
      <c r="R266" s="23">
        <f t="shared" si="75"/>
        <v>0.40759200000000007</v>
      </c>
      <c r="S266" s="5">
        <v>3.35</v>
      </c>
      <c r="T266" s="5">
        <v>0.65</v>
      </c>
      <c r="U266" s="3">
        <f t="shared" si="76"/>
        <v>6500</v>
      </c>
      <c r="V266" s="8">
        <v>-0.5</v>
      </c>
      <c r="W266" s="8">
        <v>-1.97</v>
      </c>
      <c r="X266" s="5">
        <f t="shared" si="77"/>
        <v>1.47</v>
      </c>
      <c r="Y266" s="23">
        <f t="shared" si="78"/>
        <v>0.27727346938775516</v>
      </c>
      <c r="Z266" s="23">
        <f t="shared" si="80"/>
        <v>1802.2775510204085</v>
      </c>
      <c r="AA266" s="11">
        <f t="shared" si="81"/>
        <v>4.2752823249633263</v>
      </c>
      <c r="AB266" s="11">
        <f t="shared" si="82"/>
        <v>27789.335112261622</v>
      </c>
    </row>
    <row r="267" spans="1:28" ht="17.25" customHeight="1" x14ac:dyDescent="0.2">
      <c r="A267" t="s">
        <v>8</v>
      </c>
      <c r="B267" s="20">
        <v>1521</v>
      </c>
      <c r="C267" s="20">
        <v>156</v>
      </c>
      <c r="D267" s="20">
        <v>74</v>
      </c>
      <c r="E267" t="s">
        <v>75</v>
      </c>
      <c r="F267" s="26">
        <v>45154</v>
      </c>
      <c r="G267" t="s">
        <v>76</v>
      </c>
      <c r="H267" s="5">
        <v>43.37</v>
      </c>
      <c r="I267" s="5">
        <v>34.409999999999997</v>
      </c>
      <c r="J267" s="5">
        <v>32.47</v>
      </c>
      <c r="K267" s="5">
        <v>2.5299999999999998</v>
      </c>
      <c r="L267" s="5">
        <v>0.13</v>
      </c>
      <c r="M267" s="3">
        <f t="shared" si="79"/>
        <v>130</v>
      </c>
      <c r="N267" s="5">
        <v>2.91</v>
      </c>
      <c r="O267" s="23">
        <f t="shared" si="72"/>
        <v>2.9100000000000003E-3</v>
      </c>
      <c r="P267" s="23">
        <f t="shared" si="73"/>
        <v>5.2380000000000003E-2</v>
      </c>
      <c r="Q267" s="7">
        <f t="shared" si="74"/>
        <v>5.2380000000000003E-5</v>
      </c>
      <c r="R267" s="23">
        <f t="shared" si="75"/>
        <v>0.18856800000000001</v>
      </c>
      <c r="S267" s="5">
        <v>2.92</v>
      </c>
      <c r="T267" s="5">
        <v>0.64</v>
      </c>
      <c r="U267" s="3">
        <f t="shared" si="76"/>
        <v>6400</v>
      </c>
      <c r="V267" s="8">
        <v>-0.28000000000000003</v>
      </c>
      <c r="W267" s="8">
        <v>-1.85</v>
      </c>
      <c r="X267" s="5">
        <f t="shared" si="77"/>
        <v>1.57</v>
      </c>
      <c r="Y267" s="23">
        <f t="shared" si="78"/>
        <v>0.12010700636942676</v>
      </c>
      <c r="Z267" s="23">
        <f t="shared" si="80"/>
        <v>768.68484076433128</v>
      </c>
      <c r="AA267" s="11">
        <f t="shared" si="81"/>
        <v>1.8519311009787671</v>
      </c>
      <c r="AB267" s="11">
        <f t="shared" si="82"/>
        <v>11852.35904626411</v>
      </c>
    </row>
    <row r="268" spans="1:28" ht="17.25" customHeight="1" x14ac:dyDescent="0.2">
      <c r="A268" t="s">
        <v>8</v>
      </c>
      <c r="B268" s="20">
        <v>1521</v>
      </c>
      <c r="C268" s="20">
        <v>156</v>
      </c>
      <c r="D268" s="20">
        <v>75</v>
      </c>
      <c r="E268" t="s">
        <v>75</v>
      </c>
      <c r="F268" s="26">
        <v>45154</v>
      </c>
      <c r="G268" t="s">
        <v>76</v>
      </c>
      <c r="H268" s="5">
        <v>33.4</v>
      </c>
      <c r="I268" s="5">
        <v>37.020000000000003</v>
      </c>
      <c r="J268" s="5">
        <v>33.89</v>
      </c>
      <c r="K268" s="5">
        <v>3.2</v>
      </c>
      <c r="L268" s="5">
        <v>0.24</v>
      </c>
      <c r="M268" s="3">
        <f t="shared" si="79"/>
        <v>240</v>
      </c>
      <c r="N268" s="5">
        <v>7.14</v>
      </c>
      <c r="O268" s="23">
        <f t="shared" si="72"/>
        <v>7.1399999999999996E-3</v>
      </c>
      <c r="P268" s="23">
        <f t="shared" si="73"/>
        <v>0.12852</v>
      </c>
      <c r="Q268" s="7">
        <f t="shared" si="74"/>
        <v>1.2852E-4</v>
      </c>
      <c r="R268" s="23">
        <f t="shared" si="75"/>
        <v>0.46267199999999997</v>
      </c>
      <c r="S268" s="5">
        <v>2.78</v>
      </c>
      <c r="T268" s="5">
        <v>0.57999999999999996</v>
      </c>
      <c r="U268" s="3">
        <f t="shared" si="76"/>
        <v>5800</v>
      </c>
      <c r="V268" s="8">
        <v>-0.43</v>
      </c>
      <c r="W268" s="8">
        <v>-2.12</v>
      </c>
      <c r="X268" s="5">
        <f t="shared" si="77"/>
        <v>1.6900000000000002</v>
      </c>
      <c r="Y268" s="23">
        <f t="shared" si="78"/>
        <v>0.27377041420118337</v>
      </c>
      <c r="Z268" s="23">
        <f t="shared" si="80"/>
        <v>1587.8684023668636</v>
      </c>
      <c r="AA268" s="11">
        <f t="shared" si="81"/>
        <v>4.2212686829239674</v>
      </c>
      <c r="AB268" s="11">
        <f t="shared" si="82"/>
        <v>24483.35836095901</v>
      </c>
    </row>
    <row r="269" spans="1:28" ht="17.25" customHeight="1" x14ac:dyDescent="0.2">
      <c r="A269" t="s">
        <v>8</v>
      </c>
      <c r="B269" s="20">
        <v>1521</v>
      </c>
      <c r="C269" s="20">
        <v>157</v>
      </c>
      <c r="D269" s="20">
        <v>67</v>
      </c>
      <c r="E269" t="s">
        <v>75</v>
      </c>
      <c r="F269" s="26">
        <v>45154</v>
      </c>
      <c r="G269" t="s">
        <v>76</v>
      </c>
      <c r="H269" s="5">
        <v>44.73</v>
      </c>
      <c r="I269" s="5">
        <v>34.1</v>
      </c>
      <c r="J269" s="5">
        <v>31.7</v>
      </c>
      <c r="K269" s="5">
        <v>2.2799999999999998</v>
      </c>
      <c r="L269" s="5">
        <v>0.3</v>
      </c>
      <c r="M269" s="3">
        <f t="shared" si="79"/>
        <v>300</v>
      </c>
      <c r="N269" s="5">
        <v>6.47</v>
      </c>
      <c r="O269" s="23">
        <f t="shared" si="72"/>
        <v>6.4700000000000001E-3</v>
      </c>
      <c r="P269" s="23">
        <f t="shared" si="73"/>
        <v>0.11646000000000001</v>
      </c>
      <c r="Q269" s="7">
        <f t="shared" si="74"/>
        <v>1.1646000000000001E-4</v>
      </c>
      <c r="R269" s="23">
        <f t="shared" si="75"/>
        <v>0.41925600000000002</v>
      </c>
      <c r="S269" s="5">
        <v>2.46</v>
      </c>
      <c r="T269" s="5">
        <v>0.65</v>
      </c>
      <c r="U269" s="3">
        <f t="shared" si="76"/>
        <v>6500</v>
      </c>
      <c r="V269" s="8">
        <v>-0.82</v>
      </c>
      <c r="W269" s="8">
        <v>-2.57</v>
      </c>
      <c r="X269" s="5">
        <f t="shared" si="77"/>
        <v>1.75</v>
      </c>
      <c r="Y269" s="23">
        <f t="shared" si="78"/>
        <v>0.23957485714285714</v>
      </c>
      <c r="Z269" s="23">
        <f t="shared" si="80"/>
        <v>1557.2365714285716</v>
      </c>
      <c r="AA269" s="11">
        <f t="shared" si="81"/>
        <v>3.6940070555978828</v>
      </c>
      <c r="AB269" s="11">
        <f t="shared" si="82"/>
        <v>24011.045861386239</v>
      </c>
    </row>
    <row r="270" spans="1:28" ht="17.25" customHeight="1" x14ac:dyDescent="0.2">
      <c r="A270" t="s">
        <v>8</v>
      </c>
      <c r="B270" s="20">
        <v>1521</v>
      </c>
      <c r="C270" s="20">
        <v>157</v>
      </c>
      <c r="D270" s="20">
        <v>68</v>
      </c>
      <c r="E270" t="s">
        <v>75</v>
      </c>
      <c r="F270" s="26">
        <v>45154</v>
      </c>
      <c r="G270" t="s">
        <v>76</v>
      </c>
      <c r="H270" s="5">
        <v>46.36</v>
      </c>
      <c r="I270" s="5">
        <v>32.85</v>
      </c>
      <c r="J270" s="5">
        <v>30.63</v>
      </c>
      <c r="K270" s="5">
        <v>2.09</v>
      </c>
      <c r="L270" s="5">
        <v>0.24</v>
      </c>
      <c r="M270" s="3">
        <f t="shared" si="79"/>
        <v>240</v>
      </c>
      <c r="N270" s="5">
        <v>4.7</v>
      </c>
      <c r="O270" s="23">
        <f t="shared" si="72"/>
        <v>4.7000000000000002E-3</v>
      </c>
      <c r="P270" s="23">
        <f t="shared" si="73"/>
        <v>8.4600000000000009E-2</v>
      </c>
      <c r="Q270" s="7">
        <f t="shared" si="74"/>
        <v>8.460000000000001E-5</v>
      </c>
      <c r="R270" s="23">
        <f t="shared" si="75"/>
        <v>0.30456000000000005</v>
      </c>
      <c r="S270" s="5">
        <v>2.9</v>
      </c>
      <c r="T270" s="5">
        <v>0.85</v>
      </c>
      <c r="U270" s="3">
        <f t="shared" si="76"/>
        <v>8500</v>
      </c>
      <c r="V270" s="8">
        <v>-1.1000000000000001</v>
      </c>
      <c r="W270" s="8">
        <v>-2.12</v>
      </c>
      <c r="X270" s="5">
        <f t="shared" si="77"/>
        <v>1.02</v>
      </c>
      <c r="Y270" s="23">
        <f t="shared" si="78"/>
        <v>0.29858823529411771</v>
      </c>
      <c r="Z270" s="23">
        <f t="shared" si="80"/>
        <v>2538.0000000000005</v>
      </c>
      <c r="AA270" s="11">
        <f t="shared" si="81"/>
        <v>4.6039349080662779</v>
      </c>
      <c r="AB270" s="11">
        <f t="shared" si="82"/>
        <v>39133.446718563362</v>
      </c>
    </row>
    <row r="271" spans="1:28" ht="17.25" customHeight="1" x14ac:dyDescent="0.2">
      <c r="A271" t="s">
        <v>8</v>
      </c>
      <c r="B271" s="20">
        <v>1521</v>
      </c>
      <c r="C271" s="20">
        <v>157</v>
      </c>
      <c r="D271" s="20">
        <v>72</v>
      </c>
      <c r="E271" t="s">
        <v>75</v>
      </c>
      <c r="F271" s="26">
        <v>45155</v>
      </c>
      <c r="G271" t="s">
        <v>76</v>
      </c>
      <c r="H271" s="5">
        <v>34.32</v>
      </c>
      <c r="I271" s="5">
        <v>34.82</v>
      </c>
      <c r="J271" s="5">
        <v>31.65</v>
      </c>
      <c r="K271" s="5">
        <v>2.76</v>
      </c>
      <c r="L271" s="5">
        <v>0.26</v>
      </c>
      <c r="M271" s="3">
        <f t="shared" si="79"/>
        <v>260</v>
      </c>
      <c r="N271" s="5">
        <v>6.73</v>
      </c>
      <c r="O271" s="23">
        <f t="shared" si="72"/>
        <v>6.7300000000000007E-3</v>
      </c>
      <c r="P271" s="23">
        <f t="shared" si="73"/>
        <v>0.12114000000000001</v>
      </c>
      <c r="Q271" s="7">
        <f t="shared" si="74"/>
        <v>1.2114000000000001E-4</v>
      </c>
      <c r="R271" s="23">
        <f t="shared" si="75"/>
        <v>0.43610400000000005</v>
      </c>
      <c r="S271" s="5">
        <v>1.89</v>
      </c>
      <c r="T271" s="5">
        <v>1.52</v>
      </c>
      <c r="U271" s="3">
        <f t="shared" si="76"/>
        <v>15200</v>
      </c>
      <c r="V271" s="8">
        <v>-1.18</v>
      </c>
      <c r="W271" s="8">
        <v>-2.16</v>
      </c>
      <c r="X271" s="5">
        <f t="shared" si="77"/>
        <v>0.9800000000000002</v>
      </c>
      <c r="Y271" s="23">
        <f t="shared" si="78"/>
        <v>0.44500408163265304</v>
      </c>
      <c r="Z271" s="23">
        <f t="shared" si="80"/>
        <v>6764.0620408163259</v>
      </c>
      <c r="AA271" s="11">
        <f t="shared" si="81"/>
        <v>6.8615222687606954</v>
      </c>
      <c r="AB271" s="11">
        <f t="shared" si="82"/>
        <v>104295.13848516256</v>
      </c>
    </row>
    <row r="272" spans="1:28" ht="17.25" customHeight="1" x14ac:dyDescent="0.2">
      <c r="A272" t="s">
        <v>8</v>
      </c>
      <c r="B272" s="20">
        <v>1521</v>
      </c>
      <c r="C272" s="20">
        <v>158</v>
      </c>
      <c r="D272" s="20">
        <v>70</v>
      </c>
      <c r="E272" t="s">
        <v>75</v>
      </c>
      <c r="F272" s="26">
        <v>45154</v>
      </c>
      <c r="G272" t="s">
        <v>76</v>
      </c>
      <c r="H272" s="5">
        <v>31.5</v>
      </c>
      <c r="I272" s="5">
        <v>37.97</v>
      </c>
      <c r="J272" s="5">
        <v>34.15</v>
      </c>
      <c r="K272" s="5">
        <v>3.28</v>
      </c>
      <c r="L272" s="5">
        <v>0.22</v>
      </c>
      <c r="M272" s="3">
        <f t="shared" si="79"/>
        <v>220</v>
      </c>
      <c r="N272" s="5">
        <v>6.92</v>
      </c>
      <c r="O272" s="23">
        <f t="shared" si="72"/>
        <v>6.9199999999999999E-3</v>
      </c>
      <c r="P272" s="23">
        <f t="shared" si="73"/>
        <v>0.12456</v>
      </c>
      <c r="Q272" s="7">
        <f t="shared" si="74"/>
        <v>1.2456000000000001E-4</v>
      </c>
      <c r="R272" s="23">
        <f t="shared" si="75"/>
        <v>0.44841600000000004</v>
      </c>
      <c r="S272" s="5">
        <v>1.25</v>
      </c>
      <c r="T272" s="5">
        <v>0.24</v>
      </c>
      <c r="U272" s="3">
        <f t="shared" si="76"/>
        <v>2400</v>
      </c>
      <c r="V272" s="8">
        <v>-0.43</v>
      </c>
      <c r="W272" s="8">
        <v>-1.88</v>
      </c>
      <c r="X272" s="5">
        <f t="shared" si="77"/>
        <v>1.45</v>
      </c>
      <c r="Y272" s="23">
        <f t="shared" si="78"/>
        <v>0.30925241379310348</v>
      </c>
      <c r="Z272" s="23">
        <f t="shared" si="80"/>
        <v>742.20579310344829</v>
      </c>
      <c r="AA272" s="11">
        <f t="shared" si="81"/>
        <v>4.7683659802046963</v>
      </c>
      <c r="AB272" s="11">
        <f t="shared" si="82"/>
        <v>11444.078352491271</v>
      </c>
    </row>
    <row r="273" spans="1:28" ht="17.25" customHeight="1" x14ac:dyDescent="0.2">
      <c r="A273" t="s">
        <v>8</v>
      </c>
      <c r="B273" s="20">
        <v>1521</v>
      </c>
      <c r="C273" s="20">
        <v>158</v>
      </c>
      <c r="D273" s="20">
        <v>73</v>
      </c>
      <c r="E273" t="s">
        <v>75</v>
      </c>
      <c r="F273" s="26">
        <v>45154</v>
      </c>
      <c r="G273" t="s">
        <v>76</v>
      </c>
      <c r="H273" s="5">
        <v>43.61</v>
      </c>
      <c r="I273" s="5">
        <v>34.549999999999997</v>
      </c>
      <c r="J273" s="5">
        <v>32.42</v>
      </c>
      <c r="K273" s="5">
        <v>2.48</v>
      </c>
      <c r="L273" s="5">
        <v>0.13</v>
      </c>
      <c r="M273" s="3">
        <f t="shared" si="79"/>
        <v>130</v>
      </c>
      <c r="N273" s="5">
        <v>2.95</v>
      </c>
      <c r="O273" s="23">
        <f t="shared" si="72"/>
        <v>2.9500000000000004E-3</v>
      </c>
      <c r="P273" s="23">
        <f t="shared" si="73"/>
        <v>5.3100000000000008E-2</v>
      </c>
      <c r="Q273" s="7">
        <f t="shared" si="74"/>
        <v>5.310000000000001E-5</v>
      </c>
      <c r="R273" s="23">
        <f t="shared" si="75"/>
        <v>0.19116000000000002</v>
      </c>
      <c r="S273" s="5">
        <v>1.75</v>
      </c>
      <c r="T273" s="5">
        <v>0.39</v>
      </c>
      <c r="U273" s="3">
        <f t="shared" si="76"/>
        <v>3900</v>
      </c>
      <c r="V273" s="8">
        <v>-0.48</v>
      </c>
      <c r="W273" s="8">
        <v>-1.98</v>
      </c>
      <c r="X273" s="5">
        <f t="shared" si="77"/>
        <v>1.5</v>
      </c>
      <c r="Y273" s="23">
        <f t="shared" si="78"/>
        <v>0.12744000000000003</v>
      </c>
      <c r="Z273" s="23">
        <f t="shared" si="80"/>
        <v>497.01600000000008</v>
      </c>
      <c r="AA273" s="11">
        <f t="shared" si="81"/>
        <v>1.9649986011874367</v>
      </c>
      <c r="AB273" s="11">
        <f t="shared" si="82"/>
        <v>7663.494544631003</v>
      </c>
    </row>
    <row r="274" spans="1:28" ht="17.25" customHeight="1" x14ac:dyDescent="0.2">
      <c r="A274" t="s">
        <v>8</v>
      </c>
      <c r="B274" s="20">
        <v>1521</v>
      </c>
      <c r="C274" s="20">
        <v>158</v>
      </c>
      <c r="D274" s="20">
        <v>81</v>
      </c>
      <c r="E274" t="s">
        <v>75</v>
      </c>
      <c r="F274" s="26">
        <v>45154</v>
      </c>
      <c r="G274" t="s">
        <v>76</v>
      </c>
      <c r="H274" s="5">
        <v>28.85</v>
      </c>
      <c r="I274" s="5">
        <v>38.32</v>
      </c>
      <c r="J274" s="5">
        <v>34.36</v>
      </c>
      <c r="K274" s="5">
        <v>3.49</v>
      </c>
      <c r="L274" s="5">
        <v>0.22</v>
      </c>
      <c r="M274" s="3">
        <f t="shared" si="79"/>
        <v>220</v>
      </c>
      <c r="N274" s="5">
        <v>7.28</v>
      </c>
      <c r="O274" s="23">
        <f t="shared" si="72"/>
        <v>7.28E-3</v>
      </c>
      <c r="P274" s="23">
        <f t="shared" si="73"/>
        <v>0.13103999999999999</v>
      </c>
      <c r="Q274" s="7">
        <f t="shared" si="74"/>
        <v>1.3103999999999999E-4</v>
      </c>
      <c r="R274" s="23">
        <f t="shared" si="75"/>
        <v>0.471744</v>
      </c>
      <c r="S274" s="5">
        <v>0.53</v>
      </c>
      <c r="T274" s="5">
        <v>0.2</v>
      </c>
      <c r="U274" s="3">
        <f t="shared" si="76"/>
        <v>2000</v>
      </c>
      <c r="V274" s="8">
        <v>-0.52</v>
      </c>
      <c r="W274" s="8">
        <v>-2.2799999999999998</v>
      </c>
      <c r="X274" s="5">
        <f t="shared" si="77"/>
        <v>1.7599999999999998</v>
      </c>
      <c r="Y274" s="23">
        <f t="shared" si="78"/>
        <v>0.26803636363636368</v>
      </c>
      <c r="Z274" s="23">
        <f t="shared" si="80"/>
        <v>536.07272727272732</v>
      </c>
      <c r="AA274" s="11">
        <f t="shared" si="81"/>
        <v>4.1328553014188767</v>
      </c>
      <c r="AB274" s="11">
        <f t="shared" si="82"/>
        <v>8265.710602837753</v>
      </c>
    </row>
    <row r="275" spans="1:28" ht="17.25" customHeight="1" x14ac:dyDescent="0.2">
      <c r="A275" t="s">
        <v>9</v>
      </c>
      <c r="B275" s="20">
        <v>666</v>
      </c>
      <c r="C275" s="20">
        <v>101</v>
      </c>
      <c r="D275" s="20">
        <v>1</v>
      </c>
      <c r="E275" t="s">
        <v>75</v>
      </c>
      <c r="F275" s="26">
        <v>45155</v>
      </c>
      <c r="G275" t="s">
        <v>76</v>
      </c>
      <c r="H275" s="5">
        <v>32.020000000000003</v>
      </c>
      <c r="I275" s="5">
        <v>36.96</v>
      </c>
      <c r="J275" s="5">
        <v>31.59</v>
      </c>
      <c r="K275" s="5">
        <v>2.64</v>
      </c>
      <c r="L275" s="5">
        <v>0.32</v>
      </c>
      <c r="M275" s="3">
        <f t="shared" si="79"/>
        <v>320</v>
      </c>
      <c r="N275" s="5">
        <v>7.98</v>
      </c>
      <c r="O275" s="23">
        <f t="shared" si="72"/>
        <v>7.980000000000001E-3</v>
      </c>
      <c r="P275" s="23">
        <f t="shared" si="73"/>
        <v>0.14364000000000002</v>
      </c>
      <c r="Q275" s="7">
        <f t="shared" si="74"/>
        <v>1.4364000000000003E-4</v>
      </c>
      <c r="R275" s="23">
        <f t="shared" si="75"/>
        <v>0.51710400000000012</v>
      </c>
      <c r="S275" s="5">
        <v>5.47</v>
      </c>
      <c r="T275" s="5">
        <v>1.21</v>
      </c>
      <c r="U275" s="3">
        <f t="shared" si="76"/>
        <v>12100</v>
      </c>
      <c r="V275" s="8">
        <v>-0.39</v>
      </c>
      <c r="W275" s="8">
        <v>-2.2400000000000002</v>
      </c>
      <c r="X275" s="5">
        <f t="shared" si="77"/>
        <v>1.85</v>
      </c>
      <c r="Y275" s="23">
        <f t="shared" si="78"/>
        <v>0.2795156756756757</v>
      </c>
      <c r="Z275" s="23">
        <f t="shared" si="80"/>
        <v>3382.1396756756758</v>
      </c>
      <c r="AA275" s="11">
        <f t="shared" si="81"/>
        <v>4.3098549255544869</v>
      </c>
      <c r="AB275" s="11">
        <f t="shared" si="82"/>
        <v>52149.244599209291</v>
      </c>
    </row>
    <row r="276" spans="1:28" ht="17.25" customHeight="1" x14ac:dyDescent="0.2">
      <c r="A276" t="s">
        <v>9</v>
      </c>
      <c r="B276" s="20">
        <v>666</v>
      </c>
      <c r="C276" s="20">
        <v>101</v>
      </c>
      <c r="D276" s="20">
        <v>2</v>
      </c>
      <c r="E276" t="s">
        <v>75</v>
      </c>
      <c r="F276" s="26">
        <v>45155</v>
      </c>
      <c r="G276" t="s">
        <v>76</v>
      </c>
      <c r="H276" s="5">
        <v>30.15</v>
      </c>
      <c r="I276" s="5">
        <v>37.369999999999997</v>
      </c>
      <c r="J276" s="5">
        <v>32.630000000000003</v>
      </c>
      <c r="K276" s="3">
        <v>3</v>
      </c>
      <c r="L276" s="5">
        <v>0.27</v>
      </c>
      <c r="M276" s="3">
        <f t="shared" si="79"/>
        <v>270</v>
      </c>
      <c r="N276" s="5">
        <v>7.66</v>
      </c>
      <c r="O276" s="23">
        <f t="shared" si="72"/>
        <v>7.6600000000000001E-3</v>
      </c>
      <c r="P276" s="23">
        <f t="shared" si="73"/>
        <v>0.13788</v>
      </c>
      <c r="Q276" s="7">
        <f t="shared" si="74"/>
        <v>1.3788E-4</v>
      </c>
      <c r="R276" s="23">
        <f t="shared" si="75"/>
        <v>0.49636800000000003</v>
      </c>
      <c r="S276" s="5">
        <v>6.42</v>
      </c>
      <c r="T276" s="5">
        <v>1.41</v>
      </c>
      <c r="U276" s="3">
        <f t="shared" si="76"/>
        <v>14100</v>
      </c>
      <c r="V276" s="8">
        <v>-0.99</v>
      </c>
      <c r="W276" s="8">
        <v>-1.8</v>
      </c>
      <c r="X276" s="5">
        <f t="shared" si="77"/>
        <v>0.81</v>
      </c>
      <c r="Y276" s="23">
        <f t="shared" si="78"/>
        <v>0.61280000000000001</v>
      </c>
      <c r="Z276" s="23">
        <f t="shared" si="80"/>
        <v>8640.48</v>
      </c>
      <c r="AA276" s="11">
        <f t="shared" si="81"/>
        <v>9.4487691682961472</v>
      </c>
      <c r="AB276" s="11">
        <f t="shared" si="82"/>
        <v>133227.64527297567</v>
      </c>
    </row>
    <row r="277" spans="1:28" ht="17.25" customHeight="1" x14ac:dyDescent="0.2">
      <c r="A277" t="s">
        <v>9</v>
      </c>
      <c r="B277" s="20">
        <v>666</v>
      </c>
      <c r="C277" s="20">
        <v>101</v>
      </c>
      <c r="D277" s="20">
        <v>3</v>
      </c>
      <c r="E277" t="s">
        <v>75</v>
      </c>
      <c r="F277" s="26">
        <v>45155</v>
      </c>
      <c r="G277" t="s">
        <v>76</v>
      </c>
      <c r="H277" s="5">
        <v>32.08</v>
      </c>
      <c r="I277" s="5">
        <v>36.83</v>
      </c>
      <c r="J277" s="5">
        <v>32.28</v>
      </c>
      <c r="K277" s="5">
        <v>2.84</v>
      </c>
      <c r="L277" s="5">
        <v>0.38</v>
      </c>
      <c r="M277" s="3">
        <f t="shared" si="79"/>
        <v>380</v>
      </c>
      <c r="N277" s="5">
        <v>10.24</v>
      </c>
      <c r="O277" s="23">
        <f t="shared" ref="O277:O308" si="83">N277/1000</f>
        <v>1.0240000000000001E-2</v>
      </c>
      <c r="P277" s="23">
        <f t="shared" ref="P277:P308" si="84">O277*18</f>
        <v>0.18432000000000001</v>
      </c>
      <c r="Q277" s="7">
        <f t="shared" ref="Q277:Q308" si="85">P277/1000</f>
        <v>1.8432000000000002E-4</v>
      </c>
      <c r="R277" s="23">
        <f t="shared" ref="R277:R308" si="86">Q277*3600</f>
        <v>0.66355200000000014</v>
      </c>
      <c r="S277" s="5">
        <v>5.07</v>
      </c>
      <c r="T277" s="5">
        <v>1.03</v>
      </c>
      <c r="U277" s="3">
        <f t="shared" ref="U277:U308" si="87">T277*10000</f>
        <v>10300</v>
      </c>
      <c r="V277" s="8">
        <v>-0.73</v>
      </c>
      <c r="W277" s="8">
        <v>-2.48</v>
      </c>
      <c r="X277" s="5">
        <f t="shared" ref="X277:X308" si="88">V277-W277</f>
        <v>1.75</v>
      </c>
      <c r="Y277" s="23">
        <f t="shared" ref="Y277:Y308" si="89">R277/X277</f>
        <v>0.37917257142857153</v>
      </c>
      <c r="Z277" s="23">
        <f t="shared" si="80"/>
        <v>3905.4774857142866</v>
      </c>
      <c r="AA277" s="11">
        <f t="shared" si="81"/>
        <v>5.8464655717654299</v>
      </c>
      <c r="AB277" s="11">
        <f t="shared" si="82"/>
        <v>60218.595389183931</v>
      </c>
    </row>
    <row r="278" spans="1:28" ht="17.25" customHeight="1" x14ac:dyDescent="0.2">
      <c r="A278" t="s">
        <v>9</v>
      </c>
      <c r="B278" s="20">
        <v>666</v>
      </c>
      <c r="C278" s="20">
        <v>105</v>
      </c>
      <c r="D278" s="20">
        <v>7</v>
      </c>
      <c r="E278" t="s">
        <v>75</v>
      </c>
      <c r="F278" s="26">
        <v>45155</v>
      </c>
      <c r="G278" t="s">
        <v>76</v>
      </c>
      <c r="H278" s="5">
        <v>33.61</v>
      </c>
      <c r="I278" s="5">
        <v>35.770000000000003</v>
      </c>
      <c r="J278" s="3">
        <v>32</v>
      </c>
      <c r="K278" s="5">
        <v>2.79</v>
      </c>
      <c r="L278" s="5">
        <v>0.4</v>
      </c>
      <c r="M278" s="3">
        <f t="shared" si="79"/>
        <v>400</v>
      </c>
      <c r="N278" s="5">
        <v>10.52</v>
      </c>
      <c r="O278" s="23">
        <f t="shared" si="83"/>
        <v>1.052E-2</v>
      </c>
      <c r="P278" s="23">
        <f t="shared" si="84"/>
        <v>0.18936</v>
      </c>
      <c r="Q278" s="7">
        <f t="shared" si="85"/>
        <v>1.8935999999999999E-4</v>
      </c>
      <c r="R278" s="23">
        <f t="shared" si="86"/>
        <v>0.68169599999999997</v>
      </c>
      <c r="S278" s="5">
        <v>3.34</v>
      </c>
      <c r="T278" s="5">
        <v>0.91</v>
      </c>
      <c r="U278" s="3">
        <f t="shared" si="87"/>
        <v>9100</v>
      </c>
      <c r="V278" s="8">
        <v>-0.59</v>
      </c>
      <c r="W278" s="8">
        <v>-1.85</v>
      </c>
      <c r="X278" s="5">
        <f t="shared" si="88"/>
        <v>1.2600000000000002</v>
      </c>
      <c r="Y278" s="23">
        <f t="shared" si="89"/>
        <v>0.5410285714285713</v>
      </c>
      <c r="Z278" s="23">
        <f t="shared" si="80"/>
        <v>4923.3599999999988</v>
      </c>
      <c r="AA278" s="11">
        <f t="shared" si="81"/>
        <v>8.3421248121435951</v>
      </c>
      <c r="AB278" s="11">
        <f t="shared" si="82"/>
        <v>75913.33579050671</v>
      </c>
    </row>
    <row r="279" spans="1:28" ht="17.25" customHeight="1" x14ac:dyDescent="0.2">
      <c r="A279" t="s">
        <v>9</v>
      </c>
      <c r="B279" s="20">
        <v>666</v>
      </c>
      <c r="C279" s="20">
        <v>105</v>
      </c>
      <c r="D279" s="20">
        <v>8</v>
      </c>
      <c r="E279" t="s">
        <v>75</v>
      </c>
      <c r="F279" s="26">
        <v>45155</v>
      </c>
      <c r="G279" t="s">
        <v>76</v>
      </c>
      <c r="H279" s="5">
        <v>33.4</v>
      </c>
      <c r="I279" s="5">
        <v>35.130000000000003</v>
      </c>
      <c r="J279" s="5">
        <v>31.71</v>
      </c>
      <c r="K279" s="5">
        <v>2.79</v>
      </c>
      <c r="L279" s="5">
        <v>0.22</v>
      </c>
      <c r="M279" s="3">
        <f t="shared" si="79"/>
        <v>220</v>
      </c>
      <c r="N279" s="5">
        <v>5.6</v>
      </c>
      <c r="O279" s="23">
        <f t="shared" si="83"/>
        <v>5.5999999999999999E-3</v>
      </c>
      <c r="P279" s="23">
        <f t="shared" si="84"/>
        <v>0.1008</v>
      </c>
      <c r="Q279" s="7">
        <f t="shared" si="85"/>
        <v>1.008E-4</v>
      </c>
      <c r="R279" s="23">
        <f t="shared" si="86"/>
        <v>0.36287999999999998</v>
      </c>
      <c r="S279" s="5">
        <v>2.64</v>
      </c>
      <c r="T279" s="5">
        <v>0.69</v>
      </c>
      <c r="U279" s="5">
        <f t="shared" si="87"/>
        <v>6899.9999999999991</v>
      </c>
      <c r="V279" s="8">
        <v>-0.52</v>
      </c>
      <c r="W279" s="8">
        <v>-1.77</v>
      </c>
      <c r="X279" s="5">
        <f t="shared" si="88"/>
        <v>1.25</v>
      </c>
      <c r="Y279" s="23">
        <f t="shared" si="89"/>
        <v>0.29030400000000001</v>
      </c>
      <c r="Z279" s="23">
        <f t="shared" si="80"/>
        <v>2003.0975999999998</v>
      </c>
      <c r="AA279" s="11">
        <f t="shared" si="81"/>
        <v>4.4762002033829065</v>
      </c>
      <c r="AB279" s="11">
        <f t="shared" si="82"/>
        <v>30885.781403342051</v>
      </c>
    </row>
    <row r="280" spans="1:28" ht="17.25" customHeight="1" x14ac:dyDescent="0.2">
      <c r="A280" t="s">
        <v>9</v>
      </c>
      <c r="B280" s="20">
        <v>666</v>
      </c>
      <c r="C280" s="20">
        <v>105</v>
      </c>
      <c r="D280" s="20">
        <v>9</v>
      </c>
      <c r="E280" t="s">
        <v>75</v>
      </c>
      <c r="F280" s="26">
        <v>45154</v>
      </c>
      <c r="G280" t="s">
        <v>76</v>
      </c>
      <c r="H280" s="5">
        <v>43.55</v>
      </c>
      <c r="I280" s="5">
        <v>34.35</v>
      </c>
      <c r="J280" s="5">
        <v>30.65</v>
      </c>
      <c r="K280" s="5">
        <v>2.0499999999999998</v>
      </c>
      <c r="L280" s="5">
        <v>0.31</v>
      </c>
      <c r="M280" s="3">
        <f t="shared" si="79"/>
        <v>310</v>
      </c>
      <c r="N280" s="5">
        <v>5.92</v>
      </c>
      <c r="O280" s="23">
        <f t="shared" si="83"/>
        <v>5.9199999999999999E-3</v>
      </c>
      <c r="P280" s="23">
        <f t="shared" si="84"/>
        <v>0.10656</v>
      </c>
      <c r="Q280" s="7">
        <f t="shared" si="85"/>
        <v>1.0656E-4</v>
      </c>
      <c r="R280" s="23">
        <f t="shared" si="86"/>
        <v>0.38361600000000001</v>
      </c>
      <c r="S280" s="5">
        <v>5.01</v>
      </c>
      <c r="T280" s="5">
        <v>1.0900000000000001</v>
      </c>
      <c r="U280" s="3">
        <f t="shared" si="87"/>
        <v>10900</v>
      </c>
      <c r="V280" s="8">
        <v>-0.51</v>
      </c>
      <c r="W280" s="8">
        <v>-1.81</v>
      </c>
      <c r="X280" s="5">
        <f t="shared" si="88"/>
        <v>1.3</v>
      </c>
      <c r="Y280" s="23">
        <f t="shared" si="89"/>
        <v>0.29508923076923077</v>
      </c>
      <c r="Z280" s="23">
        <f t="shared" si="80"/>
        <v>3216.4726153846154</v>
      </c>
      <c r="AA280" s="11">
        <f t="shared" si="81"/>
        <v>4.5499837232188876</v>
      </c>
      <c r="AB280" s="11">
        <f t="shared" si="82"/>
        <v>49594.822583085872</v>
      </c>
    </row>
    <row r="281" spans="1:28" ht="17.25" customHeight="1" x14ac:dyDescent="0.2">
      <c r="A281" t="s">
        <v>9</v>
      </c>
      <c r="B281" s="20">
        <v>666</v>
      </c>
      <c r="C281" s="20">
        <v>118</v>
      </c>
      <c r="D281" s="20">
        <v>10</v>
      </c>
      <c r="E281" t="s">
        <v>75</v>
      </c>
      <c r="F281" s="26">
        <v>45154</v>
      </c>
      <c r="G281" t="s">
        <v>76</v>
      </c>
      <c r="H281" s="5">
        <v>29.28</v>
      </c>
      <c r="I281" s="5">
        <v>38.200000000000003</v>
      </c>
      <c r="J281" s="5">
        <v>33.770000000000003</v>
      </c>
      <c r="K281" s="5">
        <v>3.29</v>
      </c>
      <c r="L281" s="5">
        <v>0.3</v>
      </c>
      <c r="M281" s="3">
        <f t="shared" si="79"/>
        <v>300</v>
      </c>
      <c r="N281" s="5">
        <v>9.1199999999999992</v>
      </c>
      <c r="O281" s="23">
        <f t="shared" si="83"/>
        <v>9.1199999999999996E-3</v>
      </c>
      <c r="P281" s="23">
        <f t="shared" si="84"/>
        <v>0.16416</v>
      </c>
      <c r="Q281" s="7">
        <f t="shared" si="85"/>
        <v>1.6416E-4</v>
      </c>
      <c r="R281" s="23">
        <f t="shared" si="86"/>
        <v>0.59097599999999995</v>
      </c>
      <c r="S281" s="5">
        <v>3.56</v>
      </c>
      <c r="T281" s="5">
        <v>1</v>
      </c>
      <c r="U281" s="3">
        <f t="shared" si="87"/>
        <v>10000</v>
      </c>
      <c r="V281" s="8">
        <v>-0.42</v>
      </c>
      <c r="W281" s="8">
        <v>-1.82</v>
      </c>
      <c r="X281" s="5">
        <f t="shared" si="88"/>
        <v>1.4000000000000001</v>
      </c>
      <c r="Y281" s="23">
        <f t="shared" si="89"/>
        <v>0.42212571428571422</v>
      </c>
      <c r="Z281" s="23">
        <f t="shared" si="80"/>
        <v>4221.2571428571418</v>
      </c>
      <c r="AA281" s="11">
        <f t="shared" si="81"/>
        <v>6.5087604998169786</v>
      </c>
      <c r="AB281" s="11">
        <f t="shared" si="82"/>
        <v>65087.604998169787</v>
      </c>
    </row>
    <row r="282" spans="1:28" ht="17.25" customHeight="1" x14ac:dyDescent="0.2">
      <c r="A282" t="s">
        <v>9</v>
      </c>
      <c r="B282" s="20">
        <v>666</v>
      </c>
      <c r="C282" s="20">
        <v>118</v>
      </c>
      <c r="D282" s="20">
        <v>11</v>
      </c>
      <c r="E282" t="s">
        <v>75</v>
      </c>
      <c r="F282" s="26">
        <v>45154</v>
      </c>
      <c r="G282" t="s">
        <v>76</v>
      </c>
      <c r="H282" s="5">
        <v>42.46</v>
      </c>
      <c r="I282" s="5">
        <v>34.409999999999997</v>
      </c>
      <c r="J282" s="5">
        <v>31.33</v>
      </c>
      <c r="K282" s="5">
        <v>2.27</v>
      </c>
      <c r="L282" s="5">
        <v>0.12</v>
      </c>
      <c r="M282" s="3">
        <f t="shared" si="79"/>
        <v>120</v>
      </c>
      <c r="N282" s="5">
        <v>2.58</v>
      </c>
      <c r="O282" s="23">
        <f t="shared" si="83"/>
        <v>2.5800000000000003E-3</v>
      </c>
      <c r="P282" s="23">
        <f t="shared" si="84"/>
        <v>4.6440000000000002E-2</v>
      </c>
      <c r="Q282" s="7">
        <f t="shared" si="85"/>
        <v>4.6440000000000003E-5</v>
      </c>
      <c r="R282" s="23">
        <f t="shared" si="86"/>
        <v>0.167184</v>
      </c>
      <c r="S282" s="5">
        <v>3.32</v>
      </c>
      <c r="T282" s="5">
        <v>0.91</v>
      </c>
      <c r="U282" s="3">
        <f t="shared" si="87"/>
        <v>9100</v>
      </c>
      <c r="V282" s="8">
        <v>-0.39</v>
      </c>
      <c r="W282" s="8">
        <v>-1.94</v>
      </c>
      <c r="X282" s="5">
        <f t="shared" si="88"/>
        <v>1.5499999999999998</v>
      </c>
      <c r="Y282" s="23">
        <f t="shared" si="89"/>
        <v>0.10786064516129033</v>
      </c>
      <c r="Z282" s="23">
        <f t="shared" si="80"/>
        <v>981.53187096774207</v>
      </c>
      <c r="AA282" s="11">
        <f t="shared" si="81"/>
        <v>1.6631043382384645</v>
      </c>
      <c r="AB282" s="11">
        <f t="shared" si="82"/>
        <v>15134.249477970026</v>
      </c>
    </row>
    <row r="283" spans="1:28" ht="17.25" customHeight="1" x14ac:dyDescent="0.2">
      <c r="A283" t="s">
        <v>9</v>
      </c>
      <c r="B283" s="20">
        <v>666</v>
      </c>
      <c r="C283" s="20">
        <v>118</v>
      </c>
      <c r="D283" s="20">
        <v>12</v>
      </c>
      <c r="E283" t="s">
        <v>75</v>
      </c>
      <c r="F283" s="26">
        <v>45155</v>
      </c>
      <c r="G283" t="s">
        <v>76</v>
      </c>
      <c r="H283" s="5">
        <v>32.71</v>
      </c>
      <c r="I283" s="5">
        <v>36.229999999999997</v>
      </c>
      <c r="J283" s="5">
        <v>33.01</v>
      </c>
      <c r="K283" s="5">
        <v>3.07</v>
      </c>
      <c r="L283" s="5">
        <v>0.23</v>
      </c>
      <c r="M283" s="3">
        <f t="shared" si="79"/>
        <v>230</v>
      </c>
      <c r="N283" s="5">
        <v>6.48</v>
      </c>
      <c r="O283" s="23">
        <f t="shared" si="83"/>
        <v>6.4800000000000005E-3</v>
      </c>
      <c r="P283" s="23">
        <f t="shared" si="84"/>
        <v>0.11664000000000001</v>
      </c>
      <c r="Q283" s="7">
        <f t="shared" si="85"/>
        <v>1.1664000000000001E-4</v>
      </c>
      <c r="R283" s="23">
        <f t="shared" si="86"/>
        <v>0.41990400000000005</v>
      </c>
      <c r="S283" s="5">
        <v>1.61</v>
      </c>
      <c r="T283" s="5">
        <v>0.5</v>
      </c>
      <c r="U283" s="3">
        <f t="shared" si="87"/>
        <v>5000</v>
      </c>
      <c r="V283" s="8">
        <v>-0.35</v>
      </c>
      <c r="W283" s="8">
        <v>-1.97</v>
      </c>
      <c r="X283" s="5">
        <f t="shared" si="88"/>
        <v>1.62</v>
      </c>
      <c r="Y283" s="23">
        <f t="shared" si="89"/>
        <v>0.25920000000000004</v>
      </c>
      <c r="Z283" s="23">
        <f t="shared" si="80"/>
        <v>1296.0000000000002</v>
      </c>
      <c r="AA283" s="11">
        <f t="shared" si="81"/>
        <v>3.9966073244490241</v>
      </c>
      <c r="AB283" s="11">
        <f t="shared" si="82"/>
        <v>19983.036622245119</v>
      </c>
    </row>
    <row r="284" spans="1:28" ht="17.25" customHeight="1" x14ac:dyDescent="0.2">
      <c r="A284" t="s">
        <v>9</v>
      </c>
      <c r="B284" s="20">
        <v>666</v>
      </c>
      <c r="C284" s="20">
        <v>122</v>
      </c>
      <c r="D284" s="20">
        <v>16</v>
      </c>
      <c r="E284" t="s">
        <v>75</v>
      </c>
      <c r="F284" s="26">
        <v>45154</v>
      </c>
      <c r="G284" t="s">
        <v>76</v>
      </c>
      <c r="H284" s="5">
        <v>40.869999999999997</v>
      </c>
      <c r="I284" s="5">
        <v>35.28</v>
      </c>
      <c r="J284" s="5">
        <v>32.28</v>
      </c>
      <c r="K284" s="5">
        <v>2.5</v>
      </c>
      <c r="L284" s="5">
        <v>0.28000000000000003</v>
      </c>
      <c r="M284" s="3">
        <f t="shared" si="79"/>
        <v>280</v>
      </c>
      <c r="N284" s="5">
        <v>6.64</v>
      </c>
      <c r="O284" s="23">
        <f t="shared" si="83"/>
        <v>6.6400000000000001E-3</v>
      </c>
      <c r="P284" s="23">
        <f t="shared" si="84"/>
        <v>0.11952</v>
      </c>
      <c r="Q284" s="7">
        <f t="shared" si="85"/>
        <v>1.1952000000000001E-4</v>
      </c>
      <c r="R284" s="23">
        <f t="shared" si="86"/>
        <v>0.43027200000000004</v>
      </c>
      <c r="S284" s="5">
        <v>7.05</v>
      </c>
      <c r="T284" s="5">
        <v>2.21</v>
      </c>
      <c r="U284" s="3">
        <f t="shared" si="87"/>
        <v>22100</v>
      </c>
      <c r="V284" s="8">
        <v>-0.42</v>
      </c>
      <c r="W284" s="8">
        <v>-1.35</v>
      </c>
      <c r="X284" s="5">
        <f t="shared" si="88"/>
        <v>0.93000000000000016</v>
      </c>
      <c r="Y284" s="23">
        <f t="shared" si="89"/>
        <v>0.46265806451612901</v>
      </c>
      <c r="Z284" s="23">
        <f t="shared" si="80"/>
        <v>10224.743225806451</v>
      </c>
      <c r="AA284" s="11">
        <f t="shared" si="81"/>
        <v>7.1337292027799766</v>
      </c>
      <c r="AB284" s="11">
        <f t="shared" si="82"/>
        <v>157655.41538143749</v>
      </c>
    </row>
    <row r="285" spans="1:28" ht="17.25" customHeight="1" x14ac:dyDescent="0.2">
      <c r="A285" t="s">
        <v>9</v>
      </c>
      <c r="B285" s="20">
        <v>666</v>
      </c>
      <c r="C285" s="20">
        <v>122</v>
      </c>
      <c r="D285" s="20">
        <v>17</v>
      </c>
      <c r="E285" t="s">
        <v>75</v>
      </c>
      <c r="F285" s="26">
        <v>45154</v>
      </c>
      <c r="G285" t="s">
        <v>76</v>
      </c>
      <c r="H285" s="5">
        <v>34.68</v>
      </c>
      <c r="I285" s="5">
        <v>36.81</v>
      </c>
      <c r="J285" s="5">
        <v>32.5</v>
      </c>
      <c r="K285" s="5">
        <v>2.75</v>
      </c>
      <c r="L285" s="5">
        <v>0.28999999999999998</v>
      </c>
      <c r="M285" s="3">
        <f t="shared" si="79"/>
        <v>290</v>
      </c>
      <c r="N285" s="5">
        <v>7.56</v>
      </c>
      <c r="O285" s="23">
        <f t="shared" si="83"/>
        <v>7.5599999999999999E-3</v>
      </c>
      <c r="P285" s="23">
        <f t="shared" si="84"/>
        <v>0.13608000000000001</v>
      </c>
      <c r="Q285" s="7">
        <f t="shared" si="85"/>
        <v>1.3608000000000001E-4</v>
      </c>
      <c r="R285" s="23">
        <f t="shared" si="86"/>
        <v>0.48988800000000005</v>
      </c>
      <c r="S285" s="5">
        <v>4.82</v>
      </c>
      <c r="T285" s="5">
        <v>1.19</v>
      </c>
      <c r="U285" s="3">
        <f t="shared" si="87"/>
        <v>11900</v>
      </c>
      <c r="V285" s="8">
        <v>-0.66</v>
      </c>
      <c r="W285" s="8">
        <v>-1.39</v>
      </c>
      <c r="X285" s="5">
        <f t="shared" si="88"/>
        <v>0.72999999999999987</v>
      </c>
      <c r="Y285" s="23">
        <f t="shared" si="89"/>
        <v>0.67107945205479469</v>
      </c>
      <c r="Z285" s="23">
        <f t="shared" si="80"/>
        <v>7985.8454794520567</v>
      </c>
      <c r="AA285" s="11">
        <f t="shared" si="81"/>
        <v>10.347380607135147</v>
      </c>
      <c r="AB285" s="11">
        <f t="shared" si="82"/>
        <v>123133.82922490824</v>
      </c>
    </row>
    <row r="286" spans="1:28" ht="17.25" customHeight="1" x14ac:dyDescent="0.2">
      <c r="A286" t="s">
        <v>9</v>
      </c>
      <c r="B286" s="20">
        <v>666</v>
      </c>
      <c r="C286" s="20">
        <v>122</v>
      </c>
      <c r="D286" s="20">
        <v>18</v>
      </c>
      <c r="E286" t="s">
        <v>75</v>
      </c>
      <c r="F286" s="26">
        <v>45155</v>
      </c>
      <c r="G286" t="s">
        <v>76</v>
      </c>
      <c r="H286" s="5">
        <v>29.99</v>
      </c>
      <c r="I286" s="5">
        <v>37.369999999999997</v>
      </c>
      <c r="J286" s="5">
        <v>33.78</v>
      </c>
      <c r="K286" s="5">
        <v>3.34</v>
      </c>
      <c r="L286" s="5">
        <v>0.31</v>
      </c>
      <c r="M286" s="3">
        <f t="shared" si="79"/>
        <v>310</v>
      </c>
      <c r="N286" s="5">
        <v>9.83</v>
      </c>
      <c r="O286" s="23">
        <f t="shared" si="83"/>
        <v>9.8300000000000002E-3</v>
      </c>
      <c r="P286" s="23">
        <f t="shared" si="84"/>
        <v>0.17694000000000001</v>
      </c>
      <c r="Q286" s="7">
        <f t="shared" si="85"/>
        <v>1.7694000000000002E-4</v>
      </c>
      <c r="R286" s="23">
        <f t="shared" si="86"/>
        <v>0.63698400000000011</v>
      </c>
      <c r="S286" s="5">
        <v>7.37</v>
      </c>
      <c r="T286" s="5">
        <v>1.96</v>
      </c>
      <c r="U286" s="3">
        <f t="shared" si="87"/>
        <v>19600</v>
      </c>
      <c r="V286" s="8">
        <v>-0.75</v>
      </c>
      <c r="W286" s="8">
        <v>-1.96</v>
      </c>
      <c r="X286" s="5">
        <f t="shared" si="88"/>
        <v>1.21</v>
      </c>
      <c r="Y286" s="23">
        <f t="shared" si="89"/>
        <v>0.52643305785123973</v>
      </c>
      <c r="Z286" s="23">
        <f t="shared" si="80"/>
        <v>10318.087933884299</v>
      </c>
      <c r="AA286" s="11">
        <f t="shared" si="81"/>
        <v>8.1170764461433684</v>
      </c>
      <c r="AB286" s="11">
        <f t="shared" si="82"/>
        <v>159094.69834441002</v>
      </c>
    </row>
    <row r="287" spans="1:28" ht="17.25" customHeight="1" x14ac:dyDescent="0.2">
      <c r="A287" t="s">
        <v>9</v>
      </c>
      <c r="B287" s="20">
        <v>666</v>
      </c>
      <c r="C287" s="20">
        <v>123</v>
      </c>
      <c r="D287" s="20">
        <v>19</v>
      </c>
      <c r="E287" t="s">
        <v>75</v>
      </c>
      <c r="F287" s="26">
        <v>45155</v>
      </c>
      <c r="G287" t="s">
        <v>76</v>
      </c>
      <c r="H287" s="5">
        <v>37.15</v>
      </c>
      <c r="I287" s="5">
        <v>32.79</v>
      </c>
      <c r="J287" s="5">
        <v>29.12</v>
      </c>
      <c r="K287" s="5">
        <v>2.19</v>
      </c>
      <c r="L287" s="5">
        <v>0.37</v>
      </c>
      <c r="M287" s="3">
        <f t="shared" si="79"/>
        <v>370</v>
      </c>
      <c r="N287" s="5">
        <v>7.55</v>
      </c>
      <c r="O287" s="23">
        <f t="shared" si="83"/>
        <v>7.5499999999999994E-3</v>
      </c>
      <c r="P287" s="23">
        <f t="shared" si="84"/>
        <v>0.13589999999999999</v>
      </c>
      <c r="Q287" s="7">
        <f t="shared" si="85"/>
        <v>1.359E-4</v>
      </c>
      <c r="R287" s="23">
        <f t="shared" si="86"/>
        <v>0.48924000000000001</v>
      </c>
      <c r="S287" s="5">
        <v>6.06</v>
      </c>
      <c r="T287" s="5">
        <v>1.55</v>
      </c>
      <c r="U287" s="3">
        <f t="shared" si="87"/>
        <v>15500</v>
      </c>
      <c r="V287" s="8">
        <v>-0.55000000000000004</v>
      </c>
      <c r="W287" s="8">
        <v>-1.89</v>
      </c>
      <c r="X287" s="5">
        <f t="shared" si="88"/>
        <v>1.3399999999999999</v>
      </c>
      <c r="Y287" s="23">
        <f t="shared" si="89"/>
        <v>0.36510447761194037</v>
      </c>
      <c r="Z287" s="23">
        <f t="shared" si="80"/>
        <v>5659.1194029850758</v>
      </c>
      <c r="AA287" s="11">
        <f t="shared" si="81"/>
        <v>5.6295494961921877</v>
      </c>
      <c r="AB287" s="11">
        <f t="shared" si="82"/>
        <v>87258.017190978906</v>
      </c>
    </row>
    <row r="288" spans="1:28" ht="17.25" customHeight="1" x14ac:dyDescent="0.2">
      <c r="A288" t="s">
        <v>9</v>
      </c>
      <c r="B288" s="20">
        <v>666</v>
      </c>
      <c r="C288" s="20">
        <v>123</v>
      </c>
      <c r="D288" s="20">
        <v>20</v>
      </c>
      <c r="E288" t="s">
        <v>75</v>
      </c>
      <c r="F288" s="26">
        <v>45155</v>
      </c>
      <c r="G288" t="s">
        <v>76</v>
      </c>
      <c r="H288" s="5">
        <v>36.39</v>
      </c>
      <c r="I288" s="5">
        <v>33.619999999999997</v>
      </c>
      <c r="J288" s="5">
        <v>30.28</v>
      </c>
      <c r="K288" s="5">
        <v>2.42</v>
      </c>
      <c r="L288" s="5">
        <v>0.36</v>
      </c>
      <c r="M288" s="3">
        <f t="shared" si="79"/>
        <v>360</v>
      </c>
      <c r="N288" s="5">
        <v>8.0500000000000007</v>
      </c>
      <c r="O288" s="23">
        <f t="shared" si="83"/>
        <v>8.0499999999999999E-3</v>
      </c>
      <c r="P288" s="23">
        <f t="shared" si="84"/>
        <v>0.1449</v>
      </c>
      <c r="Q288" s="7">
        <f t="shared" si="85"/>
        <v>1.449E-4</v>
      </c>
      <c r="R288" s="23">
        <f t="shared" si="86"/>
        <v>0.52163999999999999</v>
      </c>
      <c r="S288" s="5">
        <v>5.82</v>
      </c>
      <c r="T288" s="5">
        <v>2.02</v>
      </c>
      <c r="U288" s="3">
        <f t="shared" si="87"/>
        <v>20200</v>
      </c>
      <c r="V288" s="8">
        <v>-1.38</v>
      </c>
      <c r="W288" s="8">
        <v>-2.11</v>
      </c>
      <c r="X288" s="5">
        <f t="shared" si="88"/>
        <v>0.73</v>
      </c>
      <c r="Y288" s="23">
        <f t="shared" si="89"/>
        <v>0.71457534246575338</v>
      </c>
      <c r="Z288" s="23">
        <f t="shared" si="80"/>
        <v>14434.421917808218</v>
      </c>
      <c r="AA288" s="11">
        <f t="shared" si="81"/>
        <v>11.01804416500501</v>
      </c>
      <c r="AB288" s="11">
        <f t="shared" si="82"/>
        <v>222564.49213310122</v>
      </c>
    </row>
    <row r="289" spans="1:28" ht="17.25" customHeight="1" x14ac:dyDescent="0.2">
      <c r="A289" t="s">
        <v>9</v>
      </c>
      <c r="B289" s="20">
        <v>666</v>
      </c>
      <c r="C289" s="20">
        <v>123</v>
      </c>
      <c r="D289" s="20">
        <v>22</v>
      </c>
      <c r="E289" t="s">
        <v>75</v>
      </c>
      <c r="F289" s="26">
        <v>45155</v>
      </c>
      <c r="G289" t="s">
        <v>76</v>
      </c>
      <c r="H289" s="5">
        <v>33.14</v>
      </c>
      <c r="I289" s="5">
        <v>37.11</v>
      </c>
      <c r="J289" s="5">
        <v>32.17</v>
      </c>
      <c r="K289" s="5">
        <v>2.71</v>
      </c>
      <c r="L289" s="5">
        <v>0.44</v>
      </c>
      <c r="M289" s="3">
        <f t="shared" si="79"/>
        <v>440</v>
      </c>
      <c r="N289" s="5">
        <v>11.25</v>
      </c>
      <c r="O289" s="23">
        <f t="shared" si="83"/>
        <v>1.125E-2</v>
      </c>
      <c r="P289" s="23">
        <f t="shared" si="84"/>
        <v>0.20249999999999999</v>
      </c>
      <c r="Q289" s="7">
        <f t="shared" si="85"/>
        <v>2.0249999999999999E-4</v>
      </c>
      <c r="R289" s="23">
        <f t="shared" si="86"/>
        <v>0.72899999999999998</v>
      </c>
      <c r="S289" s="5">
        <v>4.78</v>
      </c>
      <c r="T289" s="5">
        <v>1.58</v>
      </c>
      <c r="U289" s="3">
        <f t="shared" si="87"/>
        <v>15800</v>
      </c>
      <c r="V289" s="8">
        <v>-0.69</v>
      </c>
      <c r="W289" s="8">
        <v>-2.1</v>
      </c>
      <c r="X289" s="5">
        <f t="shared" si="88"/>
        <v>1.4100000000000001</v>
      </c>
      <c r="Y289" s="23">
        <f t="shared" si="89"/>
        <v>0.51702127659574459</v>
      </c>
      <c r="Z289" s="23">
        <f t="shared" si="80"/>
        <v>8168.9361702127644</v>
      </c>
      <c r="AA289" s="11">
        <f t="shared" si="81"/>
        <v>7.971956099299911</v>
      </c>
      <c r="AB289" s="11">
        <f t="shared" si="82"/>
        <v>125956.90636893859</v>
      </c>
    </row>
    <row r="290" spans="1:28" ht="17.25" customHeight="1" x14ac:dyDescent="0.2">
      <c r="A290" t="s">
        <v>10</v>
      </c>
      <c r="B290" s="20">
        <v>1212</v>
      </c>
      <c r="C290" s="20">
        <v>3</v>
      </c>
      <c r="D290" s="20">
        <v>29</v>
      </c>
      <c r="E290" t="s">
        <v>75</v>
      </c>
      <c r="F290" s="26">
        <v>45155</v>
      </c>
      <c r="G290" t="s">
        <v>76</v>
      </c>
      <c r="H290" s="5">
        <v>32.74</v>
      </c>
      <c r="I290" s="5">
        <v>36.31</v>
      </c>
      <c r="J290" s="5">
        <v>33.82</v>
      </c>
      <c r="K290" s="5">
        <v>3.29</v>
      </c>
      <c r="L290" s="5">
        <v>0.16</v>
      </c>
      <c r="M290" s="3">
        <f t="shared" si="79"/>
        <v>160</v>
      </c>
      <c r="N290" s="5">
        <v>5.03</v>
      </c>
      <c r="O290" s="23">
        <f t="shared" si="83"/>
        <v>5.0300000000000006E-3</v>
      </c>
      <c r="P290" s="23">
        <f t="shared" si="84"/>
        <v>9.0540000000000009E-2</v>
      </c>
      <c r="Q290" s="7">
        <f t="shared" si="85"/>
        <v>9.0540000000000011E-5</v>
      </c>
      <c r="R290" s="23">
        <f t="shared" si="86"/>
        <v>0.32594400000000001</v>
      </c>
      <c r="S290" s="5">
        <v>8.68</v>
      </c>
      <c r="T290" s="5">
        <v>2.3199999999999998</v>
      </c>
      <c r="U290" s="3">
        <f t="shared" si="87"/>
        <v>23200</v>
      </c>
      <c r="V290" s="8">
        <v>-0.56000000000000005</v>
      </c>
      <c r="W290" s="8">
        <v>-1.69</v>
      </c>
      <c r="X290" s="5">
        <f t="shared" si="88"/>
        <v>1.1299999999999999</v>
      </c>
      <c r="Y290" s="23">
        <f t="shared" si="89"/>
        <v>0.2884460176991151</v>
      </c>
      <c r="Z290" s="23">
        <f t="shared" si="80"/>
        <v>6691.9476106194707</v>
      </c>
      <c r="AA290" s="11">
        <f t="shared" si="81"/>
        <v>4.4475519561899537</v>
      </c>
      <c r="AB290" s="11">
        <f t="shared" si="82"/>
        <v>103183.20538360692</v>
      </c>
    </row>
    <row r="291" spans="1:28" ht="17.25" customHeight="1" x14ac:dyDescent="0.2">
      <c r="A291" t="s">
        <v>10</v>
      </c>
      <c r="B291" s="20">
        <v>1212</v>
      </c>
      <c r="C291" s="20">
        <v>3</v>
      </c>
      <c r="D291" s="20">
        <v>30</v>
      </c>
      <c r="E291" t="s">
        <v>75</v>
      </c>
      <c r="F291" s="26">
        <v>45155</v>
      </c>
      <c r="G291" t="s">
        <v>76</v>
      </c>
      <c r="H291" s="5">
        <v>32.81</v>
      </c>
      <c r="I291" s="5">
        <v>36.520000000000003</v>
      </c>
      <c r="J291" s="5">
        <v>32.57</v>
      </c>
      <c r="K291" s="5">
        <v>2.91</v>
      </c>
      <c r="L291" s="5">
        <v>0.19</v>
      </c>
      <c r="M291" s="3">
        <f t="shared" si="79"/>
        <v>190</v>
      </c>
      <c r="N291" s="5">
        <v>5.18</v>
      </c>
      <c r="O291" s="23">
        <f t="shared" si="83"/>
        <v>5.1799999999999997E-3</v>
      </c>
      <c r="P291" s="23">
        <f t="shared" si="84"/>
        <v>9.323999999999999E-2</v>
      </c>
      <c r="Q291" s="7">
        <f t="shared" si="85"/>
        <v>9.3239999999999995E-5</v>
      </c>
      <c r="R291" s="23">
        <f t="shared" si="86"/>
        <v>0.33566399999999996</v>
      </c>
      <c r="S291" s="5">
        <v>7</v>
      </c>
      <c r="T291" s="5">
        <v>2.4300000000000002</v>
      </c>
      <c r="U291" s="3">
        <f t="shared" si="87"/>
        <v>24300</v>
      </c>
      <c r="V291" s="8">
        <v>-0.51</v>
      </c>
      <c r="W291" s="8">
        <v>-2.15</v>
      </c>
      <c r="X291" s="5">
        <f t="shared" si="88"/>
        <v>1.64</v>
      </c>
      <c r="Y291" s="23">
        <f t="shared" si="89"/>
        <v>0.20467317073170729</v>
      </c>
      <c r="Z291" s="23">
        <f t="shared" si="80"/>
        <v>4973.5580487804873</v>
      </c>
      <c r="AA291" s="11">
        <f t="shared" si="81"/>
        <v>3.1558576129033442</v>
      </c>
      <c r="AB291" s="11">
        <f t="shared" si="82"/>
        <v>76687.339993551257</v>
      </c>
    </row>
    <row r="292" spans="1:28" ht="17.25" customHeight="1" x14ac:dyDescent="0.2">
      <c r="A292" t="s">
        <v>10</v>
      </c>
      <c r="B292" s="20">
        <v>1212</v>
      </c>
      <c r="C292" s="20">
        <v>3</v>
      </c>
      <c r="D292" s="20">
        <v>31</v>
      </c>
      <c r="E292" t="s">
        <v>75</v>
      </c>
      <c r="F292" s="26">
        <v>45154</v>
      </c>
      <c r="G292" t="s">
        <v>76</v>
      </c>
      <c r="H292" s="5">
        <v>43.93</v>
      </c>
      <c r="I292" s="5">
        <v>34.619999999999997</v>
      </c>
      <c r="J292" s="5">
        <v>30.92</v>
      </c>
      <c r="K292" s="5">
        <v>2.06</v>
      </c>
      <c r="L292" s="5">
        <v>0.24</v>
      </c>
      <c r="M292" s="3">
        <f t="shared" si="79"/>
        <v>240</v>
      </c>
      <c r="N292" s="5">
        <v>4.63</v>
      </c>
      <c r="O292" s="23">
        <f t="shared" si="83"/>
        <v>4.6299999999999996E-3</v>
      </c>
      <c r="P292" s="23">
        <f t="shared" si="84"/>
        <v>8.3339999999999997E-2</v>
      </c>
      <c r="Q292" s="7">
        <f t="shared" si="85"/>
        <v>8.3339999999999998E-5</v>
      </c>
      <c r="R292" s="23">
        <f t="shared" si="86"/>
        <v>0.30002400000000001</v>
      </c>
      <c r="S292" s="5">
        <v>6.14</v>
      </c>
      <c r="T292" s="5">
        <v>1.8</v>
      </c>
      <c r="U292" s="3">
        <f t="shared" si="87"/>
        <v>18000</v>
      </c>
      <c r="V292" s="8">
        <v>-0.52</v>
      </c>
      <c r="W292" s="8">
        <v>-1.94</v>
      </c>
      <c r="X292" s="5">
        <f t="shared" si="88"/>
        <v>1.42</v>
      </c>
      <c r="Y292" s="23">
        <f t="shared" si="89"/>
        <v>0.21128450704225354</v>
      </c>
      <c r="Z292" s="23">
        <f t="shared" si="80"/>
        <v>3803.1211267605636</v>
      </c>
      <c r="AA292" s="11">
        <f t="shared" si="81"/>
        <v>3.2577978718660177</v>
      </c>
      <c r="AB292" s="11">
        <f t="shared" si="82"/>
        <v>58640.361693588318</v>
      </c>
    </row>
    <row r="293" spans="1:28" ht="17.25" customHeight="1" x14ac:dyDescent="0.2">
      <c r="A293" t="s">
        <v>10</v>
      </c>
      <c r="B293" s="20">
        <v>1212</v>
      </c>
      <c r="C293" s="20">
        <v>4</v>
      </c>
      <c r="D293" s="20">
        <v>32</v>
      </c>
      <c r="E293" t="s">
        <v>75</v>
      </c>
      <c r="F293" s="26">
        <v>45155</v>
      </c>
      <c r="G293" t="s">
        <v>76</v>
      </c>
      <c r="H293" s="5">
        <v>31.58</v>
      </c>
      <c r="I293" s="5">
        <v>36.46</v>
      </c>
      <c r="J293" s="5">
        <v>33.57</v>
      </c>
      <c r="K293" s="5">
        <v>3.27</v>
      </c>
      <c r="L293" s="5">
        <v>0.21</v>
      </c>
      <c r="M293" s="3">
        <f t="shared" si="79"/>
        <v>210</v>
      </c>
      <c r="N293" s="5">
        <v>6.31</v>
      </c>
      <c r="O293" s="23">
        <f t="shared" si="83"/>
        <v>6.3099999999999996E-3</v>
      </c>
      <c r="P293" s="23">
        <f t="shared" si="84"/>
        <v>0.11357999999999999</v>
      </c>
      <c r="Q293" s="7">
        <f t="shared" si="85"/>
        <v>1.1357999999999998E-4</v>
      </c>
      <c r="R293" s="23">
        <f t="shared" si="86"/>
        <v>0.40888799999999992</v>
      </c>
      <c r="S293" s="5">
        <v>6.68</v>
      </c>
      <c r="T293" s="5">
        <v>1.44</v>
      </c>
      <c r="U293" s="3">
        <f t="shared" si="87"/>
        <v>14400</v>
      </c>
      <c r="V293" s="8">
        <v>-0.49</v>
      </c>
      <c r="W293" s="8">
        <v>-1.91</v>
      </c>
      <c r="X293" s="5">
        <f t="shared" si="88"/>
        <v>1.42</v>
      </c>
      <c r="Y293" s="23">
        <f t="shared" si="89"/>
        <v>0.28794929577464784</v>
      </c>
      <c r="Z293" s="23">
        <f t="shared" si="80"/>
        <v>4146.4698591549286</v>
      </c>
      <c r="AA293" s="11">
        <f t="shared" si="81"/>
        <v>4.439892995998826</v>
      </c>
      <c r="AB293" s="11">
        <f t="shared" si="82"/>
        <v>63934.459142383093</v>
      </c>
    </row>
    <row r="294" spans="1:28" ht="17.25" customHeight="1" x14ac:dyDescent="0.2">
      <c r="A294" t="s">
        <v>10</v>
      </c>
      <c r="B294" s="20">
        <v>1212</v>
      </c>
      <c r="C294" s="20">
        <v>4</v>
      </c>
      <c r="D294" s="20">
        <v>33</v>
      </c>
      <c r="E294" t="s">
        <v>75</v>
      </c>
      <c r="F294" s="26">
        <v>45154</v>
      </c>
      <c r="G294" t="s">
        <v>76</v>
      </c>
      <c r="H294" s="5">
        <v>37.43</v>
      </c>
      <c r="I294" s="5">
        <v>36.549999999999997</v>
      </c>
      <c r="J294" s="5">
        <v>33.03</v>
      </c>
      <c r="K294" s="5">
        <v>2.75</v>
      </c>
      <c r="L294" s="5">
        <v>0.36</v>
      </c>
      <c r="M294" s="3">
        <f t="shared" si="79"/>
        <v>360</v>
      </c>
      <c r="N294" s="5">
        <v>9.23</v>
      </c>
      <c r="O294" s="23">
        <f t="shared" si="83"/>
        <v>9.2300000000000004E-3</v>
      </c>
      <c r="P294" s="23">
        <f t="shared" si="84"/>
        <v>0.16614000000000001</v>
      </c>
      <c r="Q294" s="7">
        <f t="shared" si="85"/>
        <v>1.6614000000000001E-4</v>
      </c>
      <c r="R294" s="23">
        <f t="shared" si="86"/>
        <v>0.59810399999999997</v>
      </c>
      <c r="S294" s="5">
        <v>14.08</v>
      </c>
      <c r="T294" s="5">
        <v>4.13</v>
      </c>
      <c r="U294" s="3">
        <f t="shared" si="87"/>
        <v>41300</v>
      </c>
      <c r="V294" s="8">
        <v>-0.59</v>
      </c>
      <c r="W294" s="8">
        <v>-1.76</v>
      </c>
      <c r="X294" s="5">
        <f t="shared" si="88"/>
        <v>1.17</v>
      </c>
      <c r="Y294" s="23">
        <f t="shared" si="89"/>
        <v>0.51119999999999999</v>
      </c>
      <c r="Z294" s="23">
        <f t="shared" si="80"/>
        <v>21112.560000000001</v>
      </c>
      <c r="AA294" s="11">
        <f t="shared" si="81"/>
        <v>7.8821977787744624</v>
      </c>
      <c r="AB294" s="11">
        <f t="shared" si="82"/>
        <v>325534.76826338528</v>
      </c>
    </row>
    <row r="295" spans="1:28" ht="17.25" customHeight="1" x14ac:dyDescent="0.2">
      <c r="A295" t="s">
        <v>10</v>
      </c>
      <c r="B295" s="20">
        <v>1212</v>
      </c>
      <c r="C295" s="20">
        <v>4</v>
      </c>
      <c r="D295" s="20">
        <v>34</v>
      </c>
      <c r="E295" t="s">
        <v>75</v>
      </c>
      <c r="F295" s="26">
        <v>45155</v>
      </c>
      <c r="G295" t="s">
        <v>76</v>
      </c>
      <c r="H295" s="5">
        <v>32.08</v>
      </c>
      <c r="I295" s="5">
        <v>36.729999999999997</v>
      </c>
      <c r="J295" s="5">
        <v>31.57</v>
      </c>
      <c r="K295" s="5">
        <v>2.66</v>
      </c>
      <c r="L295" s="5">
        <v>0.34</v>
      </c>
      <c r="M295" s="3">
        <f t="shared" si="79"/>
        <v>340</v>
      </c>
      <c r="N295" s="5">
        <v>8.43</v>
      </c>
      <c r="O295" s="23">
        <f t="shared" si="83"/>
        <v>8.43E-3</v>
      </c>
      <c r="P295" s="23">
        <f t="shared" si="84"/>
        <v>0.15173999999999999</v>
      </c>
      <c r="Q295" s="7">
        <f t="shared" si="85"/>
        <v>1.5173999999999998E-4</v>
      </c>
      <c r="R295" s="23">
        <f t="shared" si="86"/>
        <v>0.54626399999999997</v>
      </c>
      <c r="S295" s="5">
        <v>4.71</v>
      </c>
      <c r="T295" s="5">
        <v>1.38</v>
      </c>
      <c r="U295" s="5">
        <f t="shared" si="87"/>
        <v>13799.999999999998</v>
      </c>
      <c r="V295" s="8">
        <v>-1.02</v>
      </c>
      <c r="W295" s="8">
        <v>-2.46</v>
      </c>
      <c r="X295" s="5">
        <f t="shared" si="88"/>
        <v>1.44</v>
      </c>
      <c r="Y295" s="23">
        <f t="shared" si="89"/>
        <v>0.37935000000000002</v>
      </c>
      <c r="Z295" s="23">
        <f t="shared" si="80"/>
        <v>5235.03</v>
      </c>
      <c r="AA295" s="11">
        <f t="shared" si="81"/>
        <v>5.8492013446363309</v>
      </c>
      <c r="AB295" s="11">
        <f t="shared" si="82"/>
        <v>80718.978555981361</v>
      </c>
    </row>
    <row r="296" spans="1:28" ht="17.25" customHeight="1" x14ac:dyDescent="0.2">
      <c r="A296" t="s">
        <v>10</v>
      </c>
      <c r="B296" s="20">
        <v>1212</v>
      </c>
      <c r="C296" s="20">
        <v>7</v>
      </c>
      <c r="D296" s="20">
        <v>36</v>
      </c>
      <c r="E296" t="s">
        <v>75</v>
      </c>
      <c r="F296" s="26">
        <v>45155</v>
      </c>
      <c r="G296" t="s">
        <v>76</v>
      </c>
      <c r="H296" s="5">
        <v>32.619999999999997</v>
      </c>
      <c r="I296" s="5">
        <v>36.380000000000003</v>
      </c>
      <c r="J296" s="5">
        <v>31.71</v>
      </c>
      <c r="K296" s="5">
        <v>2.7</v>
      </c>
      <c r="L296" s="5">
        <v>0.25</v>
      </c>
      <c r="M296" s="3">
        <f t="shared" si="79"/>
        <v>250</v>
      </c>
      <c r="N296" s="5">
        <v>6.31</v>
      </c>
      <c r="O296" s="23">
        <f t="shared" si="83"/>
        <v>6.3099999999999996E-3</v>
      </c>
      <c r="P296" s="23">
        <f t="shared" si="84"/>
        <v>0.11357999999999999</v>
      </c>
      <c r="Q296" s="7">
        <f t="shared" si="85"/>
        <v>1.1357999999999998E-4</v>
      </c>
      <c r="R296" s="23">
        <f t="shared" si="86"/>
        <v>0.40888799999999992</v>
      </c>
      <c r="S296" s="5">
        <v>6.11</v>
      </c>
      <c r="T296" s="5">
        <v>0.97</v>
      </c>
      <c r="U296" s="3">
        <f t="shared" si="87"/>
        <v>9700</v>
      </c>
      <c r="V296" s="8">
        <v>-0.52</v>
      </c>
      <c r="W296" s="8">
        <v>-1.86</v>
      </c>
      <c r="X296" s="5">
        <f t="shared" si="88"/>
        <v>1.34</v>
      </c>
      <c r="Y296" s="23">
        <f t="shared" si="89"/>
        <v>0.3051402985074626</v>
      </c>
      <c r="Z296" s="23">
        <f t="shared" si="80"/>
        <v>2959.8608955223872</v>
      </c>
      <c r="AA296" s="11">
        <f t="shared" si="81"/>
        <v>4.7049612345659204</v>
      </c>
      <c r="AB296" s="11">
        <f t="shared" si="82"/>
        <v>45638.123975289425</v>
      </c>
    </row>
    <row r="297" spans="1:28" ht="17.25" customHeight="1" x14ac:dyDescent="0.2">
      <c r="A297" t="s">
        <v>10</v>
      </c>
      <c r="B297" s="20">
        <v>1212</v>
      </c>
      <c r="C297" s="20">
        <v>7</v>
      </c>
      <c r="D297" s="20">
        <v>37</v>
      </c>
      <c r="E297" t="s">
        <v>75</v>
      </c>
      <c r="F297" s="26">
        <v>45155</v>
      </c>
      <c r="G297" t="s">
        <v>76</v>
      </c>
      <c r="H297" s="5">
        <v>31.96</v>
      </c>
      <c r="I297" s="5">
        <v>37.19</v>
      </c>
      <c r="J297" s="5">
        <v>31.65</v>
      </c>
      <c r="K297" s="5">
        <v>2.64</v>
      </c>
      <c r="L297" s="5">
        <v>0.38</v>
      </c>
      <c r="M297" s="3">
        <f t="shared" si="79"/>
        <v>380</v>
      </c>
      <c r="N297" s="5">
        <v>9.5299999999999994</v>
      </c>
      <c r="O297" s="23">
        <f t="shared" si="83"/>
        <v>9.5299999999999985E-3</v>
      </c>
      <c r="P297" s="23">
        <f t="shared" si="84"/>
        <v>0.17153999999999997</v>
      </c>
      <c r="Q297" s="7">
        <f t="shared" si="85"/>
        <v>1.7153999999999997E-4</v>
      </c>
      <c r="R297" s="23">
        <f t="shared" si="86"/>
        <v>0.61754399999999987</v>
      </c>
      <c r="S297" s="5">
        <v>3.68</v>
      </c>
      <c r="T297" s="5">
        <v>0.9</v>
      </c>
      <c r="U297" s="3">
        <f t="shared" si="87"/>
        <v>9000</v>
      </c>
      <c r="V297" s="8">
        <v>-0.62</v>
      </c>
      <c r="W297" s="8">
        <v>-2.46</v>
      </c>
      <c r="X297" s="5">
        <f t="shared" si="88"/>
        <v>1.8399999999999999</v>
      </c>
      <c r="Y297" s="23">
        <f t="shared" si="89"/>
        <v>0.33562173913043475</v>
      </c>
      <c r="Z297" s="23">
        <f t="shared" si="80"/>
        <v>3020.5956521739126</v>
      </c>
      <c r="AA297" s="11">
        <f t="shared" si="81"/>
        <v>5.1749548644020633</v>
      </c>
      <c r="AB297" s="11">
        <f t="shared" si="82"/>
        <v>46574.593779618568</v>
      </c>
    </row>
    <row r="298" spans="1:28" ht="17.25" customHeight="1" x14ac:dyDescent="0.2">
      <c r="A298" t="s">
        <v>10</v>
      </c>
      <c r="B298" s="20">
        <v>1212</v>
      </c>
      <c r="C298" s="20">
        <v>7</v>
      </c>
      <c r="D298" s="20">
        <v>83</v>
      </c>
      <c r="E298" t="s">
        <v>75</v>
      </c>
      <c r="F298" s="26">
        <v>45155</v>
      </c>
      <c r="G298" t="s">
        <v>76</v>
      </c>
      <c r="H298" s="5">
        <v>33.22</v>
      </c>
      <c r="I298" s="5">
        <v>36.119999999999997</v>
      </c>
      <c r="J298" s="5">
        <v>31.93</v>
      </c>
      <c r="K298" s="5">
        <v>2.75</v>
      </c>
      <c r="L298" s="5">
        <v>0.32</v>
      </c>
      <c r="M298" s="3">
        <f t="shared" si="79"/>
        <v>320</v>
      </c>
      <c r="N298" s="5">
        <v>8.27</v>
      </c>
      <c r="O298" s="23">
        <f t="shared" si="83"/>
        <v>8.2699999999999996E-3</v>
      </c>
      <c r="P298" s="23">
        <f t="shared" si="84"/>
        <v>0.14885999999999999</v>
      </c>
      <c r="Q298" s="7">
        <f t="shared" si="85"/>
        <v>1.4885999999999998E-4</v>
      </c>
      <c r="R298" s="23">
        <f t="shared" si="86"/>
        <v>0.53589599999999993</v>
      </c>
      <c r="S298" s="5">
        <v>7.91</v>
      </c>
      <c r="T298" s="5">
        <v>2.14</v>
      </c>
      <c r="U298" s="3">
        <f t="shared" si="87"/>
        <v>21400</v>
      </c>
      <c r="V298" s="8">
        <v>-0.34</v>
      </c>
      <c r="W298" s="8">
        <v>-2.38</v>
      </c>
      <c r="X298" s="5">
        <f t="shared" si="88"/>
        <v>2.04</v>
      </c>
      <c r="Y298" s="23">
        <f t="shared" si="89"/>
        <v>0.2626941176470588</v>
      </c>
      <c r="Z298" s="23">
        <f t="shared" si="80"/>
        <v>5621.6541176470582</v>
      </c>
      <c r="AA298" s="11">
        <f t="shared" si="81"/>
        <v>4.0504831584795857</v>
      </c>
      <c r="AB298" s="11">
        <f t="shared" si="82"/>
        <v>86680.33959146314</v>
      </c>
    </row>
    <row r="299" spans="1:28" ht="17.25" customHeight="1" x14ac:dyDescent="0.2">
      <c r="A299" t="s">
        <v>10</v>
      </c>
      <c r="B299" s="20">
        <v>1212</v>
      </c>
      <c r="C299" s="20">
        <v>8</v>
      </c>
      <c r="D299" s="20">
        <v>38</v>
      </c>
      <c r="E299" t="s">
        <v>75</v>
      </c>
      <c r="F299" s="26">
        <v>45155</v>
      </c>
      <c r="G299" t="s">
        <v>76</v>
      </c>
      <c r="H299" s="5">
        <v>33.31</v>
      </c>
      <c r="I299" s="5">
        <v>35.36</v>
      </c>
      <c r="J299" s="5">
        <v>31.33</v>
      </c>
      <c r="K299" s="5">
        <v>2.67</v>
      </c>
      <c r="L299" s="5">
        <v>0.32</v>
      </c>
      <c r="M299" s="3">
        <f t="shared" si="79"/>
        <v>320</v>
      </c>
      <c r="N299" s="5">
        <v>8.0500000000000007</v>
      </c>
      <c r="O299" s="23">
        <f t="shared" si="83"/>
        <v>8.0499999999999999E-3</v>
      </c>
      <c r="P299" s="23">
        <f t="shared" si="84"/>
        <v>0.1449</v>
      </c>
      <c r="Q299" s="7">
        <f t="shared" si="85"/>
        <v>1.449E-4</v>
      </c>
      <c r="R299" s="23">
        <f t="shared" si="86"/>
        <v>0.52163999999999999</v>
      </c>
      <c r="S299" s="5">
        <v>13.38</v>
      </c>
      <c r="T299" s="5">
        <v>3.28</v>
      </c>
      <c r="U299" s="3">
        <f t="shared" si="87"/>
        <v>32800</v>
      </c>
      <c r="V299" s="8">
        <v>-0.56999999999999995</v>
      </c>
      <c r="W299" s="8">
        <v>-1.86</v>
      </c>
      <c r="X299" s="5">
        <f t="shared" si="88"/>
        <v>1.29</v>
      </c>
      <c r="Y299" s="23">
        <f t="shared" si="89"/>
        <v>0.40437209302325577</v>
      </c>
      <c r="Z299" s="23">
        <f t="shared" si="80"/>
        <v>13263.404651162789</v>
      </c>
      <c r="AA299" s="11">
        <f t="shared" si="81"/>
        <v>6.235017240661751</v>
      </c>
      <c r="AB299" s="11">
        <f t="shared" si="82"/>
        <v>204508.56549370542</v>
      </c>
    </row>
    <row r="300" spans="1:28" ht="17.25" customHeight="1" x14ac:dyDescent="0.2">
      <c r="A300" t="s">
        <v>10</v>
      </c>
      <c r="B300" s="20">
        <v>1212</v>
      </c>
      <c r="C300" s="20">
        <v>8</v>
      </c>
      <c r="D300" s="20">
        <v>39</v>
      </c>
      <c r="E300" t="s">
        <v>75</v>
      </c>
      <c r="F300" s="26">
        <v>45154</v>
      </c>
      <c r="G300" t="s">
        <v>76</v>
      </c>
      <c r="H300" s="3">
        <v>29</v>
      </c>
      <c r="I300" s="5">
        <v>38.47</v>
      </c>
      <c r="J300" s="5">
        <v>33.79</v>
      </c>
      <c r="K300" s="5">
        <v>3.29</v>
      </c>
      <c r="L300" s="5">
        <v>0.34</v>
      </c>
      <c r="M300" s="3">
        <f t="shared" si="79"/>
        <v>340</v>
      </c>
      <c r="N300" s="5">
        <v>10.57</v>
      </c>
      <c r="O300" s="23">
        <f t="shared" si="83"/>
        <v>1.057E-2</v>
      </c>
      <c r="P300" s="23">
        <f t="shared" si="84"/>
        <v>0.19025999999999998</v>
      </c>
      <c r="Q300" s="7">
        <f t="shared" si="85"/>
        <v>1.9025999999999998E-4</v>
      </c>
      <c r="R300" s="23">
        <f t="shared" si="86"/>
        <v>0.68493599999999999</v>
      </c>
      <c r="S300" s="5">
        <v>3.71</v>
      </c>
      <c r="T300" s="5">
        <v>1.36</v>
      </c>
      <c r="U300" s="5">
        <f t="shared" si="87"/>
        <v>13600.000000000002</v>
      </c>
      <c r="V300" s="8">
        <v>-0.27</v>
      </c>
      <c r="W300" s="8">
        <v>-2.15</v>
      </c>
      <c r="X300" s="5">
        <f t="shared" si="88"/>
        <v>1.88</v>
      </c>
      <c r="Y300" s="23">
        <f t="shared" si="89"/>
        <v>0.36432765957446811</v>
      </c>
      <c r="Z300" s="23">
        <f t="shared" si="80"/>
        <v>4954.8561702127672</v>
      </c>
      <c r="AA300" s="11">
        <f t="shared" si="81"/>
        <v>5.6175717313066729</v>
      </c>
      <c r="AB300" s="11">
        <f t="shared" si="82"/>
        <v>76398.975545770765</v>
      </c>
    </row>
    <row r="301" spans="1:28" ht="17.25" customHeight="1" x14ac:dyDescent="0.2">
      <c r="A301" t="s">
        <v>10</v>
      </c>
      <c r="B301" s="20">
        <v>1212</v>
      </c>
      <c r="C301" s="20">
        <v>8</v>
      </c>
      <c r="D301" s="20">
        <v>40</v>
      </c>
      <c r="E301" t="s">
        <v>75</v>
      </c>
      <c r="F301" s="26">
        <v>45154</v>
      </c>
      <c r="G301" t="s">
        <v>76</v>
      </c>
      <c r="H301" s="5">
        <v>44.69</v>
      </c>
      <c r="I301" s="5">
        <v>34.54</v>
      </c>
      <c r="J301" s="5">
        <v>31.12</v>
      </c>
      <c r="K301" s="5">
        <v>2.08</v>
      </c>
      <c r="L301" s="5">
        <v>0.28000000000000003</v>
      </c>
      <c r="M301" s="3">
        <f t="shared" si="79"/>
        <v>280</v>
      </c>
      <c r="N301" s="5">
        <v>5.39</v>
      </c>
      <c r="O301" s="23">
        <f t="shared" si="83"/>
        <v>5.3899999999999998E-3</v>
      </c>
      <c r="P301" s="23">
        <f t="shared" si="84"/>
        <v>9.7019999999999995E-2</v>
      </c>
      <c r="Q301" s="7">
        <f t="shared" si="85"/>
        <v>9.7019999999999989E-5</v>
      </c>
      <c r="R301" s="23">
        <f t="shared" si="86"/>
        <v>0.34927199999999997</v>
      </c>
      <c r="S301" s="5">
        <v>4.62</v>
      </c>
      <c r="T301" s="5">
        <v>1.66</v>
      </c>
      <c r="U301" s="3">
        <f t="shared" si="87"/>
        <v>16600</v>
      </c>
      <c r="V301" s="8">
        <v>-0.48</v>
      </c>
      <c r="W301" s="8">
        <v>-2.1</v>
      </c>
      <c r="X301" s="5">
        <f t="shared" si="88"/>
        <v>1.62</v>
      </c>
      <c r="Y301" s="23">
        <f t="shared" si="89"/>
        <v>0.21559999999999996</v>
      </c>
      <c r="Z301" s="23">
        <f t="shared" si="80"/>
        <v>3578.9599999999991</v>
      </c>
      <c r="AA301" s="11">
        <f t="shared" si="81"/>
        <v>3.3243384998117644</v>
      </c>
      <c r="AB301" s="11">
        <f t="shared" si="82"/>
        <v>55184.019096875287</v>
      </c>
    </row>
    <row r="302" spans="1:28" ht="17.25" customHeight="1" x14ac:dyDescent="0.2">
      <c r="A302" t="s">
        <v>10</v>
      </c>
      <c r="B302" s="20">
        <v>1212</v>
      </c>
      <c r="C302" s="20">
        <v>10</v>
      </c>
      <c r="D302" s="20">
        <v>21</v>
      </c>
      <c r="E302" t="s">
        <v>75</v>
      </c>
      <c r="F302" s="26">
        <v>45155</v>
      </c>
      <c r="G302" t="s">
        <v>76</v>
      </c>
      <c r="H302" s="5">
        <v>33.64</v>
      </c>
      <c r="I302" s="5">
        <v>37.15</v>
      </c>
      <c r="J302" s="5">
        <v>33.08</v>
      </c>
      <c r="K302" s="5">
        <v>2.93</v>
      </c>
      <c r="L302" s="5">
        <v>0.31</v>
      </c>
      <c r="M302" s="3">
        <f t="shared" si="79"/>
        <v>310</v>
      </c>
      <c r="N302" s="5">
        <v>8.3699999999999992</v>
      </c>
      <c r="O302" s="23">
        <f t="shared" si="83"/>
        <v>8.369999999999999E-3</v>
      </c>
      <c r="P302" s="23">
        <f t="shared" si="84"/>
        <v>0.15065999999999999</v>
      </c>
      <c r="Q302" s="7">
        <f t="shared" si="85"/>
        <v>1.5066E-4</v>
      </c>
      <c r="R302" s="23">
        <f t="shared" si="86"/>
        <v>0.54237599999999997</v>
      </c>
      <c r="S302" s="5">
        <v>4.78</v>
      </c>
      <c r="T302" s="5">
        <v>1.38</v>
      </c>
      <c r="U302" s="5">
        <f t="shared" si="87"/>
        <v>13799.999999999998</v>
      </c>
      <c r="V302" s="8">
        <v>-0.41</v>
      </c>
      <c r="W302" s="8">
        <v>-2.0299999999999998</v>
      </c>
      <c r="X302" s="5">
        <f t="shared" si="88"/>
        <v>1.6199999999999999</v>
      </c>
      <c r="Y302" s="23">
        <f t="shared" si="89"/>
        <v>0.33479999999999999</v>
      </c>
      <c r="Z302" s="23">
        <f t="shared" si="80"/>
        <v>4620.2399999999989</v>
      </c>
      <c r="AA302" s="11">
        <f t="shared" si="81"/>
        <v>5.1622844607466547</v>
      </c>
      <c r="AB302" s="11">
        <f t="shared" si="82"/>
        <v>71239.525558303823</v>
      </c>
    </row>
    <row r="303" spans="1:28" ht="17.25" customHeight="1" x14ac:dyDescent="0.2">
      <c r="A303" t="s">
        <v>10</v>
      </c>
      <c r="B303" s="20">
        <v>1212</v>
      </c>
      <c r="C303" s="20">
        <v>10</v>
      </c>
      <c r="D303" s="20">
        <v>41</v>
      </c>
      <c r="E303" t="s">
        <v>75</v>
      </c>
      <c r="F303" s="26">
        <v>45154</v>
      </c>
      <c r="G303" t="s">
        <v>76</v>
      </c>
      <c r="H303" s="5">
        <v>33.07</v>
      </c>
      <c r="I303" s="5">
        <v>37.43</v>
      </c>
      <c r="J303" s="5">
        <v>33.43</v>
      </c>
      <c r="K303" s="5">
        <v>3.03</v>
      </c>
      <c r="L303" s="5">
        <v>0.31</v>
      </c>
      <c r="M303" s="3">
        <f t="shared" si="79"/>
        <v>310</v>
      </c>
      <c r="N303" s="5">
        <v>8.93</v>
      </c>
      <c r="O303" s="23">
        <f t="shared" si="83"/>
        <v>8.9300000000000004E-3</v>
      </c>
      <c r="P303" s="23">
        <f t="shared" si="84"/>
        <v>0.16073999999999999</v>
      </c>
      <c r="Q303" s="7">
        <f t="shared" si="85"/>
        <v>1.6073999999999998E-4</v>
      </c>
      <c r="R303" s="23">
        <f t="shared" si="86"/>
        <v>0.57866399999999996</v>
      </c>
      <c r="S303" s="5">
        <v>15.53</v>
      </c>
      <c r="T303" s="5">
        <v>3.35</v>
      </c>
      <c r="U303" s="3">
        <f t="shared" si="87"/>
        <v>33500</v>
      </c>
      <c r="V303" s="8">
        <v>-0.51</v>
      </c>
      <c r="W303" s="8">
        <v>-1.8</v>
      </c>
      <c r="X303" s="5">
        <f t="shared" si="88"/>
        <v>1.29</v>
      </c>
      <c r="Y303" s="23">
        <f t="shared" si="89"/>
        <v>0.44857674418604648</v>
      </c>
      <c r="Z303" s="23">
        <f t="shared" si="80"/>
        <v>15027.320930232558</v>
      </c>
      <c r="AA303" s="11">
        <f t="shared" si="81"/>
        <v>6.9166091874670101</v>
      </c>
      <c r="AB303" s="11">
        <f t="shared" si="82"/>
        <v>231706.40778014483</v>
      </c>
    </row>
    <row r="304" spans="1:28" ht="17.25" customHeight="1" x14ac:dyDescent="0.2">
      <c r="A304" t="s">
        <v>10</v>
      </c>
      <c r="B304" s="20">
        <v>1212</v>
      </c>
      <c r="C304" s="20">
        <v>10</v>
      </c>
      <c r="D304" s="20">
        <v>42</v>
      </c>
      <c r="E304" t="s">
        <v>75</v>
      </c>
      <c r="F304" s="26">
        <v>45154</v>
      </c>
      <c r="G304" t="s">
        <v>76</v>
      </c>
      <c r="H304" s="5">
        <v>37.83</v>
      </c>
      <c r="I304" s="5">
        <v>36.31</v>
      </c>
      <c r="J304" s="5">
        <v>32.979999999999997</v>
      </c>
      <c r="K304" s="5">
        <v>2.74</v>
      </c>
      <c r="L304" s="5">
        <v>0.3</v>
      </c>
      <c r="M304" s="3">
        <f t="shared" si="79"/>
        <v>300</v>
      </c>
      <c r="N304" s="5">
        <v>7.74</v>
      </c>
      <c r="O304" s="23">
        <f t="shared" si="83"/>
        <v>7.7400000000000004E-3</v>
      </c>
      <c r="P304" s="23">
        <f t="shared" si="84"/>
        <v>0.13932</v>
      </c>
      <c r="Q304" s="7">
        <f t="shared" si="85"/>
        <v>1.3931999999999999E-4</v>
      </c>
      <c r="R304" s="23">
        <f t="shared" si="86"/>
        <v>0.501552</v>
      </c>
      <c r="S304" s="5">
        <v>14.52</v>
      </c>
      <c r="T304" s="5">
        <v>3.06</v>
      </c>
      <c r="U304" s="3">
        <f t="shared" si="87"/>
        <v>30600</v>
      </c>
      <c r="V304" s="8">
        <v>-0.78</v>
      </c>
      <c r="W304" s="8">
        <v>-2.06</v>
      </c>
      <c r="X304" s="5">
        <f t="shared" si="88"/>
        <v>1.28</v>
      </c>
      <c r="Y304" s="23">
        <f t="shared" si="89"/>
        <v>0.39183750000000001</v>
      </c>
      <c r="Z304" s="23">
        <f t="shared" si="80"/>
        <v>11990.227500000001</v>
      </c>
      <c r="AA304" s="11">
        <f t="shared" si="81"/>
        <v>6.0417462287569217</v>
      </c>
      <c r="AB304" s="11">
        <f t="shared" si="82"/>
        <v>184877.43459996179</v>
      </c>
    </row>
    <row r="305" spans="1:28" ht="17.25" customHeight="1" x14ac:dyDescent="0.2">
      <c r="A305" t="s">
        <v>7</v>
      </c>
      <c r="B305" s="20">
        <v>72</v>
      </c>
      <c r="C305" s="20">
        <v>156</v>
      </c>
      <c r="D305" s="20">
        <v>43</v>
      </c>
      <c r="E305" t="s">
        <v>77</v>
      </c>
      <c r="F305" s="26">
        <v>45155</v>
      </c>
      <c r="G305" t="s">
        <v>76</v>
      </c>
      <c r="H305" s="5">
        <v>14.8</v>
      </c>
      <c r="I305" s="5">
        <v>46.71</v>
      </c>
      <c r="J305" s="5">
        <v>42.36</v>
      </c>
      <c r="K305" s="5">
        <v>6.81</v>
      </c>
      <c r="L305" s="5">
        <v>0.06</v>
      </c>
      <c r="M305" s="3">
        <f t="shared" si="79"/>
        <v>60</v>
      </c>
      <c r="N305" s="5">
        <v>3.99</v>
      </c>
      <c r="O305" s="23">
        <f t="shared" si="83"/>
        <v>3.9900000000000005E-3</v>
      </c>
      <c r="P305" s="23">
        <f t="shared" si="84"/>
        <v>7.1820000000000009E-2</v>
      </c>
      <c r="Q305" s="7">
        <f t="shared" si="85"/>
        <v>7.1820000000000014E-5</v>
      </c>
      <c r="R305" s="23">
        <f t="shared" si="86"/>
        <v>0.25855200000000006</v>
      </c>
      <c r="S305" s="5">
        <v>18.53</v>
      </c>
      <c r="T305" s="5">
        <v>3.87</v>
      </c>
      <c r="U305" s="3">
        <f t="shared" si="87"/>
        <v>38700</v>
      </c>
      <c r="V305" s="8">
        <v>-0.36</v>
      </c>
      <c r="W305" s="8">
        <v>-1.89</v>
      </c>
      <c r="X305" s="5">
        <f t="shared" si="88"/>
        <v>1.5299999999999998</v>
      </c>
      <c r="Y305" s="23">
        <f t="shared" si="89"/>
        <v>0.16898823529411772</v>
      </c>
      <c r="Z305" s="23">
        <f t="shared" si="80"/>
        <v>6539.8447058823558</v>
      </c>
      <c r="AA305" s="11">
        <f t="shared" si="81"/>
        <v>2.6056312458417663</v>
      </c>
      <c r="AB305" s="11">
        <f t="shared" si="82"/>
        <v>100837.92921407636</v>
      </c>
    </row>
    <row r="306" spans="1:28" ht="17.25" customHeight="1" x14ac:dyDescent="0.2">
      <c r="A306" t="s">
        <v>7</v>
      </c>
      <c r="B306" s="20">
        <v>72</v>
      </c>
      <c r="C306" s="20">
        <v>156</v>
      </c>
      <c r="D306" s="20">
        <v>44</v>
      </c>
      <c r="E306" t="s">
        <v>77</v>
      </c>
      <c r="F306" s="26">
        <v>45154</v>
      </c>
      <c r="G306" t="s">
        <v>76</v>
      </c>
      <c r="H306" s="5">
        <v>15.87</v>
      </c>
      <c r="I306" s="5">
        <v>46.1</v>
      </c>
      <c r="J306" s="5">
        <v>41.5</v>
      </c>
      <c r="K306" s="5">
        <v>6.38</v>
      </c>
      <c r="L306" s="5">
        <v>0.11</v>
      </c>
      <c r="M306" s="3">
        <f t="shared" si="79"/>
        <v>110</v>
      </c>
      <c r="N306" s="5">
        <v>6.41</v>
      </c>
      <c r="O306" s="23">
        <f t="shared" si="83"/>
        <v>6.4099999999999999E-3</v>
      </c>
      <c r="P306" s="23">
        <f t="shared" si="84"/>
        <v>0.11538</v>
      </c>
      <c r="Q306" s="7">
        <f t="shared" si="85"/>
        <v>1.1538E-4</v>
      </c>
      <c r="R306" s="23">
        <f t="shared" si="86"/>
        <v>0.41536799999999996</v>
      </c>
      <c r="S306" s="5">
        <v>5.08</v>
      </c>
      <c r="T306" s="5">
        <v>1.59</v>
      </c>
      <c r="U306" s="3">
        <f t="shared" si="87"/>
        <v>15900</v>
      </c>
      <c r="V306" s="8">
        <v>-0.88</v>
      </c>
      <c r="W306" s="8">
        <v>-1.81</v>
      </c>
      <c r="X306" s="5">
        <f t="shared" si="88"/>
        <v>0.93</v>
      </c>
      <c r="Y306" s="23">
        <f t="shared" si="89"/>
        <v>0.44663225806451606</v>
      </c>
      <c r="Z306" s="23">
        <f t="shared" si="80"/>
        <v>7101.4529032258051</v>
      </c>
      <c r="AA306" s="11">
        <f t="shared" si="81"/>
        <v>6.8866271370210308</v>
      </c>
      <c r="AB306" s="11">
        <f t="shared" si="82"/>
        <v>109497.37147863439</v>
      </c>
    </row>
    <row r="307" spans="1:28" ht="17.25" customHeight="1" x14ac:dyDescent="0.2">
      <c r="A307" t="s">
        <v>7</v>
      </c>
      <c r="B307" s="20">
        <v>72</v>
      </c>
      <c r="C307" s="20">
        <v>156</v>
      </c>
      <c r="D307" s="20">
        <v>45</v>
      </c>
      <c r="E307" t="s">
        <v>77</v>
      </c>
      <c r="F307" s="26">
        <v>45155</v>
      </c>
      <c r="G307" t="s">
        <v>76</v>
      </c>
      <c r="H307" s="5">
        <v>14.35</v>
      </c>
      <c r="I307" s="5">
        <v>47.07</v>
      </c>
      <c r="J307" s="5">
        <v>41.63</v>
      </c>
      <c r="K307" s="5">
        <v>6.53</v>
      </c>
      <c r="L307" s="5">
        <v>0.13</v>
      </c>
      <c r="M307" s="3">
        <f t="shared" si="79"/>
        <v>130</v>
      </c>
      <c r="N307" s="5">
        <v>7.48</v>
      </c>
      <c r="O307" s="23">
        <f t="shared" si="83"/>
        <v>7.4800000000000005E-3</v>
      </c>
      <c r="P307" s="23">
        <f t="shared" si="84"/>
        <v>0.13464000000000001</v>
      </c>
      <c r="Q307" s="7">
        <f t="shared" si="85"/>
        <v>1.3464E-4</v>
      </c>
      <c r="R307" s="23">
        <f t="shared" si="86"/>
        <v>0.48470399999999997</v>
      </c>
      <c r="S307" s="5">
        <v>13.38</v>
      </c>
      <c r="T307" s="5">
        <v>3.64</v>
      </c>
      <c r="U307" s="3">
        <f t="shared" si="87"/>
        <v>36400</v>
      </c>
      <c r="V307" s="8">
        <v>-0.83</v>
      </c>
      <c r="W307" s="8">
        <v>-2.33</v>
      </c>
      <c r="X307" s="5">
        <f t="shared" si="88"/>
        <v>1.5</v>
      </c>
      <c r="Y307" s="23">
        <f t="shared" si="89"/>
        <v>0.32313599999999998</v>
      </c>
      <c r="Z307" s="23">
        <f t="shared" si="80"/>
        <v>11762.150399999999</v>
      </c>
      <c r="AA307" s="11">
        <f t="shared" si="81"/>
        <v>4.9824371311464475</v>
      </c>
      <c r="AB307" s="11">
        <f t="shared" si="82"/>
        <v>181360.71157373069</v>
      </c>
    </row>
    <row r="308" spans="1:28" ht="17.25" customHeight="1" x14ac:dyDescent="0.2">
      <c r="A308" t="s">
        <v>7</v>
      </c>
      <c r="B308" s="20">
        <v>72</v>
      </c>
      <c r="C308" s="20">
        <v>149</v>
      </c>
      <c r="D308" s="20">
        <v>46</v>
      </c>
      <c r="E308" t="s">
        <v>77</v>
      </c>
      <c r="F308" s="26">
        <v>45155</v>
      </c>
      <c r="G308" t="s">
        <v>76</v>
      </c>
      <c r="H308" s="5">
        <v>14.77</v>
      </c>
      <c r="I308" s="5">
        <v>46.61</v>
      </c>
      <c r="J308" s="5">
        <v>41.38</v>
      </c>
      <c r="K308" s="5">
        <v>6.4</v>
      </c>
      <c r="L308" s="5">
        <v>0.1</v>
      </c>
      <c r="M308" s="3">
        <f t="shared" si="79"/>
        <v>100</v>
      </c>
      <c r="N308" s="5">
        <v>5.87</v>
      </c>
      <c r="O308" s="23">
        <f t="shared" si="83"/>
        <v>5.8700000000000002E-3</v>
      </c>
      <c r="P308" s="23">
        <f t="shared" si="84"/>
        <v>0.10566</v>
      </c>
      <c r="Q308" s="7">
        <f t="shared" si="85"/>
        <v>1.0566E-4</v>
      </c>
      <c r="R308" s="23">
        <f t="shared" si="86"/>
        <v>0.38037599999999999</v>
      </c>
      <c r="S308" s="5">
        <v>10.99</v>
      </c>
      <c r="T308" s="5">
        <v>2.0499999999999998</v>
      </c>
      <c r="U308" s="3">
        <f t="shared" si="87"/>
        <v>20500</v>
      </c>
      <c r="V308" s="8">
        <v>-0.61</v>
      </c>
      <c r="W308" s="8">
        <v>-1.66</v>
      </c>
      <c r="X308" s="5">
        <f t="shared" si="88"/>
        <v>1.0499999999999998</v>
      </c>
      <c r="Y308" s="23">
        <f t="shared" si="89"/>
        <v>0.36226285714285722</v>
      </c>
      <c r="Z308" s="23">
        <f t="shared" si="80"/>
        <v>7426.3885714285734</v>
      </c>
      <c r="AA308" s="11">
        <f t="shared" si="81"/>
        <v>5.5857345225037554</v>
      </c>
      <c r="AB308" s="11">
        <f t="shared" si="82"/>
        <v>114507.55771132698</v>
      </c>
    </row>
    <row r="309" spans="1:28" ht="17.25" customHeight="1" x14ac:dyDescent="0.2">
      <c r="A309" t="s">
        <v>7</v>
      </c>
      <c r="B309" s="20">
        <v>72</v>
      </c>
      <c r="C309" s="20">
        <v>149</v>
      </c>
      <c r="D309" s="20">
        <v>47</v>
      </c>
      <c r="E309" t="s">
        <v>77</v>
      </c>
      <c r="F309" s="26">
        <v>45154</v>
      </c>
      <c r="G309" t="s">
        <v>76</v>
      </c>
      <c r="H309" s="5">
        <v>17.3</v>
      </c>
      <c r="I309" s="5">
        <v>45.08</v>
      </c>
      <c r="J309" s="5">
        <v>40.08</v>
      </c>
      <c r="K309" s="5">
        <v>5.75</v>
      </c>
      <c r="L309" s="5">
        <v>0.17</v>
      </c>
      <c r="M309" s="3">
        <f t="shared" si="79"/>
        <v>170</v>
      </c>
      <c r="N309" s="5">
        <v>8.93</v>
      </c>
      <c r="O309" s="23">
        <f t="shared" ref="O309:O340" si="90">N309/1000</f>
        <v>8.9300000000000004E-3</v>
      </c>
      <c r="P309" s="23">
        <f t="shared" ref="P309:P340" si="91">O309*18</f>
        <v>0.16073999999999999</v>
      </c>
      <c r="Q309" s="7">
        <f t="shared" ref="Q309:Q340" si="92">P309/1000</f>
        <v>1.6073999999999998E-4</v>
      </c>
      <c r="R309" s="23">
        <f t="shared" ref="R309:R340" si="93">Q309*3600</f>
        <v>0.57866399999999996</v>
      </c>
      <c r="S309" s="5">
        <v>10.98</v>
      </c>
      <c r="T309" s="5">
        <v>2.5099999999999998</v>
      </c>
      <c r="U309" s="5">
        <f t="shared" ref="U309:U340" si="94">T309*10000</f>
        <v>25099.999999999996</v>
      </c>
      <c r="V309" s="8">
        <v>-0.75</v>
      </c>
      <c r="W309" s="8">
        <v>-2.13</v>
      </c>
      <c r="X309" s="5">
        <f t="shared" ref="X309:X340" si="95">V309-W309</f>
        <v>1.38</v>
      </c>
      <c r="Y309" s="23">
        <f t="shared" ref="Y309:Y340" si="96">R309/X309</f>
        <v>0.4193217391304348</v>
      </c>
      <c r="Z309" s="23">
        <f t="shared" si="80"/>
        <v>10524.975652173913</v>
      </c>
      <c r="AA309" s="11">
        <f t="shared" si="81"/>
        <v>6.4655259795887279</v>
      </c>
      <c r="AB309" s="11">
        <f t="shared" si="82"/>
        <v>162284.70208767705</v>
      </c>
    </row>
    <row r="310" spans="1:28" ht="17.25" customHeight="1" x14ac:dyDescent="0.2">
      <c r="A310" t="s">
        <v>7</v>
      </c>
      <c r="B310" s="20">
        <v>72</v>
      </c>
      <c r="C310" s="20">
        <v>149</v>
      </c>
      <c r="D310" s="20">
        <v>48</v>
      </c>
      <c r="E310" t="s">
        <v>77</v>
      </c>
      <c r="F310" s="26">
        <v>45154</v>
      </c>
      <c r="G310" t="s">
        <v>76</v>
      </c>
      <c r="H310" s="5">
        <v>16.97</v>
      </c>
      <c r="I310" s="5">
        <v>46.26</v>
      </c>
      <c r="J310" s="5">
        <v>41.04</v>
      </c>
      <c r="K310" s="5">
        <v>6.07</v>
      </c>
      <c r="L310" s="5">
        <v>0.19</v>
      </c>
      <c r="M310" s="3">
        <f t="shared" si="79"/>
        <v>190</v>
      </c>
      <c r="N310" s="5">
        <v>10.65</v>
      </c>
      <c r="O310" s="23">
        <f t="shared" si="90"/>
        <v>1.065E-2</v>
      </c>
      <c r="P310" s="23">
        <f t="shared" si="91"/>
        <v>0.19169999999999998</v>
      </c>
      <c r="Q310" s="7">
        <f t="shared" si="92"/>
        <v>1.9169999999999997E-4</v>
      </c>
      <c r="R310" s="23">
        <f t="shared" si="93"/>
        <v>0.69011999999999984</v>
      </c>
      <c r="S310" s="5">
        <v>17.25</v>
      </c>
      <c r="T310" s="5">
        <v>2.85</v>
      </c>
      <c r="U310" s="3">
        <f t="shared" si="94"/>
        <v>28500</v>
      </c>
      <c r="V310" s="8">
        <v>-0.81</v>
      </c>
      <c r="W310" s="8">
        <v>-2.1800000000000002</v>
      </c>
      <c r="X310" s="5">
        <f t="shared" si="95"/>
        <v>1.37</v>
      </c>
      <c r="Y310" s="23">
        <f t="shared" si="96"/>
        <v>0.50373722627737216</v>
      </c>
      <c r="Z310" s="23">
        <f t="shared" si="80"/>
        <v>14356.510948905106</v>
      </c>
      <c r="AA310" s="11">
        <f t="shared" si="81"/>
        <v>7.7671291980624249</v>
      </c>
      <c r="AB310" s="11">
        <f t="shared" si="82"/>
        <v>221363.1821447791</v>
      </c>
    </row>
    <row r="311" spans="1:28" ht="17.25" customHeight="1" x14ac:dyDescent="0.2">
      <c r="A311" t="s">
        <v>7</v>
      </c>
      <c r="B311" s="20">
        <v>72</v>
      </c>
      <c r="C311" s="20">
        <v>152</v>
      </c>
      <c r="D311" s="20">
        <v>49</v>
      </c>
      <c r="E311" t="s">
        <v>77</v>
      </c>
      <c r="F311" s="26">
        <v>45155</v>
      </c>
      <c r="G311" t="s">
        <v>76</v>
      </c>
      <c r="H311" s="5">
        <v>15.64</v>
      </c>
      <c r="I311" s="5">
        <v>45.75</v>
      </c>
      <c r="J311" s="5">
        <v>39.08</v>
      </c>
      <c r="K311" s="5">
        <v>5.47</v>
      </c>
      <c r="L311" s="5">
        <v>0.18</v>
      </c>
      <c r="M311" s="3">
        <f t="shared" si="79"/>
        <v>180</v>
      </c>
      <c r="N311" s="5">
        <v>9.25</v>
      </c>
      <c r="O311" s="23">
        <f t="shared" si="90"/>
        <v>9.2499999999999995E-3</v>
      </c>
      <c r="P311" s="23">
        <f t="shared" si="91"/>
        <v>0.16649999999999998</v>
      </c>
      <c r="Q311" s="7">
        <f t="shared" si="92"/>
        <v>1.6649999999999998E-4</v>
      </c>
      <c r="R311" s="23">
        <f t="shared" si="93"/>
        <v>0.59939999999999993</v>
      </c>
      <c r="S311" s="5">
        <v>16.68</v>
      </c>
      <c r="T311" s="5">
        <v>2.78</v>
      </c>
      <c r="U311" s="5">
        <f t="shared" si="94"/>
        <v>27799.999999999996</v>
      </c>
      <c r="V311" s="8">
        <v>-0.78</v>
      </c>
      <c r="W311" s="8">
        <v>-1.66</v>
      </c>
      <c r="X311" s="5">
        <f t="shared" si="95"/>
        <v>0.87999999999999989</v>
      </c>
      <c r="Y311" s="23">
        <f t="shared" si="96"/>
        <v>0.68113636363636365</v>
      </c>
      <c r="Z311" s="23">
        <f t="shared" si="80"/>
        <v>18935.590909090908</v>
      </c>
      <c r="AA311" s="11">
        <f t="shared" si="81"/>
        <v>10.502448224759506</v>
      </c>
      <c r="AB311" s="11">
        <f t="shared" si="82"/>
        <v>291968.06064831425</v>
      </c>
    </row>
    <row r="312" spans="1:28" ht="17.25" customHeight="1" x14ac:dyDescent="0.2">
      <c r="A312" t="s">
        <v>7</v>
      </c>
      <c r="B312" s="20">
        <v>72</v>
      </c>
      <c r="C312" s="20">
        <v>152</v>
      </c>
      <c r="D312" s="20">
        <v>50</v>
      </c>
      <c r="E312" t="s">
        <v>77</v>
      </c>
      <c r="F312" s="26">
        <v>45154</v>
      </c>
      <c r="G312" t="s">
        <v>76</v>
      </c>
      <c r="H312" s="5">
        <v>18.170000000000002</v>
      </c>
      <c r="I312" s="5">
        <v>45.46</v>
      </c>
      <c r="J312" s="5">
        <v>38.369999999999997</v>
      </c>
      <c r="K312" s="5">
        <v>4.9800000000000004</v>
      </c>
      <c r="L312" s="5">
        <v>0.35</v>
      </c>
      <c r="M312" s="3">
        <f t="shared" si="79"/>
        <v>350</v>
      </c>
      <c r="N312" s="5">
        <v>16.16</v>
      </c>
      <c r="O312" s="23">
        <f t="shared" si="90"/>
        <v>1.6160000000000001E-2</v>
      </c>
      <c r="P312" s="23">
        <f t="shared" si="91"/>
        <v>0.29088000000000003</v>
      </c>
      <c r="Q312" s="7">
        <f t="shared" si="92"/>
        <v>2.9088000000000003E-4</v>
      </c>
      <c r="R312" s="23">
        <f t="shared" si="93"/>
        <v>1.0471680000000001</v>
      </c>
      <c r="S312" s="5">
        <v>29.47</v>
      </c>
      <c r="T312" s="5">
        <v>3.96</v>
      </c>
      <c r="U312" s="3">
        <f t="shared" si="94"/>
        <v>39600</v>
      </c>
      <c r="V312" s="8">
        <v>-0.32</v>
      </c>
      <c r="W312" s="8">
        <v>-1.74</v>
      </c>
      <c r="X312" s="5">
        <f t="shared" si="95"/>
        <v>1.42</v>
      </c>
      <c r="Y312" s="23">
        <f t="shared" si="96"/>
        <v>0.73744225352112691</v>
      </c>
      <c r="Z312" s="23">
        <f t="shared" si="80"/>
        <v>29202.713239436627</v>
      </c>
      <c r="AA312" s="11">
        <f t="shared" si="81"/>
        <v>11.370629289277504</v>
      </c>
      <c r="AB312" s="11">
        <f t="shared" si="82"/>
        <v>450276.91985538916</v>
      </c>
    </row>
    <row r="313" spans="1:28" ht="17.25" customHeight="1" x14ac:dyDescent="0.2">
      <c r="A313" t="s">
        <v>7</v>
      </c>
      <c r="B313" s="20">
        <v>72</v>
      </c>
      <c r="C313" s="20">
        <v>152</v>
      </c>
      <c r="D313" s="20">
        <v>51</v>
      </c>
      <c r="E313" t="s">
        <v>77</v>
      </c>
      <c r="F313" s="26">
        <v>45154</v>
      </c>
      <c r="G313" t="s">
        <v>76</v>
      </c>
      <c r="H313" s="5">
        <v>16.09</v>
      </c>
      <c r="I313" s="5">
        <v>46.2</v>
      </c>
      <c r="J313" s="5">
        <v>39.26</v>
      </c>
      <c r="K313" s="5">
        <v>5.49</v>
      </c>
      <c r="L313" s="5">
        <v>0.27</v>
      </c>
      <c r="M313" s="3">
        <f t="shared" si="79"/>
        <v>270</v>
      </c>
      <c r="N313" s="5">
        <v>13.17</v>
      </c>
      <c r="O313" s="23">
        <f t="shared" si="90"/>
        <v>1.3169999999999999E-2</v>
      </c>
      <c r="P313" s="23">
        <f t="shared" si="91"/>
        <v>0.23705999999999999</v>
      </c>
      <c r="Q313" s="7">
        <f t="shared" si="92"/>
        <v>2.3705999999999998E-4</v>
      </c>
      <c r="R313" s="23">
        <f t="shared" si="93"/>
        <v>0.85341599999999995</v>
      </c>
      <c r="S313" s="5">
        <v>11.56</v>
      </c>
      <c r="T313" s="5">
        <v>1.91</v>
      </c>
      <c r="U313" s="3">
        <f t="shared" si="94"/>
        <v>19100</v>
      </c>
      <c r="V313" s="8">
        <v>-0.37</v>
      </c>
      <c r="W313" s="8">
        <v>-1.51</v>
      </c>
      <c r="X313" s="5">
        <f t="shared" si="95"/>
        <v>1.1400000000000001</v>
      </c>
      <c r="Y313" s="23">
        <f t="shared" si="96"/>
        <v>0.74861052631578939</v>
      </c>
      <c r="Z313" s="23">
        <f t="shared" si="80"/>
        <v>14298.461052631577</v>
      </c>
      <c r="AA313" s="11">
        <f t="shared" si="81"/>
        <v>11.542832996270532</v>
      </c>
      <c r="AB313" s="11">
        <f t="shared" si="82"/>
        <v>220468.11022876715</v>
      </c>
    </row>
    <row r="314" spans="1:28" ht="17.25" customHeight="1" x14ac:dyDescent="0.2">
      <c r="A314" t="s">
        <v>7</v>
      </c>
      <c r="B314" s="20">
        <v>72</v>
      </c>
      <c r="C314" s="20">
        <v>155</v>
      </c>
      <c r="D314" s="20">
        <v>58</v>
      </c>
      <c r="E314" t="s">
        <v>77</v>
      </c>
      <c r="F314" s="26">
        <v>45154</v>
      </c>
      <c r="G314" t="s">
        <v>76</v>
      </c>
      <c r="H314" s="5">
        <v>18.37</v>
      </c>
      <c r="I314" s="5">
        <v>45.23</v>
      </c>
      <c r="J314" s="5">
        <v>40.65</v>
      </c>
      <c r="K314" s="5">
        <v>5.86</v>
      </c>
      <c r="L314" s="5">
        <v>0.16</v>
      </c>
      <c r="M314" s="3">
        <f t="shared" si="79"/>
        <v>160</v>
      </c>
      <c r="N314" s="5">
        <v>8.7100000000000009</v>
      </c>
      <c r="O314" s="23">
        <f t="shared" si="90"/>
        <v>8.7100000000000007E-3</v>
      </c>
      <c r="P314" s="23">
        <f t="shared" si="91"/>
        <v>0.15678</v>
      </c>
      <c r="Q314" s="7">
        <f t="shared" si="92"/>
        <v>1.5678E-4</v>
      </c>
      <c r="R314" s="23">
        <f t="shared" si="93"/>
        <v>0.56440800000000002</v>
      </c>
      <c r="S314" s="5">
        <v>25.14</v>
      </c>
      <c r="T314" s="5">
        <v>4.53</v>
      </c>
      <c r="U314" s="3">
        <f t="shared" si="94"/>
        <v>45300</v>
      </c>
      <c r="V314" s="8">
        <v>-0.47</v>
      </c>
      <c r="W314" s="8">
        <v>-1.91</v>
      </c>
      <c r="X314" s="5">
        <f t="shared" si="95"/>
        <v>1.44</v>
      </c>
      <c r="Y314" s="23">
        <f t="shared" si="96"/>
        <v>0.39195000000000002</v>
      </c>
      <c r="Z314" s="23">
        <f t="shared" si="80"/>
        <v>17755.334999999999</v>
      </c>
      <c r="AA314" s="11">
        <f t="shared" si="81"/>
        <v>6.0434808673526037</v>
      </c>
      <c r="AB314" s="11">
        <f t="shared" si="82"/>
        <v>273769.68329107296</v>
      </c>
    </row>
    <row r="315" spans="1:28" ht="17.25" customHeight="1" x14ac:dyDescent="0.2">
      <c r="A315" t="s">
        <v>7</v>
      </c>
      <c r="B315" s="20">
        <v>72</v>
      </c>
      <c r="C315" s="20">
        <v>155</v>
      </c>
      <c r="D315" s="20">
        <v>59</v>
      </c>
      <c r="E315" t="s">
        <v>77</v>
      </c>
      <c r="F315" s="26">
        <v>45155</v>
      </c>
      <c r="G315" t="s">
        <v>76</v>
      </c>
      <c r="H315" s="5">
        <v>15.35</v>
      </c>
      <c r="I315" s="5">
        <v>46.39</v>
      </c>
      <c r="J315" s="5">
        <v>44.42</v>
      </c>
      <c r="K315" s="5">
        <v>7.72</v>
      </c>
      <c r="L315" s="5">
        <v>0.05</v>
      </c>
      <c r="M315" s="3">
        <f t="shared" si="79"/>
        <v>50</v>
      </c>
      <c r="N315" s="5">
        <v>3.91</v>
      </c>
      <c r="O315" s="23">
        <f t="shared" si="90"/>
        <v>3.9100000000000003E-3</v>
      </c>
      <c r="P315" s="23">
        <f t="shared" si="91"/>
        <v>7.0379999999999998E-2</v>
      </c>
      <c r="Q315" s="7">
        <f t="shared" si="92"/>
        <v>7.038E-5</v>
      </c>
      <c r="R315" s="23">
        <f t="shared" si="93"/>
        <v>0.25336799999999998</v>
      </c>
      <c r="S315" s="5">
        <v>16.940000000000001</v>
      </c>
      <c r="T315" s="5">
        <v>3.17</v>
      </c>
      <c r="U315" s="3">
        <f t="shared" si="94"/>
        <v>31700</v>
      </c>
      <c r="V315" s="8">
        <v>-0.54</v>
      </c>
      <c r="W315" s="8">
        <v>-1.73</v>
      </c>
      <c r="X315" s="5">
        <f t="shared" si="95"/>
        <v>1.19</v>
      </c>
      <c r="Y315" s="23">
        <f t="shared" si="96"/>
        <v>0.21291428571428572</v>
      </c>
      <c r="Z315" s="23">
        <f t="shared" si="80"/>
        <v>6749.3828571428576</v>
      </c>
      <c r="AA315" s="11">
        <f t="shared" si="81"/>
        <v>3.2829274450831258</v>
      </c>
      <c r="AB315" s="11">
        <f t="shared" si="82"/>
        <v>104068.80000913508</v>
      </c>
    </row>
    <row r="316" spans="1:28" ht="17.25" customHeight="1" x14ac:dyDescent="0.2">
      <c r="A316" t="s">
        <v>7</v>
      </c>
      <c r="B316" s="20">
        <v>72</v>
      </c>
      <c r="C316" s="20">
        <v>155</v>
      </c>
      <c r="D316" s="20">
        <v>60</v>
      </c>
      <c r="E316" t="s">
        <v>77</v>
      </c>
      <c r="F316" s="26">
        <v>45154</v>
      </c>
      <c r="G316" t="s">
        <v>76</v>
      </c>
      <c r="H316" s="5">
        <v>18.489999999999998</v>
      </c>
      <c r="I316" s="5">
        <v>44.63</v>
      </c>
      <c r="J316" s="5">
        <v>40.520000000000003</v>
      </c>
      <c r="K316" s="5">
        <v>5.85</v>
      </c>
      <c r="L316" s="5">
        <v>0.12</v>
      </c>
      <c r="M316" s="3">
        <f t="shared" si="79"/>
        <v>120</v>
      </c>
      <c r="N316" s="5">
        <v>6.59</v>
      </c>
      <c r="O316" s="23">
        <f t="shared" si="90"/>
        <v>6.5899999999999995E-3</v>
      </c>
      <c r="P316" s="23">
        <f t="shared" si="91"/>
        <v>0.11861999999999999</v>
      </c>
      <c r="Q316" s="7">
        <f t="shared" si="92"/>
        <v>1.1861999999999999E-4</v>
      </c>
      <c r="R316" s="23">
        <f t="shared" si="93"/>
        <v>0.42703199999999997</v>
      </c>
      <c r="S316" s="5">
        <v>22.24</v>
      </c>
      <c r="T316" s="5">
        <v>4.22</v>
      </c>
      <c r="U316" s="3">
        <f t="shared" si="94"/>
        <v>42200</v>
      </c>
      <c r="V316" s="8">
        <v>-0.34</v>
      </c>
      <c r="W316" s="8">
        <v>-1.87</v>
      </c>
      <c r="X316" s="5">
        <f t="shared" si="95"/>
        <v>1.53</v>
      </c>
      <c r="Y316" s="23">
        <f t="shared" si="96"/>
        <v>0.27910588235294115</v>
      </c>
      <c r="Z316" s="23">
        <f t="shared" si="80"/>
        <v>11778.268235294116</v>
      </c>
      <c r="AA316" s="11">
        <f t="shared" si="81"/>
        <v>4.3035363183201074</v>
      </c>
      <c r="AB316" s="11">
        <f t="shared" si="82"/>
        <v>181609.23263310854</v>
      </c>
    </row>
    <row r="317" spans="1:28" ht="17.25" customHeight="1" x14ac:dyDescent="0.2">
      <c r="A317" t="s">
        <v>7</v>
      </c>
      <c r="B317" s="20">
        <v>72</v>
      </c>
      <c r="C317" s="20">
        <v>5</v>
      </c>
      <c r="D317" s="20">
        <v>61</v>
      </c>
      <c r="E317" t="s">
        <v>77</v>
      </c>
      <c r="F317" s="26">
        <v>45154</v>
      </c>
      <c r="G317" t="s">
        <v>76</v>
      </c>
      <c r="H317" s="5">
        <v>17.71</v>
      </c>
      <c r="I317" s="5">
        <v>46.05</v>
      </c>
      <c r="J317" s="5">
        <v>41.64</v>
      </c>
      <c r="K317" s="5">
        <v>6.26</v>
      </c>
      <c r="L317" s="5">
        <v>0.09</v>
      </c>
      <c r="M317" s="3">
        <f t="shared" si="79"/>
        <v>90</v>
      </c>
      <c r="N317" s="5">
        <v>4.96</v>
      </c>
      <c r="O317" s="23">
        <f t="shared" si="90"/>
        <v>4.96E-3</v>
      </c>
      <c r="P317" s="23">
        <f t="shared" si="91"/>
        <v>8.9279999999999998E-2</v>
      </c>
      <c r="Q317" s="7">
        <f t="shared" si="92"/>
        <v>8.9279999999999999E-5</v>
      </c>
      <c r="R317" s="23">
        <f t="shared" si="93"/>
        <v>0.32140799999999997</v>
      </c>
      <c r="S317" s="5">
        <v>5.59</v>
      </c>
      <c r="T317" s="5">
        <v>1.83</v>
      </c>
      <c r="U317" s="3">
        <f t="shared" si="94"/>
        <v>18300</v>
      </c>
      <c r="V317" s="8">
        <v>-0.69</v>
      </c>
      <c r="W317" s="8">
        <v>-2.0099999999999998</v>
      </c>
      <c r="X317" s="5">
        <f t="shared" si="95"/>
        <v>1.3199999999999998</v>
      </c>
      <c r="Y317" s="23">
        <f t="shared" si="96"/>
        <v>0.24349090909090909</v>
      </c>
      <c r="Z317" s="23">
        <f t="shared" si="80"/>
        <v>4455.8836363636365</v>
      </c>
      <c r="AA317" s="11">
        <f t="shared" si="81"/>
        <v>3.7543886987248398</v>
      </c>
      <c r="AB317" s="11">
        <f t="shared" si="82"/>
        <v>68705.313186664571</v>
      </c>
    </row>
    <row r="318" spans="1:28" ht="17.25" customHeight="1" x14ac:dyDescent="0.2">
      <c r="A318" t="s">
        <v>7</v>
      </c>
      <c r="B318" s="20">
        <v>72</v>
      </c>
      <c r="C318" s="20">
        <v>5</v>
      </c>
      <c r="D318" s="20">
        <v>63</v>
      </c>
      <c r="E318" t="s">
        <v>77</v>
      </c>
      <c r="F318" s="26">
        <v>45155</v>
      </c>
      <c r="G318" t="s">
        <v>76</v>
      </c>
      <c r="H318" s="5">
        <v>15.28</v>
      </c>
      <c r="I318" s="5">
        <v>45.96</v>
      </c>
      <c r="J318" s="5">
        <v>41.08</v>
      </c>
      <c r="K318" s="5">
        <v>6.27</v>
      </c>
      <c r="L318" s="5">
        <v>0.1</v>
      </c>
      <c r="M318" s="3">
        <f t="shared" si="79"/>
        <v>100</v>
      </c>
      <c r="N318" s="5">
        <v>6.07</v>
      </c>
      <c r="O318" s="23">
        <f t="shared" si="90"/>
        <v>6.0699999999999999E-3</v>
      </c>
      <c r="P318" s="23">
        <f t="shared" si="91"/>
        <v>0.10926</v>
      </c>
      <c r="Q318" s="7">
        <f t="shared" si="92"/>
        <v>1.0925999999999999E-4</v>
      </c>
      <c r="R318" s="23">
        <f t="shared" si="93"/>
        <v>0.39333599999999996</v>
      </c>
      <c r="S318" s="5">
        <v>13.53</v>
      </c>
      <c r="T318" s="5">
        <v>2.78</v>
      </c>
      <c r="U318" s="5">
        <f t="shared" si="94"/>
        <v>27799.999999999996</v>
      </c>
      <c r="V318" s="8">
        <v>-0.56999999999999995</v>
      </c>
      <c r="W318" s="8">
        <v>-1.91</v>
      </c>
      <c r="X318" s="5">
        <f t="shared" si="95"/>
        <v>1.3399999999999999</v>
      </c>
      <c r="Y318" s="23">
        <f t="shared" si="96"/>
        <v>0.29353432835820897</v>
      </c>
      <c r="Z318" s="23">
        <f t="shared" si="80"/>
        <v>8160.2543283582081</v>
      </c>
      <c r="AA318" s="11">
        <f t="shared" si="81"/>
        <v>4.5260086677995472</v>
      </c>
      <c r="AB318" s="11">
        <f t="shared" si="82"/>
        <v>125823.04096482739</v>
      </c>
    </row>
    <row r="319" spans="1:28" ht="17.25" customHeight="1" x14ac:dyDescent="0.2">
      <c r="A319" t="s">
        <v>7</v>
      </c>
      <c r="B319" s="20">
        <v>72</v>
      </c>
      <c r="C319" s="20">
        <v>5</v>
      </c>
      <c r="D319" s="20">
        <v>85</v>
      </c>
      <c r="E319" t="s">
        <v>77</v>
      </c>
      <c r="F319" s="26">
        <v>45154</v>
      </c>
      <c r="G319" t="s">
        <v>76</v>
      </c>
      <c r="H319" s="5">
        <v>19.190000000000001</v>
      </c>
      <c r="I319" s="5">
        <v>44.32</v>
      </c>
      <c r="J319" s="5">
        <v>41.23</v>
      </c>
      <c r="K319" s="5">
        <v>6.11</v>
      </c>
      <c r="L319" s="5">
        <v>0.1</v>
      </c>
      <c r="M319" s="3">
        <f t="shared" si="79"/>
        <v>100</v>
      </c>
      <c r="N319" s="5">
        <v>5.76</v>
      </c>
      <c r="O319" s="23">
        <f t="shared" si="90"/>
        <v>5.7599999999999995E-3</v>
      </c>
      <c r="P319" s="23">
        <f t="shared" si="91"/>
        <v>0.10367999999999999</v>
      </c>
      <c r="Q319" s="7">
        <f t="shared" si="92"/>
        <v>1.0368E-4</v>
      </c>
      <c r="R319" s="23">
        <f t="shared" si="93"/>
        <v>0.37324799999999997</v>
      </c>
      <c r="S319" s="5">
        <v>8.26</v>
      </c>
      <c r="T319" s="5">
        <v>2.33</v>
      </c>
      <c r="U319" s="3">
        <f t="shared" si="94"/>
        <v>23300</v>
      </c>
      <c r="V319" s="8">
        <v>-0.49</v>
      </c>
      <c r="W319" s="8">
        <v>-2.06</v>
      </c>
      <c r="X319" s="5">
        <f t="shared" si="95"/>
        <v>1.57</v>
      </c>
      <c r="Y319" s="23">
        <f t="shared" si="96"/>
        <v>0.23773757961783437</v>
      </c>
      <c r="Z319" s="23">
        <f t="shared" si="80"/>
        <v>5539.2856050955406</v>
      </c>
      <c r="AA319" s="11">
        <f t="shared" si="81"/>
        <v>3.6656780555456003</v>
      </c>
      <c r="AB319" s="11">
        <f t="shared" si="82"/>
        <v>85410.298694212484</v>
      </c>
    </row>
    <row r="320" spans="1:28" ht="17.25" customHeight="1" x14ac:dyDescent="0.2">
      <c r="A320" t="s">
        <v>8</v>
      </c>
      <c r="B320" s="20">
        <v>1521</v>
      </c>
      <c r="C320" s="20">
        <v>153</v>
      </c>
      <c r="D320" s="20">
        <v>69</v>
      </c>
      <c r="E320" t="s">
        <v>77</v>
      </c>
      <c r="F320" s="26">
        <v>45154</v>
      </c>
      <c r="G320" t="s">
        <v>76</v>
      </c>
      <c r="H320" s="5">
        <v>17.12</v>
      </c>
      <c r="I320" s="5">
        <v>46.15</v>
      </c>
      <c r="J320" s="5">
        <v>40.68</v>
      </c>
      <c r="K320" s="5">
        <v>5.91</v>
      </c>
      <c r="L320" s="5">
        <v>0.18</v>
      </c>
      <c r="M320" s="3">
        <f t="shared" si="79"/>
        <v>180</v>
      </c>
      <c r="N320" s="5">
        <v>9.66</v>
      </c>
      <c r="O320" s="23">
        <f t="shared" si="90"/>
        <v>9.6600000000000002E-3</v>
      </c>
      <c r="P320" s="23">
        <f t="shared" si="91"/>
        <v>0.17388000000000001</v>
      </c>
      <c r="Q320" s="7">
        <f t="shared" si="92"/>
        <v>1.7388000000000001E-4</v>
      </c>
      <c r="R320" s="23">
        <f t="shared" si="93"/>
        <v>0.62596800000000008</v>
      </c>
      <c r="S320" s="5">
        <v>1.89</v>
      </c>
      <c r="T320" s="5">
        <v>0.42</v>
      </c>
      <c r="U320" s="3">
        <f t="shared" si="94"/>
        <v>4200</v>
      </c>
      <c r="V320" s="8">
        <v>-0.62</v>
      </c>
      <c r="W320" s="8">
        <v>-2.1</v>
      </c>
      <c r="X320" s="5">
        <f t="shared" si="95"/>
        <v>1.48</v>
      </c>
      <c r="Y320" s="23">
        <f t="shared" si="96"/>
        <v>0.42295135135135142</v>
      </c>
      <c r="Z320" s="23">
        <f t="shared" si="80"/>
        <v>1776.3956756756759</v>
      </c>
      <c r="AA320" s="11">
        <f t="shared" si="81"/>
        <v>6.521491005773238</v>
      </c>
      <c r="AB320" s="11">
        <f t="shared" si="82"/>
        <v>27390.262224247599</v>
      </c>
    </row>
    <row r="321" spans="1:28" ht="17.25" customHeight="1" x14ac:dyDescent="0.2">
      <c r="A321" t="s">
        <v>8</v>
      </c>
      <c r="B321" s="20">
        <v>1521</v>
      </c>
      <c r="C321" s="20">
        <v>153</v>
      </c>
      <c r="D321" s="20">
        <v>76</v>
      </c>
      <c r="E321" t="s">
        <v>77</v>
      </c>
      <c r="F321" s="26">
        <v>45154</v>
      </c>
      <c r="G321" t="s">
        <v>76</v>
      </c>
      <c r="H321" s="5">
        <v>15.99</v>
      </c>
      <c r="I321" s="5">
        <v>46.28</v>
      </c>
      <c r="J321" s="5">
        <v>42.71</v>
      </c>
      <c r="K321" s="5">
        <v>6.88</v>
      </c>
      <c r="L321" s="5">
        <v>0.08</v>
      </c>
      <c r="M321" s="3">
        <f t="shared" si="79"/>
        <v>80</v>
      </c>
      <c r="N321" s="5">
        <v>5.24</v>
      </c>
      <c r="O321" s="23">
        <f t="shared" si="90"/>
        <v>5.2399999999999999E-3</v>
      </c>
      <c r="P321" s="23">
        <f t="shared" si="91"/>
        <v>9.4320000000000001E-2</v>
      </c>
      <c r="Q321" s="7">
        <f t="shared" si="92"/>
        <v>9.4320000000000005E-5</v>
      </c>
      <c r="R321" s="23">
        <f t="shared" si="93"/>
        <v>0.33955200000000002</v>
      </c>
      <c r="S321" s="5">
        <v>1.63</v>
      </c>
      <c r="T321" s="5">
        <v>0.4</v>
      </c>
      <c r="U321" s="3">
        <f t="shared" si="94"/>
        <v>4000</v>
      </c>
      <c r="V321" s="8">
        <v>-0.51</v>
      </c>
      <c r="W321" s="8">
        <v>-1.72</v>
      </c>
      <c r="X321" s="5">
        <f t="shared" si="95"/>
        <v>1.21</v>
      </c>
      <c r="Y321" s="23">
        <f t="shared" si="96"/>
        <v>0.2806214876033058</v>
      </c>
      <c r="Z321" s="23">
        <f t="shared" si="80"/>
        <v>1122.4859504132232</v>
      </c>
      <c r="AA321" s="11">
        <f t="shared" si="81"/>
        <v>4.3269054504365458</v>
      </c>
      <c r="AB321" s="11">
        <f t="shared" si="82"/>
        <v>17307.621801746183</v>
      </c>
    </row>
    <row r="322" spans="1:28" ht="17.25" customHeight="1" x14ac:dyDescent="0.2">
      <c r="A322" t="s">
        <v>8</v>
      </c>
      <c r="B322" s="20">
        <v>1521</v>
      </c>
      <c r="C322" s="20">
        <v>153</v>
      </c>
      <c r="D322" s="20">
        <v>90</v>
      </c>
      <c r="E322" t="s">
        <v>77</v>
      </c>
      <c r="F322" s="26">
        <v>45155</v>
      </c>
      <c r="G322" t="s">
        <v>76</v>
      </c>
      <c r="H322" s="5">
        <v>14.26</v>
      </c>
      <c r="I322" s="5">
        <v>46.81</v>
      </c>
      <c r="J322" s="5">
        <v>43.6</v>
      </c>
      <c r="K322" s="5">
        <v>7.46</v>
      </c>
      <c r="L322" s="5">
        <v>0.08</v>
      </c>
      <c r="M322" s="3">
        <f t="shared" si="79"/>
        <v>80</v>
      </c>
      <c r="N322" s="5">
        <v>5.5</v>
      </c>
      <c r="O322" s="23">
        <f t="shared" si="90"/>
        <v>5.4999999999999997E-3</v>
      </c>
      <c r="P322" s="23">
        <f t="shared" si="91"/>
        <v>9.8999999999999991E-2</v>
      </c>
      <c r="Q322" s="7">
        <f t="shared" si="92"/>
        <v>9.8999999999999994E-5</v>
      </c>
      <c r="R322" s="23">
        <f t="shared" si="93"/>
        <v>0.35639999999999999</v>
      </c>
      <c r="S322" s="5">
        <v>3.81</v>
      </c>
      <c r="T322" s="5">
        <v>0.53</v>
      </c>
      <c r="U322" s="3">
        <f t="shared" si="94"/>
        <v>5300</v>
      </c>
      <c r="V322" s="8">
        <v>-0.67</v>
      </c>
      <c r="W322" s="27">
        <v>-2</v>
      </c>
      <c r="X322" s="5">
        <f t="shared" si="95"/>
        <v>1.33</v>
      </c>
      <c r="Y322" s="23">
        <f t="shared" si="96"/>
        <v>0.26796992481203008</v>
      </c>
      <c r="Z322" s="23">
        <f t="shared" si="80"/>
        <v>1420.2406015037595</v>
      </c>
      <c r="AA322" s="11">
        <f t="shared" si="81"/>
        <v>4.1318308805394031</v>
      </c>
      <c r="AB322" s="11">
        <f t="shared" si="82"/>
        <v>21898.703666858837</v>
      </c>
    </row>
    <row r="323" spans="1:28" ht="17.25" customHeight="1" x14ac:dyDescent="0.2">
      <c r="A323" t="s">
        <v>8</v>
      </c>
      <c r="B323" s="20">
        <v>1521</v>
      </c>
      <c r="C323" s="20">
        <v>155</v>
      </c>
      <c r="D323" s="20">
        <v>62</v>
      </c>
      <c r="E323" t="s">
        <v>77</v>
      </c>
      <c r="F323" s="26">
        <v>45155</v>
      </c>
      <c r="G323" t="s">
        <v>76</v>
      </c>
      <c r="H323" s="5">
        <v>14.55</v>
      </c>
      <c r="I323" s="5">
        <v>46.77</v>
      </c>
      <c r="J323" s="5">
        <v>41.58</v>
      </c>
      <c r="K323" s="5">
        <v>6.5</v>
      </c>
      <c r="L323" s="5">
        <v>0.18</v>
      </c>
      <c r="M323" s="3">
        <f t="shared" ref="M323:M386" si="97">L323*1000</f>
        <v>180</v>
      </c>
      <c r="N323" s="5">
        <v>11.1</v>
      </c>
      <c r="O323" s="23">
        <f t="shared" si="90"/>
        <v>1.11E-2</v>
      </c>
      <c r="P323" s="23">
        <f t="shared" si="91"/>
        <v>0.19980000000000001</v>
      </c>
      <c r="Q323" s="7">
        <f t="shared" si="92"/>
        <v>1.998E-4</v>
      </c>
      <c r="R323" s="23">
        <f t="shared" si="93"/>
        <v>0.71928000000000003</v>
      </c>
      <c r="S323" s="5">
        <v>1.17</v>
      </c>
      <c r="T323" s="5">
        <v>0.44</v>
      </c>
      <c r="U323" s="3">
        <f t="shared" si="94"/>
        <v>4400</v>
      </c>
      <c r="V323" s="8">
        <v>-0.48</v>
      </c>
      <c r="W323" s="8">
        <v>-2.0299999999999998</v>
      </c>
      <c r="X323" s="5">
        <f t="shared" si="95"/>
        <v>1.5499999999999998</v>
      </c>
      <c r="Y323" s="23">
        <f t="shared" si="96"/>
        <v>0.46405161290322589</v>
      </c>
      <c r="Z323" s="23">
        <f t="shared" ref="Z323:Z386" si="98">Y323*U323</f>
        <v>2041.8270967741939</v>
      </c>
      <c r="AA323" s="11">
        <f t="shared" ref="AA323:AA386" si="99">Y323 * 1000 * 1000 / 18.01528 / 3600</f>
        <v>7.15521633893293</v>
      </c>
      <c r="AB323" s="11">
        <f t="shared" ref="AB323:AB386" si="100">AA323*U323</f>
        <v>31482.951891304892</v>
      </c>
    </row>
    <row r="324" spans="1:28" ht="17.25" customHeight="1" x14ac:dyDescent="0.2">
      <c r="A324" t="s">
        <v>8</v>
      </c>
      <c r="B324" s="20">
        <v>1521</v>
      </c>
      <c r="C324" s="20">
        <v>155</v>
      </c>
      <c r="D324" s="20">
        <v>64</v>
      </c>
      <c r="E324" t="s">
        <v>77</v>
      </c>
      <c r="F324" s="26">
        <v>45155</v>
      </c>
      <c r="G324" t="s">
        <v>76</v>
      </c>
      <c r="H324" s="5">
        <v>17.920000000000002</v>
      </c>
      <c r="I324" s="5">
        <v>45.08</v>
      </c>
      <c r="J324" s="5">
        <v>39.78</v>
      </c>
      <c r="K324" s="5">
        <v>5.57</v>
      </c>
      <c r="L324" s="5">
        <v>0.18</v>
      </c>
      <c r="M324" s="3">
        <f t="shared" si="97"/>
        <v>180</v>
      </c>
      <c r="N324" s="5">
        <v>9.35</v>
      </c>
      <c r="O324" s="23">
        <f t="shared" si="90"/>
        <v>9.3499999999999989E-3</v>
      </c>
      <c r="P324" s="23">
        <f t="shared" si="91"/>
        <v>0.16829999999999998</v>
      </c>
      <c r="Q324" s="7">
        <f t="shared" si="92"/>
        <v>1.6829999999999997E-4</v>
      </c>
      <c r="R324" s="23">
        <f t="shared" si="93"/>
        <v>0.60587999999999986</v>
      </c>
      <c r="S324" s="5">
        <v>1.37</v>
      </c>
      <c r="T324" s="5">
        <v>0.45</v>
      </c>
      <c r="U324" s="3">
        <f t="shared" si="94"/>
        <v>4500</v>
      </c>
      <c r="V324" s="8">
        <v>-0.42</v>
      </c>
      <c r="W324" s="8">
        <v>-1.81</v>
      </c>
      <c r="X324" s="5">
        <f t="shared" si="95"/>
        <v>1.3900000000000001</v>
      </c>
      <c r="Y324" s="23">
        <f t="shared" si="96"/>
        <v>0.4358848920863308</v>
      </c>
      <c r="Z324" s="23">
        <f t="shared" si="98"/>
        <v>1961.4820143884886</v>
      </c>
      <c r="AA324" s="11">
        <f t="shared" si="99"/>
        <v>6.7209133963306389</v>
      </c>
      <c r="AB324" s="11">
        <f t="shared" si="100"/>
        <v>30244.110283487877</v>
      </c>
    </row>
    <row r="325" spans="1:28" ht="17.25" customHeight="1" x14ac:dyDescent="0.2">
      <c r="A325" t="s">
        <v>8</v>
      </c>
      <c r="B325" s="20">
        <v>1521</v>
      </c>
      <c r="C325" s="20">
        <v>155</v>
      </c>
      <c r="D325" s="20">
        <v>66</v>
      </c>
      <c r="E325" t="s">
        <v>77</v>
      </c>
      <c r="F325" s="26">
        <v>45154</v>
      </c>
      <c r="G325" t="s">
        <v>76</v>
      </c>
      <c r="H325" s="5">
        <v>15.76</v>
      </c>
      <c r="I325" s="5">
        <v>46.43</v>
      </c>
      <c r="J325" s="5">
        <v>42.46</v>
      </c>
      <c r="K325" s="5">
        <v>6.79</v>
      </c>
      <c r="L325" s="5">
        <v>0.08</v>
      </c>
      <c r="M325" s="3">
        <f t="shared" si="97"/>
        <v>80</v>
      </c>
      <c r="N325" s="5">
        <v>4.95</v>
      </c>
      <c r="O325" s="23">
        <f t="shared" si="90"/>
        <v>4.9500000000000004E-3</v>
      </c>
      <c r="P325" s="23">
        <f t="shared" si="91"/>
        <v>8.9100000000000013E-2</v>
      </c>
      <c r="Q325" s="7">
        <f t="shared" si="92"/>
        <v>8.9100000000000011E-5</v>
      </c>
      <c r="R325" s="23">
        <f t="shared" si="93"/>
        <v>0.32076000000000005</v>
      </c>
      <c r="S325" s="5">
        <v>3.21</v>
      </c>
      <c r="T325" s="5">
        <v>0.68</v>
      </c>
      <c r="U325" s="5">
        <f t="shared" si="94"/>
        <v>6800.0000000000009</v>
      </c>
      <c r="V325" s="8">
        <v>-0.55000000000000004</v>
      </c>
      <c r="W325" s="8">
        <v>-1.7</v>
      </c>
      <c r="X325" s="5">
        <f t="shared" si="95"/>
        <v>1.1499999999999999</v>
      </c>
      <c r="Y325" s="23">
        <f t="shared" si="96"/>
        <v>0.27892173913043483</v>
      </c>
      <c r="Z325" s="23">
        <f t="shared" si="98"/>
        <v>1896.6678260869571</v>
      </c>
      <c r="AA325" s="11">
        <f t="shared" si="99"/>
        <v>4.3006970121788415</v>
      </c>
      <c r="AB325" s="11">
        <f t="shared" si="100"/>
        <v>29244.739682816125</v>
      </c>
    </row>
    <row r="326" spans="1:28" ht="17.25" customHeight="1" x14ac:dyDescent="0.2">
      <c r="A326" t="s">
        <v>8</v>
      </c>
      <c r="B326" s="20">
        <v>1521</v>
      </c>
      <c r="C326" s="20">
        <v>156</v>
      </c>
      <c r="D326" s="20">
        <v>71</v>
      </c>
      <c r="E326" t="s">
        <v>77</v>
      </c>
      <c r="F326" s="26">
        <v>45155</v>
      </c>
      <c r="G326" t="s">
        <v>76</v>
      </c>
      <c r="H326" s="5">
        <v>14.62</v>
      </c>
      <c r="I326" s="5">
        <v>46.73</v>
      </c>
      <c r="J326" s="5">
        <v>43.15</v>
      </c>
      <c r="K326" s="5">
        <v>7.19</v>
      </c>
      <c r="L326" s="5">
        <v>0.09</v>
      </c>
      <c r="M326" s="3">
        <f t="shared" si="97"/>
        <v>90</v>
      </c>
      <c r="N326" s="5">
        <v>6.26</v>
      </c>
      <c r="O326" s="23">
        <f t="shared" si="90"/>
        <v>6.2599999999999999E-3</v>
      </c>
      <c r="P326" s="23">
        <f t="shared" si="91"/>
        <v>0.11268</v>
      </c>
      <c r="Q326" s="7">
        <f t="shared" si="92"/>
        <v>1.1268E-4</v>
      </c>
      <c r="R326" s="23">
        <f t="shared" si="93"/>
        <v>0.40564800000000001</v>
      </c>
      <c r="S326" s="5">
        <v>3.35</v>
      </c>
      <c r="T326" s="5">
        <v>0.65</v>
      </c>
      <c r="U326" s="3">
        <f t="shared" si="94"/>
        <v>6500</v>
      </c>
      <c r="V326" s="8">
        <v>-0.5</v>
      </c>
      <c r="W326" s="8">
        <v>-1.97</v>
      </c>
      <c r="X326" s="5">
        <f t="shared" si="95"/>
        <v>1.47</v>
      </c>
      <c r="Y326" s="23">
        <f t="shared" si="96"/>
        <v>0.27595102040816327</v>
      </c>
      <c r="Z326" s="23">
        <f t="shared" si="98"/>
        <v>1793.6816326530613</v>
      </c>
      <c r="AA326" s="11">
        <f t="shared" si="99"/>
        <v>4.2548914712671575</v>
      </c>
      <c r="AB326" s="11">
        <f t="shared" si="100"/>
        <v>27656.794563236523</v>
      </c>
    </row>
    <row r="327" spans="1:28" ht="17.25" customHeight="1" x14ac:dyDescent="0.2">
      <c r="A327" t="s">
        <v>8</v>
      </c>
      <c r="B327" s="20">
        <v>1521</v>
      </c>
      <c r="C327" s="20">
        <v>156</v>
      </c>
      <c r="D327" s="20">
        <v>74</v>
      </c>
      <c r="E327" t="s">
        <v>77</v>
      </c>
      <c r="F327" s="26">
        <v>45154</v>
      </c>
      <c r="G327" t="s">
        <v>76</v>
      </c>
      <c r="H327" s="5">
        <v>16.21</v>
      </c>
      <c r="I327" s="5">
        <v>46.4</v>
      </c>
      <c r="J327" s="5">
        <v>40.380000000000003</v>
      </c>
      <c r="K327" s="5">
        <v>5.86</v>
      </c>
      <c r="L327" s="5">
        <v>0.17</v>
      </c>
      <c r="M327" s="3">
        <f t="shared" si="97"/>
        <v>170</v>
      </c>
      <c r="N327" s="5">
        <v>9.39</v>
      </c>
      <c r="O327" s="23">
        <f t="shared" si="90"/>
        <v>9.3900000000000008E-3</v>
      </c>
      <c r="P327" s="23">
        <f t="shared" si="91"/>
        <v>0.16902</v>
      </c>
      <c r="Q327" s="7">
        <f t="shared" si="92"/>
        <v>1.6902E-4</v>
      </c>
      <c r="R327" s="23">
        <f t="shared" si="93"/>
        <v>0.60847200000000001</v>
      </c>
      <c r="S327" s="5">
        <v>2.92</v>
      </c>
      <c r="T327" s="5">
        <v>0.64</v>
      </c>
      <c r="U327" s="3">
        <f t="shared" si="94"/>
        <v>6400</v>
      </c>
      <c r="V327" s="8">
        <v>-0.28000000000000003</v>
      </c>
      <c r="W327" s="8">
        <v>-1.85</v>
      </c>
      <c r="X327" s="5">
        <f t="shared" si="95"/>
        <v>1.57</v>
      </c>
      <c r="Y327" s="23">
        <f t="shared" si="96"/>
        <v>0.38756178343949044</v>
      </c>
      <c r="Z327" s="23">
        <f t="shared" si="98"/>
        <v>2480.3954140127389</v>
      </c>
      <c r="AA327" s="11">
        <f t="shared" si="99"/>
        <v>5.9758189134675685</v>
      </c>
      <c r="AB327" s="11">
        <f t="shared" si="100"/>
        <v>38245.241046192437</v>
      </c>
    </row>
    <row r="328" spans="1:28" ht="17.25" customHeight="1" x14ac:dyDescent="0.2">
      <c r="A328" t="s">
        <v>8</v>
      </c>
      <c r="B328" s="20">
        <v>1521</v>
      </c>
      <c r="C328" s="20">
        <v>156</v>
      </c>
      <c r="D328" s="20">
        <v>75</v>
      </c>
      <c r="E328" t="s">
        <v>77</v>
      </c>
      <c r="F328" s="26">
        <v>45154</v>
      </c>
      <c r="G328" t="s">
        <v>76</v>
      </c>
      <c r="H328" s="5">
        <v>15.8</v>
      </c>
      <c r="I328" s="5">
        <v>46.28</v>
      </c>
      <c r="J328" s="5">
        <v>42.64</v>
      </c>
      <c r="K328" s="5">
        <v>6.88</v>
      </c>
      <c r="L328" s="5">
        <v>7.0000000000000007E-2</v>
      </c>
      <c r="M328" s="3">
        <f t="shared" si="97"/>
        <v>70</v>
      </c>
      <c r="N328" s="5">
        <v>4.78</v>
      </c>
      <c r="O328" s="23">
        <f t="shared" si="90"/>
        <v>4.7800000000000004E-3</v>
      </c>
      <c r="P328" s="23">
        <f t="shared" si="91"/>
        <v>8.6040000000000005E-2</v>
      </c>
      <c r="Q328" s="7">
        <f t="shared" si="92"/>
        <v>8.604000000000001E-5</v>
      </c>
      <c r="R328" s="23">
        <f t="shared" si="93"/>
        <v>0.30974400000000002</v>
      </c>
      <c r="S328" s="5">
        <v>2.78</v>
      </c>
      <c r="T328" s="5">
        <v>0.57999999999999996</v>
      </c>
      <c r="U328" s="3">
        <f t="shared" si="94"/>
        <v>5800</v>
      </c>
      <c r="V328" s="8">
        <v>-0.43</v>
      </c>
      <c r="W328" s="8">
        <v>-2.12</v>
      </c>
      <c r="X328" s="5">
        <f t="shared" si="95"/>
        <v>1.6900000000000002</v>
      </c>
      <c r="Y328" s="23">
        <f t="shared" si="96"/>
        <v>0.18328047337278106</v>
      </c>
      <c r="Z328" s="23">
        <f t="shared" si="98"/>
        <v>1063.0267455621301</v>
      </c>
      <c r="AA328" s="11">
        <f t="shared" si="99"/>
        <v>2.8260034039743092</v>
      </c>
      <c r="AB328" s="11">
        <f t="shared" si="100"/>
        <v>16390.819743050994</v>
      </c>
    </row>
    <row r="329" spans="1:28" ht="17.25" customHeight="1" x14ac:dyDescent="0.2">
      <c r="A329" t="s">
        <v>8</v>
      </c>
      <c r="B329" s="20">
        <v>1521</v>
      </c>
      <c r="C329" s="20">
        <v>157</v>
      </c>
      <c r="D329" s="20">
        <v>67</v>
      </c>
      <c r="E329" t="s">
        <v>77</v>
      </c>
      <c r="F329" s="26">
        <v>45154</v>
      </c>
      <c r="G329" t="s">
        <v>76</v>
      </c>
      <c r="H329" s="5">
        <v>18.579999999999998</v>
      </c>
      <c r="I329" s="5">
        <v>43.93</v>
      </c>
      <c r="J329" s="5">
        <v>41.98</v>
      </c>
      <c r="K329" s="5">
        <v>6.51</v>
      </c>
      <c r="L329" s="5">
        <v>7.0000000000000007E-2</v>
      </c>
      <c r="M329" s="3">
        <f t="shared" si="97"/>
        <v>70</v>
      </c>
      <c r="N329" s="5">
        <v>4.16</v>
      </c>
      <c r="O329" s="23">
        <f t="shared" si="90"/>
        <v>4.1600000000000005E-3</v>
      </c>
      <c r="P329" s="23">
        <f t="shared" si="91"/>
        <v>7.4880000000000002E-2</v>
      </c>
      <c r="Q329" s="7">
        <f t="shared" si="92"/>
        <v>7.4880000000000001E-5</v>
      </c>
      <c r="R329" s="23">
        <f t="shared" si="93"/>
        <v>0.26956800000000003</v>
      </c>
      <c r="S329" s="5">
        <v>2.46</v>
      </c>
      <c r="T329" s="5">
        <v>0.65</v>
      </c>
      <c r="U329" s="3">
        <f t="shared" si="94"/>
        <v>6500</v>
      </c>
      <c r="V329" s="8">
        <v>-0.82</v>
      </c>
      <c r="W329" s="8">
        <v>-2.57</v>
      </c>
      <c r="X329" s="5">
        <f t="shared" si="95"/>
        <v>1.75</v>
      </c>
      <c r="Y329" s="23">
        <f t="shared" si="96"/>
        <v>0.15403885714285717</v>
      </c>
      <c r="Z329" s="23">
        <f t="shared" si="98"/>
        <v>1001.2525714285716</v>
      </c>
      <c r="AA329" s="11">
        <f t="shared" si="99"/>
        <v>2.3751266385297058</v>
      </c>
      <c r="AB329" s="11">
        <f t="shared" si="100"/>
        <v>15438.323150443088</v>
      </c>
    </row>
    <row r="330" spans="1:28" ht="17.25" customHeight="1" x14ac:dyDescent="0.2">
      <c r="A330" t="s">
        <v>8</v>
      </c>
      <c r="B330" s="20">
        <v>1521</v>
      </c>
      <c r="C330" s="20">
        <v>157</v>
      </c>
      <c r="D330" s="20">
        <v>68</v>
      </c>
      <c r="E330" t="s">
        <v>77</v>
      </c>
      <c r="F330" s="26">
        <v>45154</v>
      </c>
      <c r="G330" t="s">
        <v>76</v>
      </c>
      <c r="H330" s="5">
        <v>17.59</v>
      </c>
      <c r="I330" s="5">
        <v>44.87</v>
      </c>
      <c r="J330" s="5">
        <v>41.63</v>
      </c>
      <c r="K330" s="5">
        <v>6.37</v>
      </c>
      <c r="L330" s="5">
        <v>0.09</v>
      </c>
      <c r="M330" s="3">
        <f t="shared" si="97"/>
        <v>90</v>
      </c>
      <c r="N330" s="5">
        <v>5.25</v>
      </c>
      <c r="O330" s="23">
        <f t="shared" si="90"/>
        <v>5.2500000000000003E-3</v>
      </c>
      <c r="P330" s="23">
        <f t="shared" si="91"/>
        <v>9.4500000000000001E-2</v>
      </c>
      <c r="Q330" s="7">
        <f t="shared" si="92"/>
        <v>9.4500000000000007E-5</v>
      </c>
      <c r="R330" s="23">
        <f t="shared" si="93"/>
        <v>0.3402</v>
      </c>
      <c r="S330" s="5">
        <v>2.9</v>
      </c>
      <c r="T330" s="5">
        <v>0.85</v>
      </c>
      <c r="U330" s="3">
        <f t="shared" si="94"/>
        <v>8500</v>
      </c>
      <c r="V330" s="8">
        <v>-1.1000000000000001</v>
      </c>
      <c r="W330" s="8">
        <v>-2.12</v>
      </c>
      <c r="X330" s="5">
        <f t="shared" si="95"/>
        <v>1.02</v>
      </c>
      <c r="Y330" s="23">
        <f t="shared" si="96"/>
        <v>0.33352941176470585</v>
      </c>
      <c r="Z330" s="23">
        <f t="shared" si="98"/>
        <v>2834.9999999999995</v>
      </c>
      <c r="AA330" s="11">
        <f t="shared" si="99"/>
        <v>5.1426932483719048</v>
      </c>
      <c r="AB330" s="11">
        <f t="shared" si="100"/>
        <v>43712.892611161187</v>
      </c>
    </row>
    <row r="331" spans="1:28" ht="17.25" customHeight="1" x14ac:dyDescent="0.2">
      <c r="A331" t="s">
        <v>8</v>
      </c>
      <c r="B331" s="20">
        <v>1521</v>
      </c>
      <c r="C331" s="20">
        <v>157</v>
      </c>
      <c r="D331" s="20">
        <v>72</v>
      </c>
      <c r="E331" t="s">
        <v>77</v>
      </c>
      <c r="F331" s="26">
        <v>45155</v>
      </c>
      <c r="G331" t="s">
        <v>76</v>
      </c>
      <c r="H331" s="5">
        <v>14.5</v>
      </c>
      <c r="I331" s="5">
        <v>46.61</v>
      </c>
      <c r="J331" s="5">
        <v>44.39</v>
      </c>
      <c r="K331" s="5">
        <v>7.78</v>
      </c>
      <c r="L331" s="5">
        <v>0.06</v>
      </c>
      <c r="M331" s="3">
        <f t="shared" si="97"/>
        <v>60</v>
      </c>
      <c r="N331" s="5">
        <v>4.5199999999999996</v>
      </c>
      <c r="O331" s="23">
        <f t="shared" si="90"/>
        <v>4.5199999999999997E-3</v>
      </c>
      <c r="P331" s="23">
        <f t="shared" si="91"/>
        <v>8.1359999999999988E-2</v>
      </c>
      <c r="Q331" s="7">
        <f t="shared" si="92"/>
        <v>8.1359999999999994E-5</v>
      </c>
      <c r="R331" s="23">
        <f t="shared" si="93"/>
        <v>0.29289599999999999</v>
      </c>
      <c r="S331" s="5">
        <v>1.89</v>
      </c>
      <c r="T331" s="5">
        <v>1.52</v>
      </c>
      <c r="U331" s="3">
        <f t="shared" si="94"/>
        <v>15200</v>
      </c>
      <c r="V331" s="8">
        <v>-1.18</v>
      </c>
      <c r="W331" s="8">
        <v>-2.16</v>
      </c>
      <c r="X331" s="5">
        <f t="shared" si="95"/>
        <v>0.9800000000000002</v>
      </c>
      <c r="Y331" s="23">
        <f t="shared" si="96"/>
        <v>0.29887346938775505</v>
      </c>
      <c r="Z331" s="23">
        <f t="shared" si="98"/>
        <v>4542.8767346938766</v>
      </c>
      <c r="AA331" s="11">
        <f t="shared" si="99"/>
        <v>4.6083329353340758</v>
      </c>
      <c r="AB331" s="11">
        <f t="shared" si="100"/>
        <v>70046.660617077956</v>
      </c>
    </row>
    <row r="332" spans="1:28" ht="17.25" customHeight="1" x14ac:dyDescent="0.2">
      <c r="A332" t="s">
        <v>8</v>
      </c>
      <c r="B332" s="20">
        <v>1521</v>
      </c>
      <c r="C332" s="20">
        <v>158</v>
      </c>
      <c r="D332" s="20">
        <v>70</v>
      </c>
      <c r="E332" t="s">
        <v>77</v>
      </c>
      <c r="F332" s="26">
        <v>45154</v>
      </c>
      <c r="G332" t="s">
        <v>76</v>
      </c>
      <c r="H332" s="5">
        <v>16.46</v>
      </c>
      <c r="I332" s="5">
        <v>46.26</v>
      </c>
      <c r="J332" s="5">
        <v>42.22</v>
      </c>
      <c r="K332" s="5">
        <v>6.63</v>
      </c>
      <c r="L332" s="5">
        <v>0.09</v>
      </c>
      <c r="M332" s="3">
        <f t="shared" si="97"/>
        <v>90</v>
      </c>
      <c r="N332" s="5">
        <v>5.43</v>
      </c>
      <c r="O332" s="23">
        <f t="shared" si="90"/>
        <v>5.4299999999999999E-3</v>
      </c>
      <c r="P332" s="23">
        <f t="shared" si="91"/>
        <v>9.7739999999999994E-2</v>
      </c>
      <c r="Q332" s="7">
        <f t="shared" si="92"/>
        <v>9.7739999999999996E-5</v>
      </c>
      <c r="R332" s="23">
        <f t="shared" si="93"/>
        <v>0.35186400000000001</v>
      </c>
      <c r="S332" s="5">
        <v>1.25</v>
      </c>
      <c r="T332" s="5">
        <v>0.24</v>
      </c>
      <c r="U332" s="3">
        <f t="shared" si="94"/>
        <v>2400</v>
      </c>
      <c r="V332" s="8">
        <v>-0.43</v>
      </c>
      <c r="W332" s="8">
        <v>-1.88</v>
      </c>
      <c r="X332" s="5">
        <f t="shared" si="95"/>
        <v>1.45</v>
      </c>
      <c r="Y332" s="23">
        <f t="shared" si="96"/>
        <v>0.24266482758620692</v>
      </c>
      <c r="Z332" s="23">
        <f t="shared" si="98"/>
        <v>582.39558620689661</v>
      </c>
      <c r="AA332" s="11">
        <f t="shared" si="99"/>
        <v>3.74165133995831</v>
      </c>
      <c r="AB332" s="11">
        <f t="shared" si="100"/>
        <v>8979.9632158999448</v>
      </c>
    </row>
    <row r="333" spans="1:28" ht="17.25" customHeight="1" x14ac:dyDescent="0.2">
      <c r="A333" t="s">
        <v>8</v>
      </c>
      <c r="B333" s="20">
        <v>1521</v>
      </c>
      <c r="C333" s="20">
        <v>158</v>
      </c>
      <c r="D333" s="20">
        <v>73</v>
      </c>
      <c r="E333" t="s">
        <v>77</v>
      </c>
      <c r="F333" s="26">
        <v>45154</v>
      </c>
      <c r="G333" t="s">
        <v>76</v>
      </c>
      <c r="H333" s="5">
        <v>16.09</v>
      </c>
      <c r="I333" s="5">
        <v>46.34</v>
      </c>
      <c r="J333" s="5">
        <v>41.45</v>
      </c>
      <c r="K333" s="5">
        <v>6.32</v>
      </c>
      <c r="L333" s="5">
        <v>0.09</v>
      </c>
      <c r="M333" s="3">
        <f t="shared" si="97"/>
        <v>90</v>
      </c>
      <c r="N333" s="5">
        <v>5.55</v>
      </c>
      <c r="O333" s="23">
        <f t="shared" si="90"/>
        <v>5.5500000000000002E-3</v>
      </c>
      <c r="P333" s="23">
        <f t="shared" si="91"/>
        <v>9.9900000000000003E-2</v>
      </c>
      <c r="Q333" s="7">
        <f t="shared" si="92"/>
        <v>9.9900000000000002E-5</v>
      </c>
      <c r="R333" s="23">
        <f t="shared" si="93"/>
        <v>0.35964000000000002</v>
      </c>
      <c r="S333" s="5">
        <v>1.75</v>
      </c>
      <c r="T333" s="5">
        <v>0.39</v>
      </c>
      <c r="U333" s="3">
        <f t="shared" si="94"/>
        <v>3900</v>
      </c>
      <c r="V333" s="8">
        <v>-0.48</v>
      </c>
      <c r="W333" s="8">
        <v>-1.98</v>
      </c>
      <c r="X333" s="5">
        <f t="shared" si="95"/>
        <v>1.5</v>
      </c>
      <c r="Y333" s="23">
        <f t="shared" si="96"/>
        <v>0.23976</v>
      </c>
      <c r="Z333" s="23">
        <f t="shared" si="98"/>
        <v>935.06399999999996</v>
      </c>
      <c r="AA333" s="11">
        <f t="shared" si="99"/>
        <v>3.6968617751153463</v>
      </c>
      <c r="AB333" s="11">
        <f t="shared" si="100"/>
        <v>14417.76092294985</v>
      </c>
    </row>
    <row r="334" spans="1:28" ht="17.25" customHeight="1" x14ac:dyDescent="0.2">
      <c r="A334" t="s">
        <v>8</v>
      </c>
      <c r="B334" s="20">
        <v>1521</v>
      </c>
      <c r="C334" s="20">
        <v>158</v>
      </c>
      <c r="D334" s="20">
        <v>81</v>
      </c>
      <c r="E334" t="s">
        <v>77</v>
      </c>
      <c r="F334" s="26">
        <v>45154</v>
      </c>
      <c r="G334" t="s">
        <v>76</v>
      </c>
      <c r="H334" s="5">
        <v>16.53</v>
      </c>
      <c r="I334" s="5">
        <v>46.23</v>
      </c>
      <c r="J334" s="5">
        <v>42.88</v>
      </c>
      <c r="K334" s="5">
        <v>6.9</v>
      </c>
      <c r="L334" s="5">
        <v>7.0000000000000007E-2</v>
      </c>
      <c r="M334" s="3">
        <f t="shared" si="97"/>
        <v>70</v>
      </c>
      <c r="N334" s="5">
        <v>4.6399999999999997</v>
      </c>
      <c r="O334" s="23">
        <f t="shared" si="90"/>
        <v>4.64E-3</v>
      </c>
      <c r="P334" s="23">
        <f t="shared" si="91"/>
        <v>8.3519999999999997E-2</v>
      </c>
      <c r="Q334" s="7">
        <f t="shared" si="92"/>
        <v>8.352E-5</v>
      </c>
      <c r="R334" s="23">
        <f t="shared" si="93"/>
        <v>0.30067199999999999</v>
      </c>
      <c r="S334" s="5">
        <v>0.53</v>
      </c>
      <c r="T334" s="5">
        <v>0.2</v>
      </c>
      <c r="U334" s="3">
        <f t="shared" si="94"/>
        <v>2000</v>
      </c>
      <c r="V334" s="8">
        <v>-0.52</v>
      </c>
      <c r="W334" s="8">
        <v>-2.2799999999999998</v>
      </c>
      <c r="X334" s="5">
        <f t="shared" si="95"/>
        <v>1.7599999999999998</v>
      </c>
      <c r="Y334" s="23">
        <f t="shared" si="96"/>
        <v>0.17083636363636365</v>
      </c>
      <c r="Z334" s="23">
        <f t="shared" si="98"/>
        <v>341.67272727272729</v>
      </c>
      <c r="AA334" s="11">
        <f t="shared" si="99"/>
        <v>2.634127554750493</v>
      </c>
      <c r="AB334" s="11">
        <f t="shared" si="100"/>
        <v>5268.2551095009858</v>
      </c>
    </row>
    <row r="335" spans="1:28" ht="17.25" customHeight="1" x14ac:dyDescent="0.2">
      <c r="A335" t="s">
        <v>9</v>
      </c>
      <c r="B335" s="20">
        <v>666</v>
      </c>
      <c r="C335" s="20">
        <v>101</v>
      </c>
      <c r="D335" s="20">
        <v>1</v>
      </c>
      <c r="E335" t="s">
        <v>77</v>
      </c>
      <c r="F335" s="26">
        <v>45155</v>
      </c>
      <c r="G335" t="s">
        <v>76</v>
      </c>
      <c r="H335" s="5">
        <v>13.76</v>
      </c>
      <c r="I335" s="5">
        <v>46.63</v>
      </c>
      <c r="J335" s="5">
        <v>39.28</v>
      </c>
      <c r="K335" s="5">
        <v>5.67</v>
      </c>
      <c r="L335" s="5">
        <v>0.25</v>
      </c>
      <c r="M335" s="3">
        <f t="shared" si="97"/>
        <v>250</v>
      </c>
      <c r="N335" s="5">
        <v>13.28</v>
      </c>
      <c r="O335" s="23">
        <f t="shared" si="90"/>
        <v>1.328E-2</v>
      </c>
      <c r="P335" s="23">
        <f t="shared" si="91"/>
        <v>0.23904</v>
      </c>
      <c r="Q335" s="7">
        <f t="shared" si="92"/>
        <v>2.3904000000000002E-4</v>
      </c>
      <c r="R335" s="23">
        <f t="shared" si="93"/>
        <v>0.86054400000000009</v>
      </c>
      <c r="S335" s="5">
        <v>5.47</v>
      </c>
      <c r="T335" s="5">
        <v>1.21</v>
      </c>
      <c r="U335" s="3">
        <f t="shared" si="94"/>
        <v>12100</v>
      </c>
      <c r="V335" s="8">
        <v>-0.39</v>
      </c>
      <c r="W335" s="8">
        <v>-2.2400000000000002</v>
      </c>
      <c r="X335" s="5">
        <f t="shared" si="95"/>
        <v>1.85</v>
      </c>
      <c r="Y335" s="23">
        <f t="shared" si="96"/>
        <v>0.46515891891891892</v>
      </c>
      <c r="Z335" s="23">
        <f t="shared" si="98"/>
        <v>5628.4229189189191</v>
      </c>
      <c r="AA335" s="11">
        <f t="shared" si="99"/>
        <v>7.1722899011733832</v>
      </c>
      <c r="AB335" s="11">
        <f t="shared" si="100"/>
        <v>86784.70780419794</v>
      </c>
    </row>
    <row r="336" spans="1:28" ht="17.25" customHeight="1" x14ac:dyDescent="0.2">
      <c r="A336" t="s">
        <v>9</v>
      </c>
      <c r="B336" s="20">
        <v>666</v>
      </c>
      <c r="C336" s="20">
        <v>101</v>
      </c>
      <c r="D336" s="20">
        <v>2</v>
      </c>
      <c r="E336" t="s">
        <v>77</v>
      </c>
      <c r="F336" s="26">
        <v>45155</v>
      </c>
      <c r="G336" t="s">
        <v>76</v>
      </c>
      <c r="H336" s="3">
        <v>14</v>
      </c>
      <c r="I336" s="5">
        <v>47.32</v>
      </c>
      <c r="J336" s="5">
        <v>40.25</v>
      </c>
      <c r="K336" s="5">
        <v>5.97</v>
      </c>
      <c r="L336" s="5">
        <v>0.15</v>
      </c>
      <c r="M336" s="3">
        <f t="shared" si="97"/>
        <v>150</v>
      </c>
      <c r="N336" s="5">
        <v>8.4499999999999993</v>
      </c>
      <c r="O336" s="23">
        <f t="shared" si="90"/>
        <v>8.4499999999999992E-3</v>
      </c>
      <c r="P336" s="23">
        <f t="shared" si="91"/>
        <v>0.15209999999999999</v>
      </c>
      <c r="Q336" s="7">
        <f t="shared" si="92"/>
        <v>1.5209999999999998E-4</v>
      </c>
      <c r="R336" s="23">
        <f t="shared" si="93"/>
        <v>0.54755999999999994</v>
      </c>
      <c r="S336" s="5">
        <v>6.42</v>
      </c>
      <c r="T336" s="5">
        <v>1.41</v>
      </c>
      <c r="U336" s="3">
        <f t="shared" si="94"/>
        <v>14100</v>
      </c>
      <c r="V336" s="8">
        <v>-0.99</v>
      </c>
      <c r="W336" s="8">
        <v>-1.8</v>
      </c>
      <c r="X336" s="5">
        <f t="shared" si="95"/>
        <v>0.81</v>
      </c>
      <c r="Y336" s="23">
        <f t="shared" si="96"/>
        <v>0.67599999999999982</v>
      </c>
      <c r="Z336" s="23">
        <f t="shared" si="98"/>
        <v>9531.5999999999967</v>
      </c>
      <c r="AA336" s="11">
        <f t="shared" si="99"/>
        <v>10.42325058382538</v>
      </c>
      <c r="AB336" s="11">
        <f t="shared" si="100"/>
        <v>146967.83323193787</v>
      </c>
    </row>
    <row r="337" spans="1:28" ht="17.25" customHeight="1" x14ac:dyDescent="0.2">
      <c r="A337" t="s">
        <v>9</v>
      </c>
      <c r="B337" s="20">
        <v>666</v>
      </c>
      <c r="C337" s="20">
        <v>101</v>
      </c>
      <c r="D337" s="20">
        <v>3</v>
      </c>
      <c r="E337" t="s">
        <v>77</v>
      </c>
      <c r="F337" s="26">
        <v>45155</v>
      </c>
      <c r="G337" t="s">
        <v>76</v>
      </c>
      <c r="H337" s="5">
        <v>14.08</v>
      </c>
      <c r="I337" s="5">
        <v>46.75</v>
      </c>
      <c r="J337" s="5">
        <v>40.950000000000003</v>
      </c>
      <c r="K337" s="5">
        <v>6.3</v>
      </c>
      <c r="L337" s="5">
        <v>0.17</v>
      </c>
      <c r="M337" s="3">
        <f t="shared" si="97"/>
        <v>170</v>
      </c>
      <c r="N337" s="5">
        <v>9.66</v>
      </c>
      <c r="O337" s="23">
        <f t="shared" si="90"/>
        <v>9.6600000000000002E-3</v>
      </c>
      <c r="P337" s="23">
        <f t="shared" si="91"/>
        <v>0.17388000000000001</v>
      </c>
      <c r="Q337" s="7">
        <f t="shared" si="92"/>
        <v>1.7388000000000001E-4</v>
      </c>
      <c r="R337" s="23">
        <f t="shared" si="93"/>
        <v>0.62596800000000008</v>
      </c>
      <c r="S337" s="5">
        <v>5.07</v>
      </c>
      <c r="T337" s="5">
        <v>1.03</v>
      </c>
      <c r="U337" s="3">
        <f t="shared" si="94"/>
        <v>10300</v>
      </c>
      <c r="V337" s="8">
        <v>-0.73</v>
      </c>
      <c r="W337" s="8">
        <v>-2.48</v>
      </c>
      <c r="X337" s="5">
        <f t="shared" si="95"/>
        <v>1.75</v>
      </c>
      <c r="Y337" s="23">
        <f t="shared" si="96"/>
        <v>0.35769600000000007</v>
      </c>
      <c r="Z337" s="23">
        <f t="shared" si="98"/>
        <v>3684.2688000000007</v>
      </c>
      <c r="AA337" s="11">
        <f t="shared" si="99"/>
        <v>5.5153181077396525</v>
      </c>
      <c r="AB337" s="11">
        <f t="shared" si="100"/>
        <v>56807.776509718424</v>
      </c>
    </row>
    <row r="338" spans="1:28" ht="17.25" customHeight="1" x14ac:dyDescent="0.2">
      <c r="A338" t="s">
        <v>9</v>
      </c>
      <c r="B338" s="20">
        <v>666</v>
      </c>
      <c r="C338" s="20">
        <v>105</v>
      </c>
      <c r="D338" s="20">
        <v>7</v>
      </c>
      <c r="E338" t="s">
        <v>77</v>
      </c>
      <c r="F338" s="26">
        <v>45155</v>
      </c>
      <c r="G338" t="s">
        <v>76</v>
      </c>
      <c r="H338" s="5">
        <v>14.6</v>
      </c>
      <c r="I338" s="5">
        <v>46.68</v>
      </c>
      <c r="J338" s="5">
        <v>40.89</v>
      </c>
      <c r="K338" s="5">
        <v>6.22</v>
      </c>
      <c r="L338" s="5">
        <v>0.14000000000000001</v>
      </c>
      <c r="M338" s="3">
        <f t="shared" si="97"/>
        <v>140</v>
      </c>
      <c r="N338" s="5">
        <v>8.2200000000000006</v>
      </c>
      <c r="O338" s="23">
        <f t="shared" si="90"/>
        <v>8.2199999999999999E-3</v>
      </c>
      <c r="P338" s="23">
        <f t="shared" si="91"/>
        <v>0.14796000000000001</v>
      </c>
      <c r="Q338" s="7">
        <f t="shared" si="92"/>
        <v>1.4796000000000001E-4</v>
      </c>
      <c r="R338" s="23">
        <f t="shared" si="93"/>
        <v>0.53265600000000002</v>
      </c>
      <c r="S338" s="5">
        <v>3.34</v>
      </c>
      <c r="T338" s="5">
        <v>0.91</v>
      </c>
      <c r="U338" s="3">
        <f t="shared" si="94"/>
        <v>9100</v>
      </c>
      <c r="V338" s="8">
        <v>-0.59</v>
      </c>
      <c r="W338" s="8">
        <v>-1.85</v>
      </c>
      <c r="X338" s="5">
        <f t="shared" si="95"/>
        <v>1.2600000000000002</v>
      </c>
      <c r="Y338" s="23">
        <f t="shared" si="96"/>
        <v>0.42274285714285709</v>
      </c>
      <c r="Z338" s="23">
        <f t="shared" si="98"/>
        <v>3846.9599999999996</v>
      </c>
      <c r="AA338" s="11">
        <f t="shared" si="99"/>
        <v>6.5182762315418588</v>
      </c>
      <c r="AB338" s="11">
        <f t="shared" si="100"/>
        <v>59316.313707030917</v>
      </c>
    </row>
    <row r="339" spans="1:28" ht="17.25" customHeight="1" x14ac:dyDescent="0.2">
      <c r="A339" t="s">
        <v>9</v>
      </c>
      <c r="B339" s="20">
        <v>666</v>
      </c>
      <c r="C339" s="20">
        <v>105</v>
      </c>
      <c r="D339" s="20">
        <v>8</v>
      </c>
      <c r="E339" t="s">
        <v>77</v>
      </c>
      <c r="F339" s="26">
        <v>45155</v>
      </c>
      <c r="G339" t="s">
        <v>76</v>
      </c>
      <c r="H339" s="5">
        <v>14.35</v>
      </c>
      <c r="I339" s="5">
        <v>46.75</v>
      </c>
      <c r="J339" s="5">
        <v>42.36</v>
      </c>
      <c r="K339" s="5">
        <v>6.86</v>
      </c>
      <c r="L339" s="5">
        <v>0.14000000000000001</v>
      </c>
      <c r="M339" s="3">
        <f t="shared" si="97"/>
        <v>140</v>
      </c>
      <c r="N339" s="3">
        <v>9</v>
      </c>
      <c r="O339" s="23">
        <f t="shared" si="90"/>
        <v>8.9999999999999993E-3</v>
      </c>
      <c r="P339" s="23">
        <f t="shared" si="91"/>
        <v>0.16199999999999998</v>
      </c>
      <c r="Q339" s="7">
        <f t="shared" si="92"/>
        <v>1.6199999999999998E-4</v>
      </c>
      <c r="R339" s="23">
        <f t="shared" si="93"/>
        <v>0.58319999999999994</v>
      </c>
      <c r="S339" s="5">
        <v>2.64</v>
      </c>
      <c r="T339" s="5">
        <v>0.69</v>
      </c>
      <c r="U339" s="5">
        <f t="shared" si="94"/>
        <v>6899.9999999999991</v>
      </c>
      <c r="V339" s="8">
        <v>-0.52</v>
      </c>
      <c r="W339" s="8">
        <v>-1.77</v>
      </c>
      <c r="X339" s="5">
        <f t="shared" si="95"/>
        <v>1.25</v>
      </c>
      <c r="Y339" s="23">
        <f t="shared" si="96"/>
        <v>0.46655999999999997</v>
      </c>
      <c r="Z339" s="23">
        <f t="shared" si="98"/>
        <v>3219.2639999999992</v>
      </c>
      <c r="AA339" s="11">
        <f t="shared" si="99"/>
        <v>7.1938931840082416</v>
      </c>
      <c r="AB339" s="11">
        <f t="shared" si="100"/>
        <v>49637.862969656861</v>
      </c>
    </row>
    <row r="340" spans="1:28" ht="17.25" customHeight="1" x14ac:dyDescent="0.2">
      <c r="A340" t="s">
        <v>9</v>
      </c>
      <c r="B340" s="20">
        <v>666</v>
      </c>
      <c r="C340" s="20">
        <v>105</v>
      </c>
      <c r="D340" s="20">
        <v>9</v>
      </c>
      <c r="E340" t="s">
        <v>77</v>
      </c>
      <c r="F340" s="26">
        <v>45154</v>
      </c>
      <c r="G340" t="s">
        <v>76</v>
      </c>
      <c r="H340" s="5">
        <v>17.420000000000002</v>
      </c>
      <c r="I340" s="5">
        <v>45.92</v>
      </c>
      <c r="J340" s="5">
        <v>40.96</v>
      </c>
      <c r="K340" s="5">
        <v>6.02</v>
      </c>
      <c r="L340" s="5">
        <v>0.17</v>
      </c>
      <c r="M340" s="3">
        <f t="shared" si="97"/>
        <v>170</v>
      </c>
      <c r="N340" s="5">
        <v>9.41</v>
      </c>
      <c r="O340" s="23">
        <f t="shared" si="90"/>
        <v>9.41E-3</v>
      </c>
      <c r="P340" s="23">
        <f t="shared" si="91"/>
        <v>0.16938</v>
      </c>
      <c r="Q340" s="7">
        <f t="shared" si="92"/>
        <v>1.6938000000000001E-4</v>
      </c>
      <c r="R340" s="23">
        <f t="shared" si="93"/>
        <v>0.60976799999999998</v>
      </c>
      <c r="S340" s="5">
        <v>5.01</v>
      </c>
      <c r="T340" s="5">
        <v>1.0900000000000001</v>
      </c>
      <c r="U340" s="3">
        <f t="shared" si="94"/>
        <v>10900</v>
      </c>
      <c r="V340" s="8">
        <v>-0.51</v>
      </c>
      <c r="W340" s="8">
        <v>-1.81</v>
      </c>
      <c r="X340" s="5">
        <f t="shared" si="95"/>
        <v>1.3</v>
      </c>
      <c r="Y340" s="23">
        <f t="shared" si="96"/>
        <v>0.46905230769230766</v>
      </c>
      <c r="Z340" s="23">
        <f t="shared" si="98"/>
        <v>5112.6701538461539</v>
      </c>
      <c r="AA340" s="11">
        <f t="shared" si="99"/>
        <v>7.2323221005894816</v>
      </c>
      <c r="AB340" s="11">
        <f t="shared" si="100"/>
        <v>78832.310896425348</v>
      </c>
    </row>
    <row r="341" spans="1:28" ht="17.25" customHeight="1" x14ac:dyDescent="0.2">
      <c r="A341" t="s">
        <v>9</v>
      </c>
      <c r="B341" s="20">
        <v>666</v>
      </c>
      <c r="C341" s="20">
        <v>118</v>
      </c>
      <c r="D341" s="20">
        <v>10</v>
      </c>
      <c r="E341" t="s">
        <v>77</v>
      </c>
      <c r="F341" s="26">
        <v>45154</v>
      </c>
      <c r="G341" t="s">
        <v>76</v>
      </c>
      <c r="H341" s="5">
        <v>16.98</v>
      </c>
      <c r="I341" s="5">
        <v>46.28</v>
      </c>
      <c r="J341" s="5">
        <v>41.31</v>
      </c>
      <c r="K341" s="5">
        <v>6.18</v>
      </c>
      <c r="L341" s="5">
        <v>0.14000000000000001</v>
      </c>
      <c r="M341" s="3">
        <f t="shared" si="97"/>
        <v>140</v>
      </c>
      <c r="N341" s="5">
        <v>7.74</v>
      </c>
      <c r="O341" s="23">
        <f t="shared" ref="O341:O364" si="101">N341/1000</f>
        <v>7.7400000000000004E-3</v>
      </c>
      <c r="P341" s="23">
        <f t="shared" ref="P341:P364" si="102">O341*18</f>
        <v>0.13932</v>
      </c>
      <c r="Q341" s="7">
        <f t="shared" ref="Q341:Q364" si="103">P341/1000</f>
        <v>1.3931999999999999E-4</v>
      </c>
      <c r="R341" s="23">
        <f t="shared" ref="R341:R364" si="104">Q341*3600</f>
        <v>0.501552</v>
      </c>
      <c r="S341" s="5">
        <v>3.56</v>
      </c>
      <c r="T341" s="5">
        <v>1</v>
      </c>
      <c r="U341" s="3">
        <f t="shared" ref="U341:U364" si="105">T341*10000</f>
        <v>10000</v>
      </c>
      <c r="V341" s="8">
        <v>-0.42</v>
      </c>
      <c r="W341" s="8">
        <v>-1.82</v>
      </c>
      <c r="X341" s="5">
        <f t="shared" ref="X341:X364" si="106">V341-W341</f>
        <v>1.4000000000000001</v>
      </c>
      <c r="Y341" s="23">
        <f t="shared" ref="Y341:Y364" si="107">R341/X341</f>
        <v>0.35825142857142855</v>
      </c>
      <c r="Z341" s="23">
        <f t="shared" si="98"/>
        <v>3582.5142857142855</v>
      </c>
      <c r="AA341" s="11">
        <f t="shared" si="99"/>
        <v>5.523882266292043</v>
      </c>
      <c r="AB341" s="11">
        <f t="shared" si="100"/>
        <v>55238.822662920429</v>
      </c>
    </row>
    <row r="342" spans="1:28" ht="17.25" customHeight="1" x14ac:dyDescent="0.2">
      <c r="A342" t="s">
        <v>9</v>
      </c>
      <c r="B342" s="20">
        <v>666</v>
      </c>
      <c r="C342" s="20">
        <v>118</v>
      </c>
      <c r="D342" s="20">
        <v>11</v>
      </c>
      <c r="E342" t="s">
        <v>77</v>
      </c>
      <c r="F342" s="26">
        <v>45154</v>
      </c>
      <c r="G342" t="s">
        <v>76</v>
      </c>
      <c r="H342" s="5">
        <v>17.7</v>
      </c>
      <c r="I342" s="5">
        <v>45.34</v>
      </c>
      <c r="J342" s="5">
        <v>41.26</v>
      </c>
      <c r="K342" s="5">
        <v>6.16</v>
      </c>
      <c r="L342" s="5">
        <v>0.13</v>
      </c>
      <c r="M342" s="3">
        <f t="shared" si="97"/>
        <v>130</v>
      </c>
      <c r="N342" s="5">
        <v>7.75</v>
      </c>
      <c r="O342" s="23">
        <f t="shared" si="101"/>
        <v>7.7499999999999999E-3</v>
      </c>
      <c r="P342" s="23">
        <f t="shared" si="102"/>
        <v>0.13950000000000001</v>
      </c>
      <c r="Q342" s="7">
        <f t="shared" si="103"/>
        <v>1.395E-4</v>
      </c>
      <c r="R342" s="23">
        <f t="shared" si="104"/>
        <v>0.50219999999999998</v>
      </c>
      <c r="S342" s="5">
        <v>3.32</v>
      </c>
      <c r="T342" s="5">
        <v>0.91</v>
      </c>
      <c r="U342" s="3">
        <f t="shared" si="105"/>
        <v>9100</v>
      </c>
      <c r="V342" s="8">
        <v>-0.39</v>
      </c>
      <c r="W342" s="8">
        <v>-1.94</v>
      </c>
      <c r="X342" s="5">
        <f t="shared" si="106"/>
        <v>1.5499999999999998</v>
      </c>
      <c r="Y342" s="23">
        <f t="shared" si="107"/>
        <v>0.32400000000000001</v>
      </c>
      <c r="Z342" s="23">
        <f t="shared" si="98"/>
        <v>2948.4</v>
      </c>
      <c r="AA342" s="11">
        <f t="shared" si="99"/>
        <v>4.995759155561279</v>
      </c>
      <c r="AB342" s="11">
        <f t="shared" si="100"/>
        <v>45461.408315607638</v>
      </c>
    </row>
    <row r="343" spans="1:28" ht="17.25" customHeight="1" x14ac:dyDescent="0.2">
      <c r="A343" t="s">
        <v>9</v>
      </c>
      <c r="B343" s="20">
        <v>666</v>
      </c>
      <c r="C343" s="20">
        <v>118</v>
      </c>
      <c r="D343" s="20">
        <v>12</v>
      </c>
      <c r="E343" t="s">
        <v>77</v>
      </c>
      <c r="F343" s="26">
        <v>45155</v>
      </c>
      <c r="G343" t="s">
        <v>76</v>
      </c>
      <c r="H343" s="5">
        <v>15.4</v>
      </c>
      <c r="I343" s="5">
        <v>46.71</v>
      </c>
      <c r="J343" s="5">
        <v>42.36</v>
      </c>
      <c r="K343" s="5">
        <v>6.75</v>
      </c>
      <c r="L343" s="5">
        <v>0.08</v>
      </c>
      <c r="M343" s="3">
        <f t="shared" si="97"/>
        <v>80</v>
      </c>
      <c r="N343" s="5">
        <v>5.1100000000000003</v>
      </c>
      <c r="O343" s="23">
        <f t="shared" si="101"/>
        <v>5.11E-3</v>
      </c>
      <c r="P343" s="23">
        <f t="shared" si="102"/>
        <v>9.1980000000000006E-2</v>
      </c>
      <c r="Q343" s="7">
        <f t="shared" si="103"/>
        <v>9.198000000000001E-5</v>
      </c>
      <c r="R343" s="23">
        <f t="shared" si="104"/>
        <v>0.33112800000000003</v>
      </c>
      <c r="S343" s="5">
        <v>1.61</v>
      </c>
      <c r="T343" s="5">
        <v>0.5</v>
      </c>
      <c r="U343" s="3">
        <f t="shared" si="105"/>
        <v>5000</v>
      </c>
      <c r="V343" s="8">
        <v>-0.35</v>
      </c>
      <c r="W343" s="8">
        <v>-1.97</v>
      </c>
      <c r="X343" s="5">
        <f t="shared" si="106"/>
        <v>1.62</v>
      </c>
      <c r="Y343" s="23">
        <f t="shared" si="107"/>
        <v>0.2044</v>
      </c>
      <c r="Z343" s="23">
        <f t="shared" si="98"/>
        <v>1022</v>
      </c>
      <c r="AA343" s="11">
        <f t="shared" si="99"/>
        <v>3.1516455907306336</v>
      </c>
      <c r="AB343" s="11">
        <f t="shared" si="100"/>
        <v>15758.227953653168</v>
      </c>
    </row>
    <row r="344" spans="1:28" ht="17.25" customHeight="1" x14ac:dyDescent="0.2">
      <c r="A344" t="s">
        <v>9</v>
      </c>
      <c r="B344" s="20">
        <v>666</v>
      </c>
      <c r="C344" s="20">
        <v>122</v>
      </c>
      <c r="D344" s="20">
        <v>16</v>
      </c>
      <c r="E344" t="s">
        <v>77</v>
      </c>
      <c r="F344" s="26">
        <v>45154</v>
      </c>
      <c r="G344" t="s">
        <v>76</v>
      </c>
      <c r="H344" s="5">
        <v>16.350000000000001</v>
      </c>
      <c r="I344" s="5">
        <v>46.28</v>
      </c>
      <c r="J344" s="5">
        <v>40.94</v>
      </c>
      <c r="K344" s="5">
        <v>6.08</v>
      </c>
      <c r="L344" s="5">
        <v>0.14000000000000001</v>
      </c>
      <c r="M344" s="3">
        <f t="shared" si="97"/>
        <v>140</v>
      </c>
      <c r="N344" s="5">
        <v>8.16</v>
      </c>
      <c r="O344" s="23">
        <f t="shared" si="101"/>
        <v>8.1600000000000006E-3</v>
      </c>
      <c r="P344" s="23">
        <f t="shared" si="102"/>
        <v>0.14688000000000001</v>
      </c>
      <c r="Q344" s="7">
        <f t="shared" si="103"/>
        <v>1.4688E-4</v>
      </c>
      <c r="R344" s="23">
        <f t="shared" si="104"/>
        <v>0.52876800000000002</v>
      </c>
      <c r="S344" s="5">
        <v>7.05</v>
      </c>
      <c r="T344" s="5">
        <v>2.21</v>
      </c>
      <c r="U344" s="3">
        <f t="shared" si="105"/>
        <v>22100</v>
      </c>
      <c r="V344" s="8">
        <v>-0.42</v>
      </c>
      <c r="W344" s="8">
        <v>-1.35</v>
      </c>
      <c r="X344" s="5">
        <f t="shared" si="106"/>
        <v>0.93000000000000016</v>
      </c>
      <c r="Y344" s="23">
        <f t="shared" si="107"/>
        <v>0.56856774193548376</v>
      </c>
      <c r="Z344" s="23">
        <f t="shared" si="98"/>
        <v>12565.347096774191</v>
      </c>
      <c r="AA344" s="11">
        <f t="shared" si="99"/>
        <v>8.7667515504043063</v>
      </c>
      <c r="AB344" s="11">
        <f t="shared" si="100"/>
        <v>193745.20926393516</v>
      </c>
    </row>
    <row r="345" spans="1:28" ht="17.25" customHeight="1" x14ac:dyDescent="0.2">
      <c r="A345" t="s">
        <v>9</v>
      </c>
      <c r="B345" s="20">
        <v>666</v>
      </c>
      <c r="C345" s="20">
        <v>122</v>
      </c>
      <c r="D345" s="20">
        <v>17</v>
      </c>
      <c r="E345" t="s">
        <v>77</v>
      </c>
      <c r="F345" s="26">
        <v>45154</v>
      </c>
      <c r="G345" t="s">
        <v>76</v>
      </c>
      <c r="H345" s="5">
        <v>16.260000000000002</v>
      </c>
      <c r="I345" s="5">
        <v>46.16</v>
      </c>
      <c r="J345" s="5">
        <v>42.47</v>
      </c>
      <c r="K345" s="5">
        <v>6.76</v>
      </c>
      <c r="L345" s="5">
        <v>0.09</v>
      </c>
      <c r="M345" s="3">
        <f t="shared" si="97"/>
        <v>90</v>
      </c>
      <c r="N345" s="5">
        <v>5.62</v>
      </c>
      <c r="O345" s="23">
        <f t="shared" si="101"/>
        <v>5.62E-3</v>
      </c>
      <c r="P345" s="23">
        <f t="shared" si="102"/>
        <v>0.10116</v>
      </c>
      <c r="Q345" s="7">
        <f t="shared" si="103"/>
        <v>1.0116E-4</v>
      </c>
      <c r="R345" s="23">
        <f t="shared" si="104"/>
        <v>0.364176</v>
      </c>
      <c r="S345" s="5">
        <v>4.82</v>
      </c>
      <c r="T345" s="5">
        <v>1.19</v>
      </c>
      <c r="U345" s="3">
        <f t="shared" si="105"/>
        <v>11900</v>
      </c>
      <c r="V345" s="8">
        <v>-0.66</v>
      </c>
      <c r="W345" s="8">
        <v>-1.39</v>
      </c>
      <c r="X345" s="5">
        <f t="shared" si="106"/>
        <v>0.72999999999999987</v>
      </c>
      <c r="Y345" s="23">
        <f t="shared" si="107"/>
        <v>0.49887123287671242</v>
      </c>
      <c r="Z345" s="23">
        <f t="shared" si="98"/>
        <v>5936.5676712328777</v>
      </c>
      <c r="AA345" s="11">
        <f t="shared" si="99"/>
        <v>7.6921003984258611</v>
      </c>
      <c r="AB345" s="11">
        <f t="shared" si="100"/>
        <v>91535.994741267743</v>
      </c>
    </row>
    <row r="346" spans="1:28" ht="17.25" customHeight="1" x14ac:dyDescent="0.2">
      <c r="A346" t="s">
        <v>9</v>
      </c>
      <c r="B346" s="20">
        <v>666</v>
      </c>
      <c r="C346" s="20">
        <v>122</v>
      </c>
      <c r="D346" s="20">
        <v>18</v>
      </c>
      <c r="E346" t="s">
        <v>77</v>
      </c>
      <c r="F346" s="26">
        <v>45155</v>
      </c>
      <c r="G346" t="s">
        <v>76</v>
      </c>
      <c r="H346" s="5">
        <v>14.05</v>
      </c>
      <c r="I346" s="5">
        <v>47.36</v>
      </c>
      <c r="J346" s="5">
        <v>43.01</v>
      </c>
      <c r="K346" s="5">
        <v>7.13</v>
      </c>
      <c r="L346" s="5">
        <v>7.0000000000000007E-2</v>
      </c>
      <c r="M346" s="3">
        <f t="shared" si="97"/>
        <v>70</v>
      </c>
      <c r="N346" s="5">
        <v>4.59</v>
      </c>
      <c r="O346" s="23">
        <f t="shared" si="101"/>
        <v>4.5899999999999995E-3</v>
      </c>
      <c r="P346" s="23">
        <f t="shared" si="102"/>
        <v>8.2619999999999985E-2</v>
      </c>
      <c r="Q346" s="7">
        <f t="shared" si="103"/>
        <v>8.2619999999999992E-5</v>
      </c>
      <c r="R346" s="23">
        <f t="shared" si="104"/>
        <v>0.29743199999999997</v>
      </c>
      <c r="S346" s="5">
        <v>7.37</v>
      </c>
      <c r="T346" s="5">
        <v>1.96</v>
      </c>
      <c r="U346" s="3">
        <f t="shared" si="105"/>
        <v>19600</v>
      </c>
      <c r="V346" s="8">
        <v>-0.75</v>
      </c>
      <c r="W346" s="8">
        <v>-1.96</v>
      </c>
      <c r="X346" s="5">
        <f t="shared" si="106"/>
        <v>1.21</v>
      </c>
      <c r="Y346" s="23">
        <f t="shared" si="107"/>
        <v>0.24581157024793387</v>
      </c>
      <c r="Z346" s="23">
        <f t="shared" si="98"/>
        <v>4817.9067768595041</v>
      </c>
      <c r="AA346" s="11">
        <f t="shared" si="99"/>
        <v>3.7901709957068217</v>
      </c>
      <c r="AB346" s="11">
        <f t="shared" si="100"/>
        <v>74287.351515853705</v>
      </c>
    </row>
    <row r="347" spans="1:28" ht="17.25" customHeight="1" x14ac:dyDescent="0.2">
      <c r="A347" t="s">
        <v>9</v>
      </c>
      <c r="B347" s="20">
        <v>666</v>
      </c>
      <c r="C347" s="20">
        <v>123</v>
      </c>
      <c r="D347" s="20">
        <v>19</v>
      </c>
      <c r="E347" t="s">
        <v>77</v>
      </c>
      <c r="F347" s="26">
        <v>45155</v>
      </c>
      <c r="G347" t="s">
        <v>76</v>
      </c>
      <c r="H347" s="5">
        <v>17.63</v>
      </c>
      <c r="I347" s="5">
        <v>44.8</v>
      </c>
      <c r="J347" s="5">
        <v>39.229999999999997</v>
      </c>
      <c r="K347" s="5">
        <v>5.41</v>
      </c>
      <c r="L347" s="5">
        <v>0.28000000000000003</v>
      </c>
      <c r="M347" s="3">
        <f t="shared" si="97"/>
        <v>280</v>
      </c>
      <c r="N347" s="5">
        <v>14.32</v>
      </c>
      <c r="O347" s="23">
        <f t="shared" si="101"/>
        <v>1.4320000000000001E-2</v>
      </c>
      <c r="P347" s="23">
        <f t="shared" si="102"/>
        <v>0.25776000000000004</v>
      </c>
      <c r="Q347" s="7">
        <f t="shared" si="103"/>
        <v>2.5776000000000005E-4</v>
      </c>
      <c r="R347" s="23">
        <f t="shared" si="104"/>
        <v>0.92793600000000021</v>
      </c>
      <c r="S347" s="5">
        <v>6.06</v>
      </c>
      <c r="T347" s="5">
        <v>1.55</v>
      </c>
      <c r="U347" s="3">
        <f t="shared" si="105"/>
        <v>15500</v>
      </c>
      <c r="V347" s="8">
        <v>-0.55000000000000004</v>
      </c>
      <c r="W347" s="8">
        <v>-1.89</v>
      </c>
      <c r="X347" s="5">
        <f t="shared" si="106"/>
        <v>1.3399999999999999</v>
      </c>
      <c r="Y347" s="23">
        <f t="shared" si="107"/>
        <v>0.69248955223880615</v>
      </c>
      <c r="Z347" s="23">
        <f t="shared" si="98"/>
        <v>10733.588059701495</v>
      </c>
      <c r="AA347" s="11">
        <f t="shared" si="99"/>
        <v>10.677503150393662</v>
      </c>
      <c r="AB347" s="11">
        <f t="shared" si="100"/>
        <v>165501.29883110177</v>
      </c>
    </row>
    <row r="348" spans="1:28" ht="17.25" customHeight="1" x14ac:dyDescent="0.2">
      <c r="A348" t="s">
        <v>9</v>
      </c>
      <c r="B348" s="20">
        <v>666</v>
      </c>
      <c r="C348" s="20">
        <v>123</v>
      </c>
      <c r="D348" s="20">
        <v>20</v>
      </c>
      <c r="E348" t="s">
        <v>77</v>
      </c>
      <c r="F348" s="26">
        <v>45155</v>
      </c>
      <c r="G348" t="s">
        <v>76</v>
      </c>
      <c r="H348" s="5">
        <v>16.760000000000002</v>
      </c>
      <c r="I348" s="5">
        <v>45.39</v>
      </c>
      <c r="J348" s="5">
        <v>38.61</v>
      </c>
      <c r="K348" s="5">
        <v>5.21</v>
      </c>
      <c r="L348" s="5">
        <v>0.25</v>
      </c>
      <c r="M348" s="3">
        <f t="shared" si="97"/>
        <v>250</v>
      </c>
      <c r="N348" s="5">
        <v>12.38</v>
      </c>
      <c r="O348" s="23">
        <f t="shared" si="101"/>
        <v>1.238E-2</v>
      </c>
      <c r="P348" s="23">
        <f t="shared" si="102"/>
        <v>0.22284000000000001</v>
      </c>
      <c r="Q348" s="7">
        <f t="shared" si="103"/>
        <v>2.2284E-4</v>
      </c>
      <c r="R348" s="23">
        <f t="shared" si="104"/>
        <v>0.80222400000000005</v>
      </c>
      <c r="S348" s="5">
        <v>5.82</v>
      </c>
      <c r="T348" s="5">
        <v>2.02</v>
      </c>
      <c r="U348" s="3">
        <f t="shared" si="105"/>
        <v>20200</v>
      </c>
      <c r="V348" s="8">
        <v>-1.38</v>
      </c>
      <c r="W348" s="8">
        <v>-2.11</v>
      </c>
      <c r="X348" s="5">
        <f t="shared" si="106"/>
        <v>0.73</v>
      </c>
      <c r="Y348" s="23">
        <f t="shared" si="107"/>
        <v>1.09893698630137</v>
      </c>
      <c r="Z348" s="23">
        <f t="shared" si="98"/>
        <v>22198.527123287677</v>
      </c>
      <c r="AA348" s="11">
        <f t="shared" si="99"/>
        <v>16.944520094753056</v>
      </c>
      <c r="AB348" s="11">
        <f t="shared" si="100"/>
        <v>342279.30591401173</v>
      </c>
    </row>
    <row r="349" spans="1:28" ht="17.25" customHeight="1" x14ac:dyDescent="0.2">
      <c r="A349" t="s">
        <v>9</v>
      </c>
      <c r="B349" s="20">
        <v>666</v>
      </c>
      <c r="C349" s="20">
        <v>123</v>
      </c>
      <c r="D349" s="20">
        <v>22</v>
      </c>
      <c r="E349" t="s">
        <v>77</v>
      </c>
      <c r="F349" s="26">
        <v>45155</v>
      </c>
      <c r="G349" t="s">
        <v>76</v>
      </c>
      <c r="H349" s="5">
        <v>14.23</v>
      </c>
      <c r="I349" s="5">
        <v>46.87</v>
      </c>
      <c r="J349" s="5">
        <v>40.840000000000003</v>
      </c>
      <c r="K349" s="5">
        <v>6.22</v>
      </c>
      <c r="L349" s="5">
        <v>0.19</v>
      </c>
      <c r="M349" s="3">
        <f t="shared" si="97"/>
        <v>190</v>
      </c>
      <c r="N349" s="5">
        <v>11.02</v>
      </c>
      <c r="O349" s="23">
        <f t="shared" si="101"/>
        <v>1.102E-2</v>
      </c>
      <c r="P349" s="23">
        <f t="shared" si="102"/>
        <v>0.19836000000000001</v>
      </c>
      <c r="Q349" s="7">
        <f t="shared" si="103"/>
        <v>1.9836000000000002E-4</v>
      </c>
      <c r="R349" s="23">
        <f t="shared" si="104"/>
        <v>0.71409600000000006</v>
      </c>
      <c r="S349" s="5">
        <v>4.78</v>
      </c>
      <c r="T349" s="5">
        <v>1.58</v>
      </c>
      <c r="U349" s="3">
        <f t="shared" si="105"/>
        <v>15800</v>
      </c>
      <c r="V349" s="8">
        <v>-0.69</v>
      </c>
      <c r="W349" s="8">
        <v>-2.1</v>
      </c>
      <c r="X349" s="5">
        <f t="shared" si="106"/>
        <v>1.4100000000000001</v>
      </c>
      <c r="Y349" s="23">
        <f t="shared" si="107"/>
        <v>0.50645106382978722</v>
      </c>
      <c r="Z349" s="23">
        <f t="shared" si="98"/>
        <v>8001.9268085106378</v>
      </c>
      <c r="AA349" s="11">
        <f t="shared" si="99"/>
        <v>7.8089738857142263</v>
      </c>
      <c r="AB349" s="11">
        <f t="shared" si="100"/>
        <v>123381.78739428478</v>
      </c>
    </row>
    <row r="350" spans="1:28" ht="17.25" customHeight="1" x14ac:dyDescent="0.2">
      <c r="A350" t="s">
        <v>10</v>
      </c>
      <c r="B350" s="20">
        <v>1212</v>
      </c>
      <c r="C350" s="20">
        <v>3</v>
      </c>
      <c r="D350" s="20">
        <v>29</v>
      </c>
      <c r="E350" t="s">
        <v>77</v>
      </c>
      <c r="F350" s="26">
        <v>45155</v>
      </c>
      <c r="G350" t="s">
        <v>76</v>
      </c>
      <c r="H350" s="5">
        <v>15.65</v>
      </c>
      <c r="I350" s="5">
        <v>46.58</v>
      </c>
      <c r="J350" s="5">
        <v>42.59</v>
      </c>
      <c r="K350" s="5">
        <v>6.84</v>
      </c>
      <c r="L350" s="5">
        <v>0.08</v>
      </c>
      <c r="M350" s="3">
        <f t="shared" si="97"/>
        <v>80</v>
      </c>
      <c r="N350" s="5">
        <v>5.35</v>
      </c>
      <c r="O350" s="23">
        <f t="shared" si="101"/>
        <v>5.3499999999999997E-3</v>
      </c>
      <c r="P350" s="23">
        <f t="shared" si="102"/>
        <v>9.6299999999999997E-2</v>
      </c>
      <c r="Q350" s="7">
        <f t="shared" si="103"/>
        <v>9.6299999999999996E-5</v>
      </c>
      <c r="R350" s="23">
        <f t="shared" si="104"/>
        <v>0.34667999999999999</v>
      </c>
      <c r="S350" s="5">
        <v>8.68</v>
      </c>
      <c r="T350" s="5">
        <v>2.3199999999999998</v>
      </c>
      <c r="U350" s="3">
        <f t="shared" si="105"/>
        <v>23200</v>
      </c>
      <c r="V350" s="8">
        <v>-0.56000000000000005</v>
      </c>
      <c r="W350" s="8">
        <v>-1.69</v>
      </c>
      <c r="X350" s="5">
        <f t="shared" si="106"/>
        <v>1.1299999999999999</v>
      </c>
      <c r="Y350" s="23">
        <f t="shared" si="107"/>
        <v>0.30679646017699119</v>
      </c>
      <c r="Z350" s="23">
        <f t="shared" si="98"/>
        <v>7117.677876106196</v>
      </c>
      <c r="AA350" s="11">
        <f t="shared" si="99"/>
        <v>4.7304976074783802</v>
      </c>
      <c r="AB350" s="11">
        <f t="shared" si="100"/>
        <v>109747.54449349843</v>
      </c>
    </row>
    <row r="351" spans="1:28" ht="17.25" customHeight="1" x14ac:dyDescent="0.2">
      <c r="A351" t="s">
        <v>10</v>
      </c>
      <c r="B351" s="20">
        <v>1212</v>
      </c>
      <c r="C351" s="20">
        <v>3</v>
      </c>
      <c r="D351" s="20">
        <v>30</v>
      </c>
      <c r="E351" t="s">
        <v>77</v>
      </c>
      <c r="F351" s="26">
        <v>45155</v>
      </c>
      <c r="G351" t="s">
        <v>76</v>
      </c>
      <c r="H351" s="5">
        <v>13.85</v>
      </c>
      <c r="I351" s="5">
        <v>46.56</v>
      </c>
      <c r="J351" s="5">
        <v>42.62</v>
      </c>
      <c r="K351" s="5">
        <v>7.03</v>
      </c>
      <c r="L351" s="5">
        <v>0.08</v>
      </c>
      <c r="M351" s="3">
        <f t="shared" si="97"/>
        <v>80</v>
      </c>
      <c r="N351" s="5">
        <v>5.52</v>
      </c>
      <c r="O351" s="23">
        <f t="shared" si="101"/>
        <v>5.5199999999999997E-3</v>
      </c>
      <c r="P351" s="23">
        <f t="shared" si="102"/>
        <v>9.935999999999999E-2</v>
      </c>
      <c r="Q351" s="7">
        <f t="shared" si="103"/>
        <v>9.9359999999999984E-5</v>
      </c>
      <c r="R351" s="23">
        <f t="shared" si="104"/>
        <v>0.35769599999999996</v>
      </c>
      <c r="S351" s="5">
        <v>7</v>
      </c>
      <c r="T351" s="5">
        <v>2.4300000000000002</v>
      </c>
      <c r="U351" s="3">
        <f t="shared" si="105"/>
        <v>24300</v>
      </c>
      <c r="V351" s="8">
        <v>-0.51</v>
      </c>
      <c r="W351" s="8">
        <v>-2.15</v>
      </c>
      <c r="X351" s="5">
        <f t="shared" si="106"/>
        <v>1.64</v>
      </c>
      <c r="Y351" s="23">
        <f t="shared" si="107"/>
        <v>0.21810731707317071</v>
      </c>
      <c r="Z351" s="23">
        <f t="shared" si="98"/>
        <v>5300.0078048780488</v>
      </c>
      <c r="AA351" s="11">
        <f t="shared" si="99"/>
        <v>3.3629988461827143</v>
      </c>
      <c r="AB351" s="11">
        <f t="shared" si="100"/>
        <v>81720.871962239951</v>
      </c>
    </row>
    <row r="352" spans="1:28" ht="17.25" customHeight="1" x14ac:dyDescent="0.2">
      <c r="A352" t="s">
        <v>10</v>
      </c>
      <c r="B352" s="20">
        <v>1212</v>
      </c>
      <c r="C352" s="20">
        <v>3</v>
      </c>
      <c r="D352" s="20">
        <v>31</v>
      </c>
      <c r="E352" t="s">
        <v>77</v>
      </c>
      <c r="F352" s="26">
        <v>45154</v>
      </c>
      <c r="G352" t="s">
        <v>76</v>
      </c>
      <c r="H352" s="5">
        <v>17.98</v>
      </c>
      <c r="I352" s="5">
        <v>45.59</v>
      </c>
      <c r="J352" s="5">
        <v>41.35</v>
      </c>
      <c r="K352" s="5">
        <v>6.15</v>
      </c>
      <c r="L352" s="5">
        <v>0.1</v>
      </c>
      <c r="M352" s="3">
        <f t="shared" si="97"/>
        <v>100</v>
      </c>
      <c r="N352" s="5">
        <v>6.07</v>
      </c>
      <c r="O352" s="23">
        <f t="shared" si="101"/>
        <v>6.0699999999999999E-3</v>
      </c>
      <c r="P352" s="23">
        <f t="shared" si="102"/>
        <v>0.10926</v>
      </c>
      <c r="Q352" s="7">
        <f t="shared" si="103"/>
        <v>1.0925999999999999E-4</v>
      </c>
      <c r="R352" s="23">
        <f t="shared" si="104"/>
        <v>0.39333599999999996</v>
      </c>
      <c r="S352" s="5">
        <v>6.14</v>
      </c>
      <c r="T352" s="5">
        <v>1.8</v>
      </c>
      <c r="U352" s="3">
        <f t="shared" si="105"/>
        <v>18000</v>
      </c>
      <c r="V352" s="8">
        <v>-0.52</v>
      </c>
      <c r="W352" s="8">
        <v>-1.94</v>
      </c>
      <c r="X352" s="5">
        <f t="shared" si="106"/>
        <v>1.42</v>
      </c>
      <c r="Y352" s="23">
        <f t="shared" si="107"/>
        <v>0.27699718309859156</v>
      </c>
      <c r="Z352" s="23">
        <f t="shared" si="98"/>
        <v>4985.9492957746479</v>
      </c>
      <c r="AA352" s="11">
        <f t="shared" si="99"/>
        <v>4.2710222639798543</v>
      </c>
      <c r="AB352" s="11">
        <f t="shared" si="100"/>
        <v>76878.400751637382</v>
      </c>
    </row>
    <row r="353" spans="1:28" ht="17.25" customHeight="1" x14ac:dyDescent="0.2">
      <c r="A353" t="s">
        <v>10</v>
      </c>
      <c r="B353" s="20">
        <v>1212</v>
      </c>
      <c r="C353" s="20">
        <v>4</v>
      </c>
      <c r="D353" s="20">
        <v>32</v>
      </c>
      <c r="E353" t="s">
        <v>77</v>
      </c>
      <c r="F353" s="26">
        <v>45155</v>
      </c>
      <c r="G353" t="s">
        <v>76</v>
      </c>
      <c r="H353" s="5">
        <v>15.49</v>
      </c>
      <c r="I353" s="5">
        <v>46.67</v>
      </c>
      <c r="J353" s="5">
        <v>43.55</v>
      </c>
      <c r="K353" s="5">
        <v>7.28</v>
      </c>
      <c r="L353" s="5">
        <v>7.0000000000000007E-2</v>
      </c>
      <c r="M353" s="3">
        <f t="shared" si="97"/>
        <v>70</v>
      </c>
      <c r="N353" s="5">
        <v>4.92</v>
      </c>
      <c r="O353" s="23">
        <f t="shared" si="101"/>
        <v>4.9199999999999999E-3</v>
      </c>
      <c r="P353" s="23">
        <f t="shared" si="102"/>
        <v>8.856E-2</v>
      </c>
      <c r="Q353" s="7">
        <f t="shared" si="103"/>
        <v>8.8560000000000006E-5</v>
      </c>
      <c r="R353" s="23">
        <f t="shared" si="104"/>
        <v>0.31881600000000004</v>
      </c>
      <c r="S353" s="5">
        <v>6.68</v>
      </c>
      <c r="T353" s="5">
        <v>1.44</v>
      </c>
      <c r="U353" s="3">
        <f t="shared" si="105"/>
        <v>14400</v>
      </c>
      <c r="V353" s="8">
        <v>-0.49</v>
      </c>
      <c r="W353" s="8">
        <v>-1.91</v>
      </c>
      <c r="X353" s="5">
        <f t="shared" si="106"/>
        <v>1.42</v>
      </c>
      <c r="Y353" s="23">
        <f t="shared" si="107"/>
        <v>0.22451830985915497</v>
      </c>
      <c r="Z353" s="23">
        <f t="shared" si="98"/>
        <v>3233.0636619718316</v>
      </c>
      <c r="AA353" s="11">
        <f t="shared" si="99"/>
        <v>3.4618500063889437</v>
      </c>
      <c r="AB353" s="11">
        <f t="shared" si="100"/>
        <v>49850.640092000787</v>
      </c>
    </row>
    <row r="354" spans="1:28" ht="17.25" customHeight="1" x14ac:dyDescent="0.2">
      <c r="A354" t="s">
        <v>10</v>
      </c>
      <c r="B354" s="20">
        <v>1212</v>
      </c>
      <c r="C354" s="20">
        <v>4</v>
      </c>
      <c r="D354" s="20">
        <v>33</v>
      </c>
      <c r="E354" t="s">
        <v>77</v>
      </c>
      <c r="F354" s="26">
        <v>45154</v>
      </c>
      <c r="G354" t="s">
        <v>76</v>
      </c>
      <c r="H354" s="5">
        <v>16.850000000000001</v>
      </c>
      <c r="I354" s="5">
        <v>46.13</v>
      </c>
      <c r="J354" s="5">
        <v>41.77</v>
      </c>
      <c r="K354" s="5">
        <v>6.39</v>
      </c>
      <c r="L354" s="5">
        <v>0.13</v>
      </c>
      <c r="M354" s="3">
        <f t="shared" si="97"/>
        <v>130</v>
      </c>
      <c r="N354" s="5">
        <v>7.69</v>
      </c>
      <c r="O354" s="23">
        <f t="shared" si="101"/>
        <v>7.6900000000000007E-3</v>
      </c>
      <c r="P354" s="23">
        <f t="shared" si="102"/>
        <v>0.13842000000000002</v>
      </c>
      <c r="Q354" s="7">
        <f t="shared" si="103"/>
        <v>1.3842000000000002E-4</v>
      </c>
      <c r="R354" s="23">
        <f t="shared" si="104"/>
        <v>0.49831200000000009</v>
      </c>
      <c r="S354" s="5">
        <v>14.08</v>
      </c>
      <c r="T354" s="5">
        <v>4.13</v>
      </c>
      <c r="U354" s="3">
        <f t="shared" si="105"/>
        <v>41300</v>
      </c>
      <c r="V354" s="8">
        <v>-0.59</v>
      </c>
      <c r="W354" s="8">
        <v>-1.76</v>
      </c>
      <c r="X354" s="5">
        <f t="shared" si="106"/>
        <v>1.17</v>
      </c>
      <c r="Y354" s="23">
        <f t="shared" si="107"/>
        <v>0.42590769230769243</v>
      </c>
      <c r="Z354" s="23">
        <f t="shared" si="98"/>
        <v>17589.987692307699</v>
      </c>
      <c r="AA354" s="11">
        <f t="shared" si="99"/>
        <v>6.5670748557720078</v>
      </c>
      <c r="AB354" s="11">
        <f t="shared" si="100"/>
        <v>271220.19154338393</v>
      </c>
    </row>
    <row r="355" spans="1:28" ht="17.25" customHeight="1" x14ac:dyDescent="0.2">
      <c r="A355" t="s">
        <v>10</v>
      </c>
      <c r="B355" s="20">
        <v>1212</v>
      </c>
      <c r="C355" s="20">
        <v>4</v>
      </c>
      <c r="D355" s="20">
        <v>34</v>
      </c>
      <c r="E355" t="s">
        <v>77</v>
      </c>
      <c r="F355" s="26">
        <v>45155</v>
      </c>
      <c r="G355" t="s">
        <v>76</v>
      </c>
      <c r="H355" s="5">
        <v>13.81</v>
      </c>
      <c r="I355" s="5">
        <v>46.52</v>
      </c>
      <c r="J355" s="5">
        <v>40.74</v>
      </c>
      <c r="K355" s="5">
        <v>6.24</v>
      </c>
      <c r="L355" s="5">
        <v>0.13</v>
      </c>
      <c r="M355" s="3">
        <f t="shared" si="97"/>
        <v>130</v>
      </c>
      <c r="N355" s="5">
        <v>7.39</v>
      </c>
      <c r="O355" s="23">
        <f t="shared" si="101"/>
        <v>7.3899999999999999E-3</v>
      </c>
      <c r="P355" s="23">
        <f t="shared" si="102"/>
        <v>0.13302</v>
      </c>
      <c r="Q355" s="7">
        <f t="shared" si="103"/>
        <v>1.3302E-4</v>
      </c>
      <c r="R355" s="23">
        <f t="shared" si="104"/>
        <v>0.47887199999999996</v>
      </c>
      <c r="S355" s="5">
        <v>4.71</v>
      </c>
      <c r="T355" s="5">
        <v>1.38</v>
      </c>
      <c r="U355" s="5">
        <f t="shared" si="105"/>
        <v>13799.999999999998</v>
      </c>
      <c r="V355" s="8">
        <v>-1.02</v>
      </c>
      <c r="W355" s="8">
        <v>-2.46</v>
      </c>
      <c r="X355" s="5">
        <f t="shared" si="106"/>
        <v>1.44</v>
      </c>
      <c r="Y355" s="23">
        <f t="shared" si="107"/>
        <v>0.33255000000000001</v>
      </c>
      <c r="Z355" s="23">
        <f t="shared" si="98"/>
        <v>4589.1899999999996</v>
      </c>
      <c r="AA355" s="11">
        <f t="shared" si="99"/>
        <v>5.1275916888330348</v>
      </c>
      <c r="AB355" s="11">
        <f t="shared" si="100"/>
        <v>70760.765305895868</v>
      </c>
    </row>
    <row r="356" spans="1:28" ht="17.25" customHeight="1" x14ac:dyDescent="0.2">
      <c r="A356" t="s">
        <v>10</v>
      </c>
      <c r="B356" s="20">
        <v>1212</v>
      </c>
      <c r="C356" s="20">
        <v>7</v>
      </c>
      <c r="D356" s="20">
        <v>36</v>
      </c>
      <c r="E356" t="s">
        <v>77</v>
      </c>
      <c r="F356" s="26">
        <v>45155</v>
      </c>
      <c r="G356" t="s">
        <v>76</v>
      </c>
      <c r="H356" s="5">
        <v>13.68</v>
      </c>
      <c r="I356" s="5">
        <v>46.68</v>
      </c>
      <c r="J356" s="5">
        <v>43.16</v>
      </c>
      <c r="K356" s="5">
        <v>7.28</v>
      </c>
      <c r="L356" s="5">
        <v>0.08</v>
      </c>
      <c r="M356" s="3">
        <f t="shared" si="97"/>
        <v>80</v>
      </c>
      <c r="N356" s="5">
        <v>5.57</v>
      </c>
      <c r="O356" s="23">
        <f t="shared" si="101"/>
        <v>5.5700000000000003E-3</v>
      </c>
      <c r="P356" s="23">
        <f t="shared" si="102"/>
        <v>0.10026</v>
      </c>
      <c r="Q356" s="7">
        <f t="shared" si="103"/>
        <v>1.0026000000000001E-4</v>
      </c>
      <c r="R356" s="23">
        <f t="shared" si="104"/>
        <v>0.36093600000000003</v>
      </c>
      <c r="S356" s="5">
        <v>6.11</v>
      </c>
      <c r="T356" s="5">
        <v>0.97</v>
      </c>
      <c r="U356" s="3">
        <f t="shared" si="105"/>
        <v>9700</v>
      </c>
      <c r="V356" s="8">
        <v>-0.52</v>
      </c>
      <c r="W356" s="8">
        <v>-1.86</v>
      </c>
      <c r="X356" s="5">
        <f t="shared" si="106"/>
        <v>1.34</v>
      </c>
      <c r="Y356" s="23">
        <f t="shared" si="107"/>
        <v>0.26935522388059702</v>
      </c>
      <c r="Z356" s="23">
        <f t="shared" si="98"/>
        <v>2612.745671641791</v>
      </c>
      <c r="AA356" s="11">
        <f t="shared" si="99"/>
        <v>4.1531908203696002</v>
      </c>
      <c r="AB356" s="11">
        <f t="shared" si="100"/>
        <v>40285.950957585119</v>
      </c>
    </row>
    <row r="357" spans="1:28" ht="17.25" customHeight="1" x14ac:dyDescent="0.2">
      <c r="A357" t="s">
        <v>10</v>
      </c>
      <c r="B357" s="20">
        <v>1212</v>
      </c>
      <c r="C357" s="20">
        <v>7</v>
      </c>
      <c r="D357" s="20">
        <v>37</v>
      </c>
      <c r="E357" t="s">
        <v>77</v>
      </c>
      <c r="F357" s="26">
        <v>45155</v>
      </c>
      <c r="G357" t="s">
        <v>76</v>
      </c>
      <c r="H357" s="5">
        <v>13.76</v>
      </c>
      <c r="I357" s="5">
        <v>46.69</v>
      </c>
      <c r="J357" s="5">
        <v>42.75</v>
      </c>
      <c r="K357" s="5">
        <v>7.09</v>
      </c>
      <c r="L357" s="5">
        <v>0.1</v>
      </c>
      <c r="M357" s="3">
        <f t="shared" si="97"/>
        <v>100</v>
      </c>
      <c r="N357" s="5">
        <v>7.01</v>
      </c>
      <c r="O357" s="23">
        <f t="shared" si="101"/>
        <v>7.0099999999999997E-3</v>
      </c>
      <c r="P357" s="23">
        <f t="shared" si="102"/>
        <v>0.12617999999999999</v>
      </c>
      <c r="Q357" s="7">
        <f t="shared" si="103"/>
        <v>1.2617999999999999E-4</v>
      </c>
      <c r="R357" s="23">
        <f t="shared" si="104"/>
        <v>0.45424799999999993</v>
      </c>
      <c r="S357" s="5">
        <v>3.68</v>
      </c>
      <c r="T357" s="5">
        <v>0.9</v>
      </c>
      <c r="U357" s="3">
        <f t="shared" si="105"/>
        <v>9000</v>
      </c>
      <c r="V357" s="8">
        <v>-0.62</v>
      </c>
      <c r="W357" s="8">
        <v>-2.46</v>
      </c>
      <c r="X357" s="5">
        <f t="shared" si="106"/>
        <v>1.8399999999999999</v>
      </c>
      <c r="Y357" s="23">
        <f t="shared" si="107"/>
        <v>0.24687391304347825</v>
      </c>
      <c r="Z357" s="23">
        <f t="shared" si="98"/>
        <v>2221.8652173913042</v>
      </c>
      <c r="AA357" s="11">
        <f t="shared" si="99"/>
        <v>3.8065512696178874</v>
      </c>
      <c r="AB357" s="11">
        <f t="shared" si="100"/>
        <v>34258.961426560985</v>
      </c>
    </row>
    <row r="358" spans="1:28" ht="17.25" customHeight="1" x14ac:dyDescent="0.2">
      <c r="A358" t="s">
        <v>10</v>
      </c>
      <c r="B358" s="20">
        <v>1212</v>
      </c>
      <c r="C358" s="20">
        <v>7</v>
      </c>
      <c r="D358" s="20">
        <v>83</v>
      </c>
      <c r="E358" t="s">
        <v>77</v>
      </c>
      <c r="F358" s="26">
        <v>45155</v>
      </c>
      <c r="G358" t="s">
        <v>76</v>
      </c>
      <c r="H358" s="5">
        <v>15.11</v>
      </c>
      <c r="I358" s="5">
        <v>46.71</v>
      </c>
      <c r="J358" s="5">
        <v>43.39</v>
      </c>
      <c r="K358" s="5">
        <v>7.24</v>
      </c>
      <c r="L358" s="5">
        <v>0.08</v>
      </c>
      <c r="M358" s="3">
        <f t="shared" si="97"/>
        <v>80</v>
      </c>
      <c r="N358" s="5">
        <v>5.21</v>
      </c>
      <c r="O358" s="23">
        <f t="shared" si="101"/>
        <v>5.2100000000000002E-3</v>
      </c>
      <c r="P358" s="23">
        <f t="shared" si="102"/>
        <v>9.3780000000000002E-2</v>
      </c>
      <c r="Q358" s="7">
        <f t="shared" si="103"/>
        <v>9.378E-5</v>
      </c>
      <c r="R358" s="23">
        <f t="shared" si="104"/>
        <v>0.33760800000000002</v>
      </c>
      <c r="S358" s="5">
        <v>7.91</v>
      </c>
      <c r="T358" s="5">
        <v>2.14</v>
      </c>
      <c r="U358" s="3">
        <f t="shared" si="105"/>
        <v>21400</v>
      </c>
      <c r="V358" s="8">
        <v>-0.34</v>
      </c>
      <c r="W358" s="8">
        <v>-2.38</v>
      </c>
      <c r="X358" s="5">
        <f t="shared" si="106"/>
        <v>2.04</v>
      </c>
      <c r="Y358" s="23">
        <f t="shared" si="107"/>
        <v>0.16549411764705882</v>
      </c>
      <c r="Z358" s="23">
        <f t="shared" si="98"/>
        <v>3541.5741176470588</v>
      </c>
      <c r="AA358" s="11">
        <f t="shared" si="99"/>
        <v>2.5517554118112025</v>
      </c>
      <c r="AB358" s="11">
        <f t="shared" si="100"/>
        <v>54607.565812759734</v>
      </c>
    </row>
    <row r="359" spans="1:28" ht="17.25" customHeight="1" x14ac:dyDescent="0.2">
      <c r="A359" t="s">
        <v>10</v>
      </c>
      <c r="B359" s="20">
        <v>1212</v>
      </c>
      <c r="C359" s="20">
        <v>8</v>
      </c>
      <c r="D359" s="20">
        <v>38</v>
      </c>
      <c r="E359" t="s">
        <v>77</v>
      </c>
      <c r="F359" s="26">
        <v>45155</v>
      </c>
      <c r="G359" t="s">
        <v>76</v>
      </c>
      <c r="H359" s="5">
        <v>14.24</v>
      </c>
      <c r="I359" s="5">
        <v>46.81</v>
      </c>
      <c r="J359" s="5">
        <v>41.9</v>
      </c>
      <c r="K359" s="5">
        <v>6.67</v>
      </c>
      <c r="L359" s="5">
        <v>0.14000000000000001</v>
      </c>
      <c r="M359" s="3">
        <f t="shared" si="97"/>
        <v>140</v>
      </c>
      <c r="N359" s="5">
        <v>8.58</v>
      </c>
      <c r="O359" s="23">
        <f t="shared" si="101"/>
        <v>8.5800000000000008E-3</v>
      </c>
      <c r="P359" s="23">
        <f t="shared" si="102"/>
        <v>0.15444000000000002</v>
      </c>
      <c r="Q359" s="7">
        <f t="shared" si="103"/>
        <v>1.5444000000000002E-4</v>
      </c>
      <c r="R359" s="23">
        <f t="shared" si="104"/>
        <v>0.55598400000000003</v>
      </c>
      <c r="S359" s="5">
        <v>13.38</v>
      </c>
      <c r="T359" s="5">
        <v>3.28</v>
      </c>
      <c r="U359" s="3">
        <f t="shared" si="105"/>
        <v>32800</v>
      </c>
      <c r="V359" s="8">
        <v>-0.56999999999999995</v>
      </c>
      <c r="W359" s="8">
        <v>-1.86</v>
      </c>
      <c r="X359" s="5">
        <f t="shared" si="106"/>
        <v>1.29</v>
      </c>
      <c r="Y359" s="23">
        <f t="shared" si="107"/>
        <v>0.4309953488372093</v>
      </c>
      <c r="Z359" s="23">
        <f t="shared" si="98"/>
        <v>14136.647441860465</v>
      </c>
      <c r="AA359" s="11">
        <f t="shared" si="99"/>
        <v>6.645521481351282</v>
      </c>
      <c r="AB359" s="11">
        <f t="shared" si="100"/>
        <v>217973.10458832205</v>
      </c>
    </row>
    <row r="360" spans="1:28" ht="17.25" customHeight="1" x14ac:dyDescent="0.2">
      <c r="A360" t="s">
        <v>10</v>
      </c>
      <c r="B360" s="20">
        <v>1212</v>
      </c>
      <c r="C360" s="20">
        <v>8</v>
      </c>
      <c r="D360" s="20">
        <v>39</v>
      </c>
      <c r="E360" t="s">
        <v>77</v>
      </c>
      <c r="F360" s="26">
        <v>45154</v>
      </c>
      <c r="G360" t="s">
        <v>76</v>
      </c>
      <c r="H360" s="5">
        <v>16.91</v>
      </c>
      <c r="I360" s="5">
        <v>46.17</v>
      </c>
      <c r="J360" s="5">
        <v>40.36</v>
      </c>
      <c r="K360" s="5">
        <v>5.81</v>
      </c>
      <c r="L360" s="5">
        <v>0.12</v>
      </c>
      <c r="M360" s="3">
        <f t="shared" si="97"/>
        <v>120</v>
      </c>
      <c r="N360" s="5">
        <v>6.75</v>
      </c>
      <c r="O360" s="23">
        <f t="shared" si="101"/>
        <v>6.7499999999999999E-3</v>
      </c>
      <c r="P360" s="23">
        <f t="shared" si="102"/>
        <v>0.1215</v>
      </c>
      <c r="Q360" s="7">
        <f t="shared" si="103"/>
        <v>1.215E-4</v>
      </c>
      <c r="R360" s="23">
        <f t="shared" si="104"/>
        <v>0.43740000000000001</v>
      </c>
      <c r="S360" s="5">
        <v>3.71</v>
      </c>
      <c r="T360" s="5">
        <v>1.36</v>
      </c>
      <c r="U360" s="5">
        <f t="shared" si="105"/>
        <v>13600.000000000002</v>
      </c>
      <c r="V360" s="8">
        <v>-0.27</v>
      </c>
      <c r="W360" s="8">
        <v>-2.15</v>
      </c>
      <c r="X360" s="5">
        <f t="shared" si="106"/>
        <v>1.88</v>
      </c>
      <c r="Y360" s="23">
        <f t="shared" si="107"/>
        <v>0.23265957446808513</v>
      </c>
      <c r="Z360" s="23">
        <f t="shared" si="98"/>
        <v>3164.1702127659582</v>
      </c>
      <c r="AA360" s="11">
        <f t="shared" si="99"/>
        <v>3.5873802446849616</v>
      </c>
      <c r="AB360" s="11">
        <f t="shared" si="100"/>
        <v>48788.371327715482</v>
      </c>
    </row>
    <row r="361" spans="1:28" ht="17.25" customHeight="1" x14ac:dyDescent="0.2">
      <c r="A361" t="s">
        <v>10</v>
      </c>
      <c r="B361" s="20">
        <v>1212</v>
      </c>
      <c r="C361" s="20">
        <v>8</v>
      </c>
      <c r="D361" s="20">
        <v>40</v>
      </c>
      <c r="E361" t="s">
        <v>77</v>
      </c>
      <c r="F361" s="26">
        <v>45154</v>
      </c>
      <c r="G361" t="s">
        <v>76</v>
      </c>
      <c r="H361" s="5">
        <v>17.690000000000001</v>
      </c>
      <c r="I361" s="5">
        <v>45.77</v>
      </c>
      <c r="J361" s="5">
        <v>41.57</v>
      </c>
      <c r="K361" s="5">
        <v>6.27</v>
      </c>
      <c r="L361" s="5">
        <v>0.1</v>
      </c>
      <c r="M361" s="3">
        <f t="shared" si="97"/>
        <v>100</v>
      </c>
      <c r="N361" s="5">
        <v>5.95</v>
      </c>
      <c r="O361" s="23">
        <f t="shared" si="101"/>
        <v>5.9500000000000004E-3</v>
      </c>
      <c r="P361" s="23">
        <f t="shared" si="102"/>
        <v>0.1071</v>
      </c>
      <c r="Q361" s="7">
        <f t="shared" si="103"/>
        <v>1.071E-4</v>
      </c>
      <c r="R361" s="23">
        <f t="shared" si="104"/>
        <v>0.38556000000000001</v>
      </c>
      <c r="S361" s="5">
        <v>4.62</v>
      </c>
      <c r="T361" s="5">
        <v>1.66</v>
      </c>
      <c r="U361" s="3">
        <f t="shared" si="105"/>
        <v>16600</v>
      </c>
      <c r="V361" s="8">
        <v>-0.48</v>
      </c>
      <c r="W361" s="8">
        <v>-2.1</v>
      </c>
      <c r="X361" s="5">
        <f t="shared" si="106"/>
        <v>1.62</v>
      </c>
      <c r="Y361" s="23">
        <f t="shared" si="107"/>
        <v>0.23799999999999999</v>
      </c>
      <c r="Z361" s="23">
        <f t="shared" si="98"/>
        <v>3950.7999999999997</v>
      </c>
      <c r="AA361" s="11">
        <f t="shared" si="99"/>
        <v>3.6697243179740262</v>
      </c>
      <c r="AB361" s="11">
        <f t="shared" si="100"/>
        <v>60917.423678368832</v>
      </c>
    </row>
    <row r="362" spans="1:28" ht="17.25" customHeight="1" x14ac:dyDescent="0.2">
      <c r="A362" t="s">
        <v>10</v>
      </c>
      <c r="B362" s="20">
        <v>1212</v>
      </c>
      <c r="C362" s="20">
        <v>10</v>
      </c>
      <c r="D362" s="20">
        <v>21</v>
      </c>
      <c r="E362" t="s">
        <v>77</v>
      </c>
      <c r="F362" s="26">
        <v>45155</v>
      </c>
      <c r="G362" t="s">
        <v>76</v>
      </c>
      <c r="H362" s="5">
        <v>14.57</v>
      </c>
      <c r="I362" s="5">
        <v>46.73</v>
      </c>
      <c r="J362" s="5">
        <v>42.27</v>
      </c>
      <c r="K362" s="5">
        <v>6.79</v>
      </c>
      <c r="L362" s="5">
        <v>0.1</v>
      </c>
      <c r="M362" s="3">
        <f t="shared" si="97"/>
        <v>100</v>
      </c>
      <c r="N362" s="5">
        <v>6.3</v>
      </c>
      <c r="O362" s="23">
        <f t="shared" si="101"/>
        <v>6.3E-3</v>
      </c>
      <c r="P362" s="23">
        <f t="shared" si="102"/>
        <v>0.1134</v>
      </c>
      <c r="Q362" s="7">
        <f t="shared" si="103"/>
        <v>1.1340000000000001E-4</v>
      </c>
      <c r="R362" s="23">
        <f t="shared" si="104"/>
        <v>0.40823999999999999</v>
      </c>
      <c r="S362" s="5">
        <v>4.78</v>
      </c>
      <c r="T362" s="5">
        <v>1.38</v>
      </c>
      <c r="U362" s="5">
        <f t="shared" si="105"/>
        <v>13799.999999999998</v>
      </c>
      <c r="V362" s="8">
        <v>-0.41</v>
      </c>
      <c r="W362" s="8">
        <v>-2.0299999999999998</v>
      </c>
      <c r="X362" s="5">
        <f t="shared" si="106"/>
        <v>1.6199999999999999</v>
      </c>
      <c r="Y362" s="23">
        <f t="shared" si="107"/>
        <v>0.252</v>
      </c>
      <c r="Z362" s="23">
        <f t="shared" si="98"/>
        <v>3477.5999999999995</v>
      </c>
      <c r="AA362" s="11">
        <f t="shared" si="99"/>
        <v>3.8855904543254391</v>
      </c>
      <c r="AB362" s="11">
        <f t="shared" si="100"/>
        <v>53621.148269691053</v>
      </c>
    </row>
    <row r="363" spans="1:28" ht="17.25" customHeight="1" x14ac:dyDescent="0.2">
      <c r="A363" t="s">
        <v>10</v>
      </c>
      <c r="B363" s="20">
        <v>1212</v>
      </c>
      <c r="C363" s="20">
        <v>10</v>
      </c>
      <c r="D363" s="20">
        <v>41</v>
      </c>
      <c r="E363" t="s">
        <v>77</v>
      </c>
      <c r="F363" s="26">
        <v>45154</v>
      </c>
      <c r="G363" t="s">
        <v>76</v>
      </c>
      <c r="H363" s="5">
        <v>15.77</v>
      </c>
      <c r="I363" s="5">
        <v>46.46</v>
      </c>
      <c r="J363" s="5">
        <v>40.630000000000003</v>
      </c>
      <c r="K363" s="3">
        <v>6</v>
      </c>
      <c r="L363" s="5">
        <v>0.13</v>
      </c>
      <c r="M363" s="3">
        <f t="shared" si="97"/>
        <v>130</v>
      </c>
      <c r="N363" s="5">
        <v>7.11</v>
      </c>
      <c r="O363" s="23">
        <f t="shared" si="101"/>
        <v>7.11E-3</v>
      </c>
      <c r="P363" s="23">
        <f t="shared" si="102"/>
        <v>0.12798000000000001</v>
      </c>
      <c r="Q363" s="7">
        <f t="shared" si="103"/>
        <v>1.2798E-4</v>
      </c>
      <c r="R363" s="23">
        <f t="shared" si="104"/>
        <v>0.46072800000000003</v>
      </c>
      <c r="S363" s="5">
        <v>15.53</v>
      </c>
      <c r="T363" s="5">
        <v>3.35</v>
      </c>
      <c r="U363" s="3">
        <f t="shared" si="105"/>
        <v>33500</v>
      </c>
      <c r="V363" s="8">
        <v>-0.51</v>
      </c>
      <c r="W363" s="8">
        <v>-1.8</v>
      </c>
      <c r="X363" s="5">
        <f t="shared" si="106"/>
        <v>1.29</v>
      </c>
      <c r="Y363" s="23">
        <f t="shared" si="107"/>
        <v>0.35715348837209304</v>
      </c>
      <c r="Z363" s="23">
        <f t="shared" si="98"/>
        <v>11964.641860465117</v>
      </c>
      <c r="AA363" s="11">
        <f t="shared" si="99"/>
        <v>5.5069531156652234</v>
      </c>
      <c r="AB363" s="11">
        <f t="shared" si="100"/>
        <v>184482.92937478499</v>
      </c>
    </row>
    <row r="364" spans="1:28" ht="17.25" customHeight="1" x14ac:dyDescent="0.2">
      <c r="A364" t="s">
        <v>10</v>
      </c>
      <c r="B364" s="20">
        <v>1212</v>
      </c>
      <c r="C364" s="20">
        <v>10</v>
      </c>
      <c r="D364" s="20">
        <v>42</v>
      </c>
      <c r="E364" t="s">
        <v>77</v>
      </c>
      <c r="F364" s="26">
        <v>45154</v>
      </c>
      <c r="G364" t="s">
        <v>76</v>
      </c>
      <c r="H364" s="5">
        <v>16.649999999999999</v>
      </c>
      <c r="I364" s="5">
        <v>46.01</v>
      </c>
      <c r="J364" s="5">
        <v>39.28</v>
      </c>
      <c r="K364" s="5">
        <v>5.42</v>
      </c>
      <c r="L364" s="5">
        <v>0.24</v>
      </c>
      <c r="M364" s="3">
        <f t="shared" si="97"/>
        <v>240</v>
      </c>
      <c r="N364" s="5">
        <v>12.1</v>
      </c>
      <c r="O364" s="23">
        <f t="shared" si="101"/>
        <v>1.21E-2</v>
      </c>
      <c r="P364" s="23">
        <f t="shared" si="102"/>
        <v>0.21779999999999999</v>
      </c>
      <c r="Q364" s="7">
        <f t="shared" si="103"/>
        <v>2.1779999999999998E-4</v>
      </c>
      <c r="R364" s="23">
        <f t="shared" si="104"/>
        <v>0.78407999999999989</v>
      </c>
      <c r="S364" s="5">
        <v>14.52</v>
      </c>
      <c r="T364" s="5">
        <v>3.06</v>
      </c>
      <c r="U364" s="3">
        <f t="shared" si="105"/>
        <v>30600</v>
      </c>
      <c r="V364" s="8">
        <v>-0.78</v>
      </c>
      <c r="W364" s="8">
        <v>-2.06</v>
      </c>
      <c r="X364" s="5">
        <f t="shared" si="106"/>
        <v>1.28</v>
      </c>
      <c r="Y364" s="23">
        <f t="shared" si="107"/>
        <v>0.6125624999999999</v>
      </c>
      <c r="Z364" s="23">
        <f t="shared" si="98"/>
        <v>18744.412499999999</v>
      </c>
      <c r="AA364" s="11">
        <f t="shared" si="99"/>
        <v>9.4451071534830415</v>
      </c>
      <c r="AB364" s="11">
        <f t="shared" si="100"/>
        <v>289020.27889658109</v>
      </c>
    </row>
    <row r="365" spans="1:28" ht="17.25" customHeight="1" x14ac:dyDescent="0.2">
      <c r="F365" s="26"/>
      <c r="M365" s="3">
        <f t="shared" si="97"/>
        <v>0</v>
      </c>
      <c r="O365" s="23"/>
      <c r="P365" s="23"/>
      <c r="Q365" s="7"/>
      <c r="R365" s="23"/>
      <c r="W365" s="8"/>
      <c r="Y365" s="23"/>
      <c r="Z365" s="23">
        <f t="shared" si="98"/>
        <v>0</v>
      </c>
      <c r="AA365" s="20">
        <f t="shared" si="99"/>
        <v>0</v>
      </c>
      <c r="AB365" s="20">
        <f t="shared" si="100"/>
        <v>0</v>
      </c>
    </row>
    <row r="366" spans="1:28" ht="17.25" customHeight="1" x14ac:dyDescent="0.2">
      <c r="A366" t="s">
        <v>7</v>
      </c>
      <c r="B366" s="20">
        <v>72</v>
      </c>
      <c r="C366" s="20">
        <v>156</v>
      </c>
      <c r="D366" s="20">
        <v>43</v>
      </c>
      <c r="E366" t="s">
        <v>75</v>
      </c>
      <c r="F366" s="26">
        <v>45161</v>
      </c>
      <c r="G366" t="s">
        <v>76</v>
      </c>
      <c r="H366" s="3">
        <v>42</v>
      </c>
      <c r="I366" s="5">
        <v>33.14</v>
      </c>
      <c r="J366" s="5">
        <v>31.93</v>
      </c>
      <c r="K366" s="5">
        <v>2.61</v>
      </c>
      <c r="L366" s="5">
        <v>0.18</v>
      </c>
      <c r="M366" s="3">
        <f t="shared" si="97"/>
        <v>180</v>
      </c>
      <c r="N366" s="5">
        <v>4.47</v>
      </c>
      <c r="O366" s="23">
        <f t="shared" ref="O366:O397" si="108">N366/1000</f>
        <v>4.47E-3</v>
      </c>
      <c r="P366" s="23">
        <f t="shared" ref="P366:P397" si="109">O366*18</f>
        <v>8.0460000000000004E-2</v>
      </c>
      <c r="Q366" s="7">
        <f t="shared" ref="Q366:Q397" si="110">P366/1000</f>
        <v>8.0459999999999999E-5</v>
      </c>
      <c r="R366" s="23">
        <f t="shared" ref="R366:R397" si="111">Q366*3600</f>
        <v>0.28965599999999997</v>
      </c>
      <c r="S366" s="5">
        <v>18.53</v>
      </c>
      <c r="T366" s="5">
        <v>3.87</v>
      </c>
      <c r="U366" s="3">
        <f t="shared" ref="U366:U397" si="112">T366*10000</f>
        <v>38700</v>
      </c>
      <c r="V366" s="8">
        <v>-0.22</v>
      </c>
      <c r="W366" s="8">
        <v>-1.85</v>
      </c>
      <c r="X366" s="5">
        <f t="shared" ref="X366:X397" si="113">V366-W366</f>
        <v>1.6300000000000001</v>
      </c>
      <c r="Y366" s="23">
        <f t="shared" ref="Y366:Y397" si="114">R366/X366</f>
        <v>0.17770306748466255</v>
      </c>
      <c r="Z366" s="23">
        <f t="shared" si="98"/>
        <v>6877.1087116564404</v>
      </c>
      <c r="AA366" s="11">
        <f t="shared" si="99"/>
        <v>2.7400053282648975</v>
      </c>
      <c r="AB366" s="11">
        <f t="shared" si="100"/>
        <v>106038.20620385153</v>
      </c>
    </row>
    <row r="367" spans="1:28" ht="17.25" customHeight="1" x14ac:dyDescent="0.2">
      <c r="A367" t="s">
        <v>7</v>
      </c>
      <c r="B367" s="20">
        <v>72</v>
      </c>
      <c r="C367" s="20">
        <v>156</v>
      </c>
      <c r="D367" s="20">
        <v>44</v>
      </c>
      <c r="E367" t="s">
        <v>75</v>
      </c>
      <c r="F367" s="26">
        <v>45162</v>
      </c>
      <c r="G367" t="s">
        <v>76</v>
      </c>
      <c r="H367" s="5">
        <v>34.1</v>
      </c>
      <c r="I367" s="5">
        <v>34.51</v>
      </c>
      <c r="J367" s="5">
        <v>29.81</v>
      </c>
      <c r="K367" s="5">
        <v>2.33</v>
      </c>
      <c r="L367" s="5">
        <v>0.26</v>
      </c>
      <c r="M367" s="3">
        <f t="shared" si="97"/>
        <v>260</v>
      </c>
      <c r="N367" s="5">
        <v>5.63</v>
      </c>
      <c r="O367" s="23">
        <f t="shared" si="108"/>
        <v>5.6299999999999996E-3</v>
      </c>
      <c r="P367" s="23">
        <f t="shared" si="109"/>
        <v>0.10133999999999999</v>
      </c>
      <c r="Q367" s="7">
        <f t="shared" si="110"/>
        <v>1.0133999999999999E-4</v>
      </c>
      <c r="R367" s="23">
        <f t="shared" si="111"/>
        <v>0.36482399999999998</v>
      </c>
      <c r="S367" s="5">
        <v>5.08</v>
      </c>
      <c r="T367" s="5">
        <v>1.59</v>
      </c>
      <c r="U367" s="3">
        <f t="shared" si="112"/>
        <v>15900</v>
      </c>
      <c r="V367" s="8">
        <v>-0.27</v>
      </c>
      <c r="W367" s="8">
        <v>-1.87</v>
      </c>
      <c r="X367" s="5">
        <f t="shared" si="113"/>
        <v>1.6</v>
      </c>
      <c r="Y367" s="23">
        <f t="shared" si="114"/>
        <v>0.22801499999999997</v>
      </c>
      <c r="Z367" s="23">
        <f t="shared" si="98"/>
        <v>3625.4384999999993</v>
      </c>
      <c r="AA367" s="11">
        <f t="shared" si="99"/>
        <v>3.5157655057262498</v>
      </c>
      <c r="AB367" s="11">
        <f t="shared" si="100"/>
        <v>55900.67154104737</v>
      </c>
    </row>
    <row r="368" spans="1:28" ht="17.25" customHeight="1" x14ac:dyDescent="0.2">
      <c r="A368" t="s">
        <v>7</v>
      </c>
      <c r="B368" s="20">
        <v>72</v>
      </c>
      <c r="C368" s="20">
        <v>156</v>
      </c>
      <c r="D368" s="20">
        <v>45</v>
      </c>
      <c r="E368" t="s">
        <v>75</v>
      </c>
      <c r="F368" s="26">
        <v>45161</v>
      </c>
      <c r="G368" t="s">
        <v>76</v>
      </c>
      <c r="H368" s="5">
        <v>37.700000000000003</v>
      </c>
      <c r="I368" s="5">
        <v>35.130000000000003</v>
      </c>
      <c r="J368" s="5">
        <v>32.700000000000003</v>
      </c>
      <c r="K368" s="5">
        <v>2.81</v>
      </c>
      <c r="L368" s="5">
        <v>0.31</v>
      </c>
      <c r="M368" s="3">
        <f t="shared" si="97"/>
        <v>310</v>
      </c>
      <c r="N368" s="5">
        <v>8.06</v>
      </c>
      <c r="O368" s="23">
        <f t="shared" si="108"/>
        <v>8.0600000000000012E-3</v>
      </c>
      <c r="P368" s="23">
        <f t="shared" si="109"/>
        <v>0.14508000000000001</v>
      </c>
      <c r="Q368" s="7">
        <f t="shared" si="110"/>
        <v>1.4508000000000001E-4</v>
      </c>
      <c r="R368" s="23">
        <f t="shared" si="111"/>
        <v>0.52228800000000009</v>
      </c>
      <c r="S368" s="5">
        <v>13.38</v>
      </c>
      <c r="T368" s="5">
        <v>3.64</v>
      </c>
      <c r="U368" s="3">
        <f t="shared" si="112"/>
        <v>36400</v>
      </c>
      <c r="V368" s="8">
        <v>-0.48</v>
      </c>
      <c r="W368" s="8">
        <v>-1.9</v>
      </c>
      <c r="X368" s="5">
        <f t="shared" si="113"/>
        <v>1.42</v>
      </c>
      <c r="Y368" s="23">
        <f t="shared" si="114"/>
        <v>0.36780845070422541</v>
      </c>
      <c r="Z368" s="23">
        <f t="shared" si="98"/>
        <v>13388.227605633805</v>
      </c>
      <c r="AA368" s="11">
        <f t="shared" si="99"/>
        <v>5.6712420836371722</v>
      </c>
      <c r="AB368" s="11">
        <f t="shared" si="100"/>
        <v>206433.21184439308</v>
      </c>
    </row>
    <row r="369" spans="1:28" ht="17.25" customHeight="1" x14ac:dyDescent="0.2">
      <c r="A369" t="s">
        <v>7</v>
      </c>
      <c r="B369" s="20">
        <v>72</v>
      </c>
      <c r="C369" s="20">
        <v>149</v>
      </c>
      <c r="D369" s="20">
        <v>46</v>
      </c>
      <c r="E369" t="s">
        <v>75</v>
      </c>
      <c r="F369" s="26">
        <v>45161</v>
      </c>
      <c r="G369" t="s">
        <v>76</v>
      </c>
      <c r="H369" s="5">
        <v>40.47</v>
      </c>
      <c r="I369" s="5">
        <v>33.89</v>
      </c>
      <c r="J369" s="5">
        <v>31.21</v>
      </c>
      <c r="K369" s="5">
        <v>2.41</v>
      </c>
      <c r="L369" s="5">
        <v>0.4</v>
      </c>
      <c r="M369" s="3">
        <f t="shared" si="97"/>
        <v>400</v>
      </c>
      <c r="N369" s="5">
        <v>9.0399999999999991</v>
      </c>
      <c r="O369" s="23">
        <f t="shared" si="108"/>
        <v>9.0399999999999994E-3</v>
      </c>
      <c r="P369" s="23">
        <f t="shared" si="109"/>
        <v>0.16271999999999998</v>
      </c>
      <c r="Q369" s="7">
        <f t="shared" si="110"/>
        <v>1.6271999999999999E-4</v>
      </c>
      <c r="R369" s="23">
        <f t="shared" si="111"/>
        <v>0.58579199999999998</v>
      </c>
      <c r="S369" s="5">
        <v>10.99</v>
      </c>
      <c r="T369" s="5">
        <v>2.0499999999999998</v>
      </c>
      <c r="U369" s="3">
        <f t="shared" si="112"/>
        <v>20500</v>
      </c>
      <c r="V369" s="8">
        <v>-0.3</v>
      </c>
      <c r="W369" s="8">
        <v>-2.0699999999999998</v>
      </c>
      <c r="X369" s="5">
        <f t="shared" si="113"/>
        <v>1.7699999999999998</v>
      </c>
      <c r="Y369" s="23">
        <f t="shared" si="114"/>
        <v>0.33095593220338987</v>
      </c>
      <c r="Z369" s="23">
        <f t="shared" si="98"/>
        <v>6784.5966101694921</v>
      </c>
      <c r="AA369" s="11">
        <f t="shared" si="99"/>
        <v>5.1030127419518614</v>
      </c>
      <c r="AB369" s="11">
        <f t="shared" si="100"/>
        <v>104611.76121001315</v>
      </c>
    </row>
    <row r="370" spans="1:28" ht="17.25" customHeight="1" x14ac:dyDescent="0.2">
      <c r="A370" t="s">
        <v>7</v>
      </c>
      <c r="B370" s="20">
        <v>72</v>
      </c>
      <c r="C370" s="20">
        <v>149</v>
      </c>
      <c r="D370" s="20">
        <v>47</v>
      </c>
      <c r="E370" t="s">
        <v>75</v>
      </c>
      <c r="F370" s="26">
        <v>45162</v>
      </c>
      <c r="G370" t="s">
        <v>76</v>
      </c>
      <c r="H370" s="5">
        <v>32.54</v>
      </c>
      <c r="I370" s="5">
        <v>34.92</v>
      </c>
      <c r="J370" s="5">
        <v>32.28</v>
      </c>
      <c r="K370" s="5">
        <v>3.02</v>
      </c>
      <c r="L370" s="5">
        <v>0.24</v>
      </c>
      <c r="M370" s="3">
        <f t="shared" si="97"/>
        <v>240</v>
      </c>
      <c r="N370" s="5">
        <v>6.72</v>
      </c>
      <c r="O370" s="23">
        <f t="shared" si="108"/>
        <v>6.7199999999999994E-3</v>
      </c>
      <c r="P370" s="23">
        <f t="shared" si="109"/>
        <v>0.12095999999999998</v>
      </c>
      <c r="Q370" s="7">
        <f t="shared" si="110"/>
        <v>1.2095999999999998E-4</v>
      </c>
      <c r="R370" s="23">
        <f t="shared" si="111"/>
        <v>0.43545599999999995</v>
      </c>
      <c r="S370" s="5">
        <v>10.98</v>
      </c>
      <c r="T370" s="5">
        <v>2.5099999999999998</v>
      </c>
      <c r="U370" s="5">
        <f t="shared" si="112"/>
        <v>25099.999999999996</v>
      </c>
      <c r="V370" s="8">
        <v>-0.32</v>
      </c>
      <c r="W370" s="8">
        <v>-2.4700000000000002</v>
      </c>
      <c r="X370" s="5">
        <f t="shared" si="113"/>
        <v>2.1500000000000004</v>
      </c>
      <c r="Y370" s="23">
        <f t="shared" si="114"/>
        <v>0.2025376744186046</v>
      </c>
      <c r="Z370" s="23">
        <f t="shared" si="98"/>
        <v>5083.6956279069746</v>
      </c>
      <c r="AA370" s="11">
        <f t="shared" si="99"/>
        <v>3.1229303744531896</v>
      </c>
      <c r="AB370" s="11">
        <f t="shared" si="100"/>
        <v>78385.552398775049</v>
      </c>
    </row>
    <row r="371" spans="1:28" ht="17.25" customHeight="1" x14ac:dyDescent="0.2">
      <c r="A371" t="s">
        <v>7</v>
      </c>
      <c r="B371" s="20">
        <v>72</v>
      </c>
      <c r="C371" s="20">
        <v>149</v>
      </c>
      <c r="D371" s="20">
        <v>48</v>
      </c>
      <c r="E371" t="s">
        <v>75</v>
      </c>
      <c r="F371" s="26">
        <v>45162</v>
      </c>
      <c r="G371" t="s">
        <v>76</v>
      </c>
      <c r="H371" s="5">
        <v>34.06</v>
      </c>
      <c r="I371" s="5">
        <v>34.04</v>
      </c>
      <c r="J371" s="5">
        <v>30.02</v>
      </c>
      <c r="K371" s="5">
        <v>2.4300000000000002</v>
      </c>
      <c r="L371" s="5">
        <v>0.2</v>
      </c>
      <c r="M371" s="3">
        <f t="shared" si="97"/>
        <v>200</v>
      </c>
      <c r="N371" s="5">
        <v>4.58</v>
      </c>
      <c r="O371" s="23">
        <f t="shared" si="108"/>
        <v>4.5799999999999999E-3</v>
      </c>
      <c r="P371" s="23">
        <f t="shared" si="109"/>
        <v>8.2439999999999999E-2</v>
      </c>
      <c r="Q371" s="7">
        <f t="shared" si="110"/>
        <v>8.2440000000000004E-5</v>
      </c>
      <c r="R371" s="23">
        <f t="shared" si="111"/>
        <v>0.29678399999999999</v>
      </c>
      <c r="S371" s="5">
        <v>17.25</v>
      </c>
      <c r="T371" s="5">
        <v>2.85</v>
      </c>
      <c r="U371" s="3">
        <f t="shared" si="112"/>
        <v>28500</v>
      </c>
      <c r="V371" s="8">
        <v>-0.56999999999999995</v>
      </c>
      <c r="W371" s="8">
        <v>-1.85</v>
      </c>
      <c r="X371" s="5">
        <f t="shared" si="113"/>
        <v>1.2800000000000002</v>
      </c>
      <c r="Y371" s="23">
        <f t="shared" si="114"/>
        <v>0.23186249999999994</v>
      </c>
      <c r="Z371" s="23">
        <f t="shared" si="98"/>
        <v>6608.0812499999984</v>
      </c>
      <c r="AA371" s="11">
        <f t="shared" si="99"/>
        <v>3.5750901456985393</v>
      </c>
      <c r="AB371" s="11">
        <f t="shared" si="100"/>
        <v>101890.06915240837</v>
      </c>
    </row>
    <row r="372" spans="1:28" ht="17.25" customHeight="1" x14ac:dyDescent="0.2">
      <c r="A372" t="s">
        <v>7</v>
      </c>
      <c r="B372" s="20">
        <v>72</v>
      </c>
      <c r="C372" s="20">
        <v>152</v>
      </c>
      <c r="D372" s="20">
        <v>49</v>
      </c>
      <c r="E372" t="s">
        <v>75</v>
      </c>
      <c r="F372" s="26">
        <v>45161</v>
      </c>
      <c r="G372" t="s">
        <v>76</v>
      </c>
      <c r="H372" s="5">
        <v>45.6</v>
      </c>
      <c r="I372" s="5">
        <v>30.72</v>
      </c>
      <c r="J372" s="5">
        <v>27.64</v>
      </c>
      <c r="K372" s="5">
        <v>1.69</v>
      </c>
      <c r="L372" s="5">
        <v>0.43</v>
      </c>
      <c r="M372" s="3">
        <f t="shared" si="97"/>
        <v>430</v>
      </c>
      <c r="N372" s="5">
        <v>6.85</v>
      </c>
      <c r="O372" s="23">
        <f t="shared" si="108"/>
        <v>6.8499999999999993E-3</v>
      </c>
      <c r="P372" s="23">
        <f t="shared" si="109"/>
        <v>0.12329999999999999</v>
      </c>
      <c r="Q372" s="7">
        <f t="shared" si="110"/>
        <v>1.2329999999999999E-4</v>
      </c>
      <c r="R372" s="23">
        <f t="shared" si="111"/>
        <v>0.44387999999999994</v>
      </c>
      <c r="S372" s="5">
        <v>16.68</v>
      </c>
      <c r="T372" s="5">
        <v>2.78</v>
      </c>
      <c r="U372" s="5">
        <f t="shared" si="112"/>
        <v>27799.999999999996</v>
      </c>
      <c r="V372" s="8">
        <v>-0.44</v>
      </c>
      <c r="W372" s="8">
        <v>-2.09</v>
      </c>
      <c r="X372" s="5">
        <f t="shared" si="113"/>
        <v>1.65</v>
      </c>
      <c r="Y372" s="23">
        <f t="shared" si="114"/>
        <v>0.26901818181818182</v>
      </c>
      <c r="Z372" s="23">
        <f t="shared" si="98"/>
        <v>7478.7054545454539</v>
      </c>
      <c r="AA372" s="11">
        <f t="shared" si="99"/>
        <v>4.1479939655266378</v>
      </c>
      <c r="AB372" s="11">
        <f t="shared" si="100"/>
        <v>115314.23224164052</v>
      </c>
    </row>
    <row r="373" spans="1:28" ht="17.25" customHeight="1" x14ac:dyDescent="0.2">
      <c r="A373" t="s">
        <v>7</v>
      </c>
      <c r="B373" s="20">
        <v>72</v>
      </c>
      <c r="C373" s="20">
        <v>152</v>
      </c>
      <c r="D373" s="20">
        <v>50</v>
      </c>
      <c r="E373" t="s">
        <v>75</v>
      </c>
      <c r="F373" s="26">
        <v>45162</v>
      </c>
      <c r="G373" t="s">
        <v>76</v>
      </c>
      <c r="H373" s="5">
        <v>33.869999999999997</v>
      </c>
      <c r="I373" s="5">
        <v>33.869999999999997</v>
      </c>
      <c r="J373" s="5">
        <v>31.55</v>
      </c>
      <c r="K373" s="5">
        <v>2.85</v>
      </c>
      <c r="L373" s="5">
        <v>0.18</v>
      </c>
      <c r="M373" s="3">
        <f t="shared" si="97"/>
        <v>180</v>
      </c>
      <c r="N373" s="5">
        <v>4.6500000000000004</v>
      </c>
      <c r="O373" s="23">
        <f t="shared" si="108"/>
        <v>4.6500000000000005E-3</v>
      </c>
      <c r="P373" s="23">
        <f t="shared" si="109"/>
        <v>8.3700000000000011E-2</v>
      </c>
      <c r="Q373" s="7">
        <f t="shared" si="110"/>
        <v>8.3700000000000015E-5</v>
      </c>
      <c r="R373" s="23">
        <f t="shared" si="111"/>
        <v>0.30132000000000003</v>
      </c>
      <c r="S373" s="5">
        <v>29.47</v>
      </c>
      <c r="T373" s="5">
        <v>3.96</v>
      </c>
      <c r="U373" s="3">
        <f t="shared" si="112"/>
        <v>39600</v>
      </c>
      <c r="V373" s="8">
        <v>-0.36</v>
      </c>
      <c r="W373" s="8">
        <v>-1.95</v>
      </c>
      <c r="X373" s="5">
        <f t="shared" si="113"/>
        <v>1.5899999999999999</v>
      </c>
      <c r="Y373" s="23">
        <f t="shared" si="114"/>
        <v>0.18950943396226419</v>
      </c>
      <c r="Z373" s="23">
        <f t="shared" si="98"/>
        <v>7504.5735849056618</v>
      </c>
      <c r="AA373" s="11">
        <f t="shared" si="99"/>
        <v>2.9220478079698053</v>
      </c>
      <c r="AB373" s="11">
        <f t="shared" si="100"/>
        <v>115713.09319560429</v>
      </c>
    </row>
    <row r="374" spans="1:28" ht="17.25" customHeight="1" x14ac:dyDescent="0.2">
      <c r="A374" t="s">
        <v>7</v>
      </c>
      <c r="B374" s="20">
        <v>72</v>
      </c>
      <c r="C374" s="20">
        <v>152</v>
      </c>
      <c r="D374" s="20">
        <v>51</v>
      </c>
      <c r="E374" t="s">
        <v>75</v>
      </c>
      <c r="F374" s="26">
        <v>45162</v>
      </c>
      <c r="G374" t="s">
        <v>76</v>
      </c>
      <c r="H374" s="5">
        <v>33.78</v>
      </c>
      <c r="I374" s="5">
        <v>34.51</v>
      </c>
      <c r="J374" s="5">
        <v>30.33</v>
      </c>
      <c r="K374" s="5">
        <v>2.48</v>
      </c>
      <c r="L374" s="5">
        <v>0.32</v>
      </c>
      <c r="M374" s="3">
        <f t="shared" si="97"/>
        <v>320</v>
      </c>
      <c r="N374" s="5">
        <v>7.46</v>
      </c>
      <c r="O374" s="23">
        <f t="shared" si="108"/>
        <v>7.4599999999999996E-3</v>
      </c>
      <c r="P374" s="23">
        <f t="shared" si="109"/>
        <v>0.13427999999999998</v>
      </c>
      <c r="Q374" s="7">
        <f t="shared" si="110"/>
        <v>1.3428E-4</v>
      </c>
      <c r="R374" s="23">
        <f t="shared" si="111"/>
        <v>0.483408</v>
      </c>
      <c r="S374" s="5">
        <v>11.56</v>
      </c>
      <c r="T374" s="5">
        <v>1.91</v>
      </c>
      <c r="U374" s="3">
        <f t="shared" si="112"/>
        <v>19100</v>
      </c>
      <c r="V374" s="8">
        <v>-0.28000000000000003</v>
      </c>
      <c r="W374" s="8">
        <v>-1.48</v>
      </c>
      <c r="X374" s="5">
        <f t="shared" si="113"/>
        <v>1.2</v>
      </c>
      <c r="Y374" s="23">
        <f t="shared" si="114"/>
        <v>0.40284000000000003</v>
      </c>
      <c r="Z374" s="23">
        <f t="shared" si="98"/>
        <v>7694.2440000000006</v>
      </c>
      <c r="AA374" s="11">
        <f t="shared" si="99"/>
        <v>6.2113938834145239</v>
      </c>
      <c r="AB374" s="11">
        <f t="shared" si="100"/>
        <v>118637.62317321741</v>
      </c>
    </row>
    <row r="375" spans="1:28" ht="17.25" customHeight="1" x14ac:dyDescent="0.2">
      <c r="A375" t="s">
        <v>7</v>
      </c>
      <c r="B375" s="20">
        <v>72</v>
      </c>
      <c r="C375" s="20">
        <v>155</v>
      </c>
      <c r="D375" s="20">
        <v>58</v>
      </c>
      <c r="E375" t="s">
        <v>75</v>
      </c>
      <c r="F375" s="26">
        <v>45162</v>
      </c>
      <c r="G375" t="s">
        <v>76</v>
      </c>
      <c r="H375" s="5">
        <v>32.26</v>
      </c>
      <c r="I375" s="5">
        <v>35.130000000000003</v>
      </c>
      <c r="J375" s="5">
        <v>32.76</v>
      </c>
      <c r="K375" s="5">
        <v>3.14</v>
      </c>
      <c r="L375" s="5">
        <v>0.17</v>
      </c>
      <c r="M375" s="3">
        <f t="shared" si="97"/>
        <v>170</v>
      </c>
      <c r="N375" s="5">
        <v>5.0599999999999996</v>
      </c>
      <c r="O375" s="23">
        <f t="shared" si="108"/>
        <v>5.0599999999999994E-3</v>
      </c>
      <c r="P375" s="23">
        <f t="shared" si="109"/>
        <v>9.1079999999999994E-2</v>
      </c>
      <c r="Q375" s="7">
        <f t="shared" si="110"/>
        <v>9.1079999999999989E-5</v>
      </c>
      <c r="R375" s="23">
        <f t="shared" si="111"/>
        <v>0.32788799999999996</v>
      </c>
      <c r="S375" s="5">
        <v>25.14</v>
      </c>
      <c r="T375" s="5">
        <v>4.53</v>
      </c>
      <c r="U375" s="3">
        <f t="shared" si="112"/>
        <v>45300</v>
      </c>
      <c r="V375" s="8">
        <v>-0.45</v>
      </c>
      <c r="W375" s="8">
        <v>-2.11</v>
      </c>
      <c r="X375" s="5">
        <f t="shared" si="113"/>
        <v>1.66</v>
      </c>
      <c r="Y375" s="23">
        <f t="shared" si="114"/>
        <v>0.19752289156626504</v>
      </c>
      <c r="Z375" s="23">
        <f t="shared" si="98"/>
        <v>8947.7869879518057</v>
      </c>
      <c r="AA375" s="11">
        <f t="shared" si="99"/>
        <v>3.0456073888120558</v>
      </c>
      <c r="AB375" s="11">
        <f t="shared" si="100"/>
        <v>137966.01471318613</v>
      </c>
    </row>
    <row r="376" spans="1:28" ht="17.25" customHeight="1" x14ac:dyDescent="0.2">
      <c r="A376" t="s">
        <v>7</v>
      </c>
      <c r="B376" s="20">
        <v>72</v>
      </c>
      <c r="C376" s="20">
        <v>155</v>
      </c>
      <c r="D376" s="20">
        <v>59</v>
      </c>
      <c r="E376" t="s">
        <v>75</v>
      </c>
      <c r="F376" s="26">
        <v>45161</v>
      </c>
      <c r="G376" t="s">
        <v>76</v>
      </c>
      <c r="H376" s="5">
        <v>45.09</v>
      </c>
      <c r="I376" s="5">
        <v>31.42</v>
      </c>
      <c r="J376" s="5">
        <v>30.74</v>
      </c>
      <c r="K376" s="5">
        <v>2.35</v>
      </c>
      <c r="L376" s="5">
        <v>0.1</v>
      </c>
      <c r="M376" s="3">
        <f t="shared" si="97"/>
        <v>100</v>
      </c>
      <c r="N376" s="5">
        <v>2.2599999999999998</v>
      </c>
      <c r="O376" s="23">
        <f t="shared" si="108"/>
        <v>2.2599999999999999E-3</v>
      </c>
      <c r="P376" s="23">
        <f t="shared" si="109"/>
        <v>4.0679999999999994E-2</v>
      </c>
      <c r="Q376" s="7">
        <f t="shared" si="110"/>
        <v>4.0679999999999997E-5</v>
      </c>
      <c r="R376" s="23">
        <f t="shared" si="111"/>
        <v>0.14644799999999999</v>
      </c>
      <c r="S376" s="5">
        <v>16.940000000000001</v>
      </c>
      <c r="T376" s="5">
        <v>3.17</v>
      </c>
      <c r="U376" s="3">
        <f t="shared" si="112"/>
        <v>31700</v>
      </c>
      <c r="V376" s="8">
        <v>-0.2</v>
      </c>
      <c r="W376" s="8">
        <v>-2.0699999999999998</v>
      </c>
      <c r="X376" s="5">
        <f t="shared" si="113"/>
        <v>1.8699999999999999</v>
      </c>
      <c r="Y376" s="23">
        <f t="shared" si="114"/>
        <v>7.8314438502673805E-2</v>
      </c>
      <c r="Z376" s="23">
        <f t="shared" si="98"/>
        <v>2482.5677005347598</v>
      </c>
      <c r="AA376" s="11">
        <f t="shared" si="99"/>
        <v>1.2075310900073255</v>
      </c>
      <c r="AB376" s="11">
        <f t="shared" si="100"/>
        <v>38278.735553232218</v>
      </c>
    </row>
    <row r="377" spans="1:28" ht="17.25" customHeight="1" x14ac:dyDescent="0.2">
      <c r="A377" t="s">
        <v>7</v>
      </c>
      <c r="B377" s="20">
        <v>72</v>
      </c>
      <c r="C377" s="20">
        <v>155</v>
      </c>
      <c r="D377" s="20">
        <v>60</v>
      </c>
      <c r="E377" t="s">
        <v>75</v>
      </c>
      <c r="F377" s="26">
        <v>45162</v>
      </c>
      <c r="G377" t="s">
        <v>76</v>
      </c>
      <c r="H377" s="5">
        <v>33.19</v>
      </c>
      <c r="I377" s="5">
        <v>34.72</v>
      </c>
      <c r="J377" s="5">
        <v>31.96</v>
      </c>
      <c r="K377" s="5">
        <v>2.91</v>
      </c>
      <c r="L377" s="5">
        <v>0.13</v>
      </c>
      <c r="M377" s="3">
        <f t="shared" si="97"/>
        <v>130</v>
      </c>
      <c r="N377" s="5">
        <v>3.59</v>
      </c>
      <c r="O377" s="23">
        <f t="shared" si="108"/>
        <v>3.5899999999999999E-3</v>
      </c>
      <c r="P377" s="23">
        <f t="shared" si="109"/>
        <v>6.4619999999999997E-2</v>
      </c>
      <c r="Q377" s="7">
        <f t="shared" si="110"/>
        <v>6.4620000000000001E-5</v>
      </c>
      <c r="R377" s="23">
        <f t="shared" si="111"/>
        <v>0.23263200000000001</v>
      </c>
      <c r="S377" s="5">
        <v>22.24</v>
      </c>
      <c r="T377" s="5">
        <v>4.22</v>
      </c>
      <c r="U377" s="3">
        <f t="shared" si="112"/>
        <v>42200</v>
      </c>
      <c r="V377" s="8">
        <v>-0.31</v>
      </c>
      <c r="W377" s="8">
        <v>-1.89</v>
      </c>
      <c r="X377" s="5">
        <f t="shared" si="113"/>
        <v>1.5799999999999998</v>
      </c>
      <c r="Y377" s="23">
        <f t="shared" si="114"/>
        <v>0.1472354430379747</v>
      </c>
      <c r="Z377" s="23">
        <f t="shared" si="98"/>
        <v>6213.3356962025327</v>
      </c>
      <c r="AA377" s="11">
        <f t="shared" si="99"/>
        <v>2.2702247301854421</v>
      </c>
      <c r="AB377" s="11">
        <f t="shared" si="100"/>
        <v>95803.483613825665</v>
      </c>
    </row>
    <row r="378" spans="1:28" ht="17.25" customHeight="1" x14ac:dyDescent="0.2">
      <c r="A378" t="s">
        <v>7</v>
      </c>
      <c r="B378" s="20">
        <v>72</v>
      </c>
      <c r="C378" s="20">
        <v>5</v>
      </c>
      <c r="D378" s="20">
        <v>61</v>
      </c>
      <c r="E378" t="s">
        <v>75</v>
      </c>
      <c r="F378" s="26">
        <v>45162</v>
      </c>
      <c r="G378" t="s">
        <v>76</v>
      </c>
      <c r="H378" s="5">
        <v>33.9</v>
      </c>
      <c r="I378" s="5">
        <v>34.26</v>
      </c>
      <c r="J378" s="5">
        <v>30.48</v>
      </c>
      <c r="K378" s="5">
        <v>2.5299999999999998</v>
      </c>
      <c r="L378" s="5">
        <v>0.14000000000000001</v>
      </c>
      <c r="M378" s="3">
        <f t="shared" si="97"/>
        <v>140</v>
      </c>
      <c r="N378" s="5">
        <v>3.29</v>
      </c>
      <c r="O378" s="23">
        <f t="shared" si="108"/>
        <v>3.29E-3</v>
      </c>
      <c r="P378" s="23">
        <f t="shared" si="109"/>
        <v>5.9220000000000002E-2</v>
      </c>
      <c r="Q378" s="7">
        <f t="shared" si="110"/>
        <v>5.9219999999999999E-5</v>
      </c>
      <c r="R378" s="23">
        <f t="shared" si="111"/>
        <v>0.21319199999999999</v>
      </c>
      <c r="S378" s="5">
        <v>5.59</v>
      </c>
      <c r="T378" s="5">
        <v>1.83</v>
      </c>
      <c r="U378" s="3">
        <f t="shared" si="112"/>
        <v>18300</v>
      </c>
      <c r="V378" s="8">
        <v>-0.36</v>
      </c>
      <c r="W378" s="8">
        <v>-1.68</v>
      </c>
      <c r="X378" s="5">
        <f t="shared" si="113"/>
        <v>1.3199999999999998</v>
      </c>
      <c r="Y378" s="23">
        <f t="shared" si="114"/>
        <v>0.16150909090909094</v>
      </c>
      <c r="Z378" s="23">
        <f t="shared" si="98"/>
        <v>2955.616363636364</v>
      </c>
      <c r="AA378" s="11">
        <f t="shared" si="99"/>
        <v>2.490310245726759</v>
      </c>
      <c r="AB378" s="11">
        <f t="shared" si="100"/>
        <v>45572.67749679969</v>
      </c>
    </row>
    <row r="379" spans="1:28" ht="17.25" customHeight="1" x14ac:dyDescent="0.2">
      <c r="A379" t="s">
        <v>7</v>
      </c>
      <c r="B379" s="20">
        <v>72</v>
      </c>
      <c r="C379" s="20">
        <v>5</v>
      </c>
      <c r="D379" s="20">
        <v>63</v>
      </c>
      <c r="E379" t="s">
        <v>75</v>
      </c>
      <c r="F379" s="26">
        <v>45161</v>
      </c>
      <c r="G379" t="s">
        <v>76</v>
      </c>
      <c r="H379" s="5">
        <v>47.94</v>
      </c>
      <c r="I379" s="5">
        <v>30.98</v>
      </c>
      <c r="J379" s="5">
        <v>29.45</v>
      </c>
      <c r="K379" s="5">
        <v>1.96</v>
      </c>
      <c r="L379" s="5">
        <v>0.28000000000000003</v>
      </c>
      <c r="M379" s="3">
        <f t="shared" si="97"/>
        <v>280</v>
      </c>
      <c r="N379" s="5">
        <v>5.2</v>
      </c>
      <c r="O379" s="23">
        <f t="shared" si="108"/>
        <v>5.1999999999999998E-3</v>
      </c>
      <c r="P379" s="23">
        <f t="shared" si="109"/>
        <v>9.3599999999999989E-2</v>
      </c>
      <c r="Q379" s="7">
        <f t="shared" si="110"/>
        <v>9.3599999999999985E-5</v>
      </c>
      <c r="R379" s="23">
        <f t="shared" si="111"/>
        <v>0.33695999999999993</v>
      </c>
      <c r="S379" s="5">
        <v>13.53</v>
      </c>
      <c r="T379" s="5">
        <v>2.78</v>
      </c>
      <c r="U379" s="5">
        <f t="shared" si="112"/>
        <v>27799.999999999996</v>
      </c>
      <c r="V379" s="8">
        <v>-0.36</v>
      </c>
      <c r="W379" s="8">
        <v>-2.1800000000000002</v>
      </c>
      <c r="X379" s="5">
        <f t="shared" si="113"/>
        <v>1.8200000000000003</v>
      </c>
      <c r="Y379" s="23">
        <f t="shared" si="114"/>
        <v>0.18514285714285708</v>
      </c>
      <c r="Z379" s="23">
        <f t="shared" si="98"/>
        <v>5146.9714285714263</v>
      </c>
      <c r="AA379" s="11">
        <f t="shared" si="99"/>
        <v>2.8547195174635869</v>
      </c>
      <c r="AB379" s="11">
        <f t="shared" si="100"/>
        <v>79361.202585487699</v>
      </c>
    </row>
    <row r="380" spans="1:28" ht="17.25" customHeight="1" x14ac:dyDescent="0.2">
      <c r="A380" t="s">
        <v>7</v>
      </c>
      <c r="B380" s="20">
        <v>72</v>
      </c>
      <c r="C380" s="20">
        <v>5</v>
      </c>
      <c r="D380" s="20">
        <v>85</v>
      </c>
      <c r="E380" t="s">
        <v>75</v>
      </c>
      <c r="F380" s="26">
        <v>45162</v>
      </c>
      <c r="G380" t="s">
        <v>76</v>
      </c>
      <c r="H380" s="5">
        <v>33.119999999999997</v>
      </c>
      <c r="I380" s="5">
        <v>34.619999999999997</v>
      </c>
      <c r="J380" s="5">
        <v>31.28</v>
      </c>
      <c r="K380" s="5">
        <v>2.74</v>
      </c>
      <c r="L380" s="5">
        <v>0.18</v>
      </c>
      <c r="M380" s="3">
        <f t="shared" si="97"/>
        <v>180</v>
      </c>
      <c r="N380" s="5">
        <v>4.75</v>
      </c>
      <c r="O380" s="23">
        <f t="shared" si="108"/>
        <v>4.7499999999999999E-3</v>
      </c>
      <c r="P380" s="23">
        <f t="shared" si="109"/>
        <v>8.5499999999999993E-2</v>
      </c>
      <c r="Q380" s="7">
        <f t="shared" si="110"/>
        <v>8.5499999999999991E-5</v>
      </c>
      <c r="R380" s="23">
        <f t="shared" si="111"/>
        <v>0.30779999999999996</v>
      </c>
      <c r="S380" s="5">
        <v>8.26</v>
      </c>
      <c r="T380" s="5">
        <v>2.33</v>
      </c>
      <c r="U380" s="3">
        <f t="shared" si="112"/>
        <v>23300</v>
      </c>
      <c r="V380" s="8">
        <v>-0.36</v>
      </c>
      <c r="W380" s="8">
        <v>-1.93</v>
      </c>
      <c r="X380" s="5">
        <f t="shared" si="113"/>
        <v>1.5699999999999998</v>
      </c>
      <c r="Y380" s="23">
        <f t="shared" si="114"/>
        <v>0.19605095541401274</v>
      </c>
      <c r="Z380" s="23">
        <f t="shared" si="98"/>
        <v>4567.9872611464971</v>
      </c>
      <c r="AA380" s="11">
        <f t="shared" si="99"/>
        <v>3.0229115909447226</v>
      </c>
      <c r="AB380" s="11">
        <f t="shared" si="100"/>
        <v>70433.840069012032</v>
      </c>
    </row>
    <row r="381" spans="1:28" ht="17.25" customHeight="1" x14ac:dyDescent="0.2">
      <c r="A381" t="s">
        <v>8</v>
      </c>
      <c r="B381" s="20">
        <v>1521</v>
      </c>
      <c r="C381" s="20">
        <v>153</v>
      </c>
      <c r="D381" s="20">
        <v>69</v>
      </c>
      <c r="E381" t="s">
        <v>75</v>
      </c>
      <c r="F381" s="26">
        <v>45162</v>
      </c>
      <c r="G381" t="s">
        <v>76</v>
      </c>
      <c r="H381" s="5">
        <v>33.950000000000003</v>
      </c>
      <c r="I381" s="5">
        <v>34.14</v>
      </c>
      <c r="J381" s="5">
        <v>29.54</v>
      </c>
      <c r="K381" s="5">
        <v>2.31</v>
      </c>
      <c r="L381" s="5">
        <v>0.21</v>
      </c>
      <c r="M381" s="3">
        <f t="shared" si="97"/>
        <v>210</v>
      </c>
      <c r="N381" s="5">
        <v>4.55</v>
      </c>
      <c r="O381" s="23">
        <f t="shared" si="108"/>
        <v>4.5500000000000002E-3</v>
      </c>
      <c r="P381" s="23">
        <f t="shared" si="109"/>
        <v>8.1900000000000001E-2</v>
      </c>
      <c r="Q381" s="7">
        <f t="shared" si="110"/>
        <v>8.1899999999999999E-5</v>
      </c>
      <c r="R381" s="23">
        <f t="shared" si="111"/>
        <v>0.29483999999999999</v>
      </c>
      <c r="S381" s="5">
        <v>1.89</v>
      </c>
      <c r="T381" s="5">
        <v>0.42</v>
      </c>
      <c r="U381" s="3">
        <f t="shared" si="112"/>
        <v>4200</v>
      </c>
      <c r="V381" s="8">
        <v>-0.35</v>
      </c>
      <c r="W381" s="8">
        <v>-1.99</v>
      </c>
      <c r="X381" s="5">
        <f t="shared" si="113"/>
        <v>1.6400000000000001</v>
      </c>
      <c r="Y381" s="23">
        <f t="shared" si="114"/>
        <v>0.17978048780487804</v>
      </c>
      <c r="Z381" s="23">
        <f t="shared" si="98"/>
        <v>755.07804878048773</v>
      </c>
      <c r="AA381" s="11">
        <f t="shared" si="99"/>
        <v>2.7720370924151001</v>
      </c>
      <c r="AB381" s="11">
        <f t="shared" si="100"/>
        <v>11642.55578814342</v>
      </c>
    </row>
    <row r="382" spans="1:28" ht="17.25" customHeight="1" x14ac:dyDescent="0.2">
      <c r="A382" t="s">
        <v>8</v>
      </c>
      <c r="B382" s="20">
        <v>1521</v>
      </c>
      <c r="C382" s="20">
        <v>153</v>
      </c>
      <c r="D382" s="20">
        <v>76</v>
      </c>
      <c r="E382" t="s">
        <v>75</v>
      </c>
      <c r="F382" s="26">
        <v>45162</v>
      </c>
      <c r="G382" t="s">
        <v>76</v>
      </c>
      <c r="H382" s="5">
        <v>33.99</v>
      </c>
      <c r="I382" s="5">
        <v>33.869999999999997</v>
      </c>
      <c r="J382" s="5">
        <v>30.27</v>
      </c>
      <c r="K382" s="5">
        <v>2.52</v>
      </c>
      <c r="L382" s="5">
        <v>0.17</v>
      </c>
      <c r="M382" s="3">
        <f t="shared" si="97"/>
        <v>170</v>
      </c>
      <c r="N382" s="5">
        <v>3.93</v>
      </c>
      <c r="O382" s="23">
        <f t="shared" si="108"/>
        <v>3.9300000000000003E-3</v>
      </c>
      <c r="P382" s="23">
        <f t="shared" si="109"/>
        <v>7.0740000000000011E-2</v>
      </c>
      <c r="Q382" s="7">
        <f t="shared" si="110"/>
        <v>7.0740000000000017E-5</v>
      </c>
      <c r="R382" s="23">
        <f t="shared" si="111"/>
        <v>0.25466400000000006</v>
      </c>
      <c r="S382" s="5">
        <v>1.63</v>
      </c>
      <c r="T382" s="5">
        <v>0.4</v>
      </c>
      <c r="U382" s="3">
        <f t="shared" si="112"/>
        <v>4000</v>
      </c>
      <c r="V382" s="8">
        <v>-0.34</v>
      </c>
      <c r="W382" s="8">
        <v>-1.83</v>
      </c>
      <c r="X382" s="5">
        <f t="shared" si="113"/>
        <v>1.49</v>
      </c>
      <c r="Y382" s="23">
        <f t="shared" si="114"/>
        <v>0.17091543624161079</v>
      </c>
      <c r="Z382" s="23">
        <f t="shared" si="98"/>
        <v>683.66174496644317</v>
      </c>
      <c r="AA382" s="11">
        <f t="shared" si="99"/>
        <v>2.635346776020917</v>
      </c>
      <c r="AB382" s="11">
        <f t="shared" si="100"/>
        <v>10541.387104083668</v>
      </c>
    </row>
    <row r="383" spans="1:28" ht="17.25" customHeight="1" x14ac:dyDescent="0.2">
      <c r="A383" t="s">
        <v>8</v>
      </c>
      <c r="B383" s="20">
        <v>1521</v>
      </c>
      <c r="C383" s="20">
        <v>153</v>
      </c>
      <c r="D383" s="20">
        <v>90</v>
      </c>
      <c r="E383" t="s">
        <v>75</v>
      </c>
      <c r="F383" s="26">
        <v>45161</v>
      </c>
      <c r="G383" t="s">
        <v>76</v>
      </c>
      <c r="H383" s="5">
        <v>37.89</v>
      </c>
      <c r="I383" s="5">
        <v>34.26</v>
      </c>
      <c r="J383" s="5">
        <v>30.7</v>
      </c>
      <c r="K383" s="5">
        <v>2.37</v>
      </c>
      <c r="L383" s="5">
        <v>0.3</v>
      </c>
      <c r="M383" s="3">
        <f t="shared" si="97"/>
        <v>300</v>
      </c>
      <c r="N383" s="5">
        <v>6.64</v>
      </c>
      <c r="O383" s="23">
        <f t="shared" si="108"/>
        <v>6.6400000000000001E-3</v>
      </c>
      <c r="P383" s="23">
        <f t="shared" si="109"/>
        <v>0.11952</v>
      </c>
      <c r="Q383" s="7">
        <f t="shared" si="110"/>
        <v>1.1952000000000001E-4</v>
      </c>
      <c r="R383" s="23">
        <f t="shared" si="111"/>
        <v>0.43027200000000004</v>
      </c>
      <c r="S383" s="5">
        <v>3.81</v>
      </c>
      <c r="T383" s="5">
        <v>0.53</v>
      </c>
      <c r="U383" s="3">
        <f t="shared" si="112"/>
        <v>5300</v>
      </c>
      <c r="V383" s="8">
        <v>-0.38</v>
      </c>
      <c r="W383" s="8">
        <v>-1.98</v>
      </c>
      <c r="X383" s="5">
        <f t="shared" si="113"/>
        <v>1.6</v>
      </c>
      <c r="Y383" s="23">
        <f t="shared" si="114"/>
        <v>0.26891999999999999</v>
      </c>
      <c r="Z383" s="23">
        <f t="shared" si="98"/>
        <v>1425.2760000000001</v>
      </c>
      <c r="AA383" s="11">
        <f t="shared" si="99"/>
        <v>4.1464800991158617</v>
      </c>
      <c r="AB383" s="11">
        <f t="shared" si="100"/>
        <v>21976.344525314067</v>
      </c>
    </row>
    <row r="384" spans="1:28" ht="17.25" customHeight="1" x14ac:dyDescent="0.2">
      <c r="A384" t="s">
        <v>8</v>
      </c>
      <c r="B384" s="20">
        <v>1521</v>
      </c>
      <c r="C384" s="20">
        <v>155</v>
      </c>
      <c r="D384" s="20">
        <v>62</v>
      </c>
      <c r="E384" t="s">
        <v>75</v>
      </c>
      <c r="F384" s="26">
        <v>45161</v>
      </c>
      <c r="G384" t="s">
        <v>76</v>
      </c>
      <c r="H384" s="5">
        <v>43.71</v>
      </c>
      <c r="I384" s="5">
        <v>32.619999999999997</v>
      </c>
      <c r="J384" s="5">
        <v>30.71</v>
      </c>
      <c r="K384" s="5">
        <v>2.27</v>
      </c>
      <c r="L384" s="5">
        <v>0.26</v>
      </c>
      <c r="M384" s="3">
        <f t="shared" si="97"/>
        <v>260</v>
      </c>
      <c r="N384" s="5">
        <v>5.63</v>
      </c>
      <c r="O384" s="23">
        <f t="shared" si="108"/>
        <v>5.6299999999999996E-3</v>
      </c>
      <c r="P384" s="23">
        <f t="shared" si="109"/>
        <v>0.10133999999999999</v>
      </c>
      <c r="Q384" s="7">
        <f t="shared" si="110"/>
        <v>1.0133999999999999E-4</v>
      </c>
      <c r="R384" s="23">
        <f t="shared" si="111"/>
        <v>0.36482399999999998</v>
      </c>
      <c r="S384" s="5">
        <v>1.17</v>
      </c>
      <c r="T384" s="5">
        <v>0.44</v>
      </c>
      <c r="U384" s="3">
        <f t="shared" si="112"/>
        <v>4400</v>
      </c>
      <c r="V384" s="8">
        <v>-0.41</v>
      </c>
      <c r="W384" s="8">
        <v>-1.73</v>
      </c>
      <c r="X384" s="5">
        <f t="shared" si="113"/>
        <v>1.32</v>
      </c>
      <c r="Y384" s="23">
        <f t="shared" si="114"/>
        <v>0.27638181818181817</v>
      </c>
      <c r="Z384" s="23">
        <f t="shared" si="98"/>
        <v>1216.08</v>
      </c>
      <c r="AA384" s="11">
        <f t="shared" si="99"/>
        <v>4.2615339463348478</v>
      </c>
      <c r="AB384" s="11">
        <f t="shared" si="100"/>
        <v>18750.749363873332</v>
      </c>
    </row>
    <row r="385" spans="1:28" ht="17.25" customHeight="1" x14ac:dyDescent="0.2">
      <c r="A385" t="s">
        <v>8</v>
      </c>
      <c r="B385" s="20">
        <v>1521</v>
      </c>
      <c r="C385" s="20">
        <v>155</v>
      </c>
      <c r="D385" s="20">
        <v>64</v>
      </c>
      <c r="E385" t="s">
        <v>75</v>
      </c>
      <c r="F385" s="26">
        <v>45161</v>
      </c>
      <c r="G385" t="s">
        <v>76</v>
      </c>
      <c r="H385" s="5">
        <v>47.52</v>
      </c>
      <c r="I385" s="5">
        <v>30.16</v>
      </c>
      <c r="J385" s="5">
        <v>28.64</v>
      </c>
      <c r="K385" s="5">
        <v>1.89</v>
      </c>
      <c r="L385" s="5">
        <v>0.28999999999999998</v>
      </c>
      <c r="M385" s="3">
        <f t="shared" si="97"/>
        <v>290</v>
      </c>
      <c r="N385" s="5">
        <v>5.24</v>
      </c>
      <c r="O385" s="23">
        <f t="shared" si="108"/>
        <v>5.2399999999999999E-3</v>
      </c>
      <c r="P385" s="23">
        <f t="shared" si="109"/>
        <v>9.4320000000000001E-2</v>
      </c>
      <c r="Q385" s="7">
        <f t="shared" si="110"/>
        <v>9.4320000000000005E-5</v>
      </c>
      <c r="R385" s="23">
        <f t="shared" si="111"/>
        <v>0.33955200000000002</v>
      </c>
      <c r="S385" s="5">
        <v>1.37</v>
      </c>
      <c r="T385" s="5">
        <v>0.45</v>
      </c>
      <c r="U385" s="3">
        <f t="shared" si="112"/>
        <v>4500</v>
      </c>
      <c r="V385" s="8">
        <v>-0.84</v>
      </c>
      <c r="W385" s="8">
        <v>-1.76</v>
      </c>
      <c r="X385" s="5">
        <f t="shared" si="113"/>
        <v>0.92</v>
      </c>
      <c r="Y385" s="23">
        <f t="shared" si="114"/>
        <v>0.36907826086956524</v>
      </c>
      <c r="Z385" s="23">
        <f t="shared" si="98"/>
        <v>1660.8521739130435</v>
      </c>
      <c r="AA385" s="11">
        <f t="shared" si="99"/>
        <v>5.6908212989437175</v>
      </c>
      <c r="AB385" s="11">
        <f t="shared" si="100"/>
        <v>25608.69584524673</v>
      </c>
    </row>
    <row r="386" spans="1:28" ht="17.25" customHeight="1" x14ac:dyDescent="0.2">
      <c r="A386" t="s">
        <v>8</v>
      </c>
      <c r="B386" s="20">
        <v>1521</v>
      </c>
      <c r="C386" s="20">
        <v>155</v>
      </c>
      <c r="D386" s="20">
        <v>66</v>
      </c>
      <c r="E386" t="s">
        <v>75</v>
      </c>
      <c r="F386" s="26">
        <v>45162</v>
      </c>
      <c r="G386" t="s">
        <v>76</v>
      </c>
      <c r="H386" s="5">
        <v>33.74</v>
      </c>
      <c r="I386" s="5">
        <v>34.630000000000003</v>
      </c>
      <c r="J386" s="5">
        <v>30.25</v>
      </c>
      <c r="K386" s="5">
        <v>2.4500000000000002</v>
      </c>
      <c r="L386" s="5">
        <v>0.23</v>
      </c>
      <c r="M386" s="3">
        <f t="shared" si="97"/>
        <v>230</v>
      </c>
      <c r="N386" s="5">
        <v>5.38</v>
      </c>
      <c r="O386" s="23">
        <f t="shared" si="108"/>
        <v>5.3800000000000002E-3</v>
      </c>
      <c r="P386" s="23">
        <f t="shared" si="109"/>
        <v>9.6840000000000009E-2</v>
      </c>
      <c r="Q386" s="7">
        <f t="shared" si="110"/>
        <v>9.6840000000000015E-5</v>
      </c>
      <c r="R386" s="23">
        <f t="shared" si="111"/>
        <v>0.34862400000000004</v>
      </c>
      <c r="S386" s="5">
        <v>3.21</v>
      </c>
      <c r="T386" s="5">
        <v>0.68</v>
      </c>
      <c r="U386" s="5">
        <f t="shared" si="112"/>
        <v>6800.0000000000009</v>
      </c>
      <c r="V386" s="8">
        <v>-0.62</v>
      </c>
      <c r="W386" s="8">
        <v>-2.04</v>
      </c>
      <c r="X386" s="5">
        <f t="shared" si="113"/>
        <v>1.42</v>
      </c>
      <c r="Y386" s="23">
        <f t="shared" si="114"/>
        <v>0.24550985915492962</v>
      </c>
      <c r="Z386" s="23">
        <f t="shared" si="98"/>
        <v>1669.4670422535216</v>
      </c>
      <c r="AA386" s="11">
        <f t="shared" si="99"/>
        <v>3.7855189094253077</v>
      </c>
      <c r="AB386" s="11">
        <f t="shared" si="100"/>
        <v>25741.528584092095</v>
      </c>
    </row>
    <row r="387" spans="1:28" ht="17.25" customHeight="1" x14ac:dyDescent="0.2">
      <c r="A387" t="s">
        <v>8</v>
      </c>
      <c r="B387" s="20">
        <v>1521</v>
      </c>
      <c r="C387" s="20">
        <v>156</v>
      </c>
      <c r="D387" s="20">
        <v>71</v>
      </c>
      <c r="E387" t="s">
        <v>75</v>
      </c>
      <c r="F387" s="26">
        <v>45161</v>
      </c>
      <c r="G387" t="s">
        <v>76</v>
      </c>
      <c r="H387" s="5">
        <v>41.23</v>
      </c>
      <c r="I387" s="5">
        <v>32.85</v>
      </c>
      <c r="J387" s="5">
        <v>30.51</v>
      </c>
      <c r="K387" s="5">
        <v>2.31</v>
      </c>
      <c r="L387" s="5">
        <v>0.27</v>
      </c>
      <c r="M387" s="3">
        <f t="shared" ref="M387:M450" si="115">L387*1000</f>
        <v>270</v>
      </c>
      <c r="N387" s="5">
        <v>5.92</v>
      </c>
      <c r="O387" s="23">
        <f t="shared" si="108"/>
        <v>5.9199999999999999E-3</v>
      </c>
      <c r="P387" s="23">
        <f t="shared" si="109"/>
        <v>0.10656</v>
      </c>
      <c r="Q387" s="7">
        <f t="shared" si="110"/>
        <v>1.0656E-4</v>
      </c>
      <c r="R387" s="23">
        <f t="shared" si="111"/>
        <v>0.38361600000000001</v>
      </c>
      <c r="S387" s="5">
        <v>3.35</v>
      </c>
      <c r="T387" s="5">
        <v>0.65</v>
      </c>
      <c r="U387" s="3">
        <f t="shared" si="112"/>
        <v>6500</v>
      </c>
      <c r="V387" s="8">
        <v>-0.46</v>
      </c>
      <c r="W387" s="8">
        <v>-1.73</v>
      </c>
      <c r="X387" s="5">
        <f t="shared" si="113"/>
        <v>1.27</v>
      </c>
      <c r="Y387" s="23">
        <f t="shared" si="114"/>
        <v>0.30205984251968504</v>
      </c>
      <c r="Z387" s="23">
        <f t="shared" ref="Z387:Z450" si="116">Y387*U387</f>
        <v>1963.3889763779528</v>
      </c>
      <c r="AA387" s="11">
        <f t="shared" ref="AA387:AA450" si="117">Y387 * 1000 * 1000 / 18.01528 / 3600</f>
        <v>4.6574636536886249</v>
      </c>
      <c r="AB387" s="11">
        <f t="shared" ref="AB387:AB450" si="118">AA387*U387</f>
        <v>30273.513748976064</v>
      </c>
    </row>
    <row r="388" spans="1:28" ht="17.25" customHeight="1" x14ac:dyDescent="0.2">
      <c r="A388" t="s">
        <v>8</v>
      </c>
      <c r="B388" s="20">
        <v>1521</v>
      </c>
      <c r="C388" s="20">
        <v>156</v>
      </c>
      <c r="D388" s="20">
        <v>74</v>
      </c>
      <c r="E388" t="s">
        <v>75</v>
      </c>
      <c r="F388" s="26">
        <v>45162</v>
      </c>
      <c r="G388" t="s">
        <v>76</v>
      </c>
      <c r="H388" s="5">
        <v>34.32</v>
      </c>
      <c r="I388" s="5">
        <v>33.82</v>
      </c>
      <c r="J388" s="5">
        <v>31.32</v>
      </c>
      <c r="K388" s="5">
        <v>2.78</v>
      </c>
      <c r="L388" s="5">
        <v>0.11</v>
      </c>
      <c r="M388" s="3">
        <f t="shared" si="115"/>
        <v>110</v>
      </c>
      <c r="N388" s="5">
        <v>2.8</v>
      </c>
      <c r="O388" s="23">
        <f t="shared" si="108"/>
        <v>2.8E-3</v>
      </c>
      <c r="P388" s="23">
        <f t="shared" si="109"/>
        <v>5.04E-2</v>
      </c>
      <c r="Q388" s="7">
        <f t="shared" si="110"/>
        <v>5.0399999999999999E-5</v>
      </c>
      <c r="R388" s="23">
        <f t="shared" si="111"/>
        <v>0.18143999999999999</v>
      </c>
      <c r="S388" s="5">
        <v>2.92</v>
      </c>
      <c r="T388" s="5">
        <v>0.64</v>
      </c>
      <c r="U388" s="3">
        <f t="shared" si="112"/>
        <v>6400</v>
      </c>
      <c r="V388" s="8">
        <v>-0.63</v>
      </c>
      <c r="W388" s="8">
        <v>-1.81</v>
      </c>
      <c r="X388" s="5">
        <f t="shared" si="113"/>
        <v>1.1800000000000002</v>
      </c>
      <c r="Y388" s="23">
        <f t="shared" si="114"/>
        <v>0.15376271186440674</v>
      </c>
      <c r="Z388" s="23">
        <f t="shared" si="116"/>
        <v>984.08135593220311</v>
      </c>
      <c r="AA388" s="11">
        <f t="shared" si="117"/>
        <v>2.3708687517917926</v>
      </c>
      <c r="AB388" s="11">
        <f t="shared" si="118"/>
        <v>15173.560011467473</v>
      </c>
    </row>
    <row r="389" spans="1:28" ht="17.25" customHeight="1" x14ac:dyDescent="0.2">
      <c r="A389" t="s">
        <v>8</v>
      </c>
      <c r="B389" s="20">
        <v>1521</v>
      </c>
      <c r="C389" s="20">
        <v>156</v>
      </c>
      <c r="D389" s="20">
        <v>75</v>
      </c>
      <c r="E389" t="s">
        <v>75</v>
      </c>
      <c r="F389" s="26">
        <v>45162</v>
      </c>
      <c r="G389" t="s">
        <v>76</v>
      </c>
      <c r="H389" s="5">
        <v>33.07</v>
      </c>
      <c r="I389" s="5">
        <v>34.65</v>
      </c>
      <c r="J389" s="5">
        <v>30.78</v>
      </c>
      <c r="K389" s="5">
        <v>2.61</v>
      </c>
      <c r="L389" s="5">
        <v>0.19</v>
      </c>
      <c r="M389" s="3">
        <f t="shared" si="115"/>
        <v>190</v>
      </c>
      <c r="N389" s="5">
        <v>4.63</v>
      </c>
      <c r="O389" s="23">
        <f t="shared" si="108"/>
        <v>4.6299999999999996E-3</v>
      </c>
      <c r="P389" s="23">
        <f t="shared" si="109"/>
        <v>8.3339999999999997E-2</v>
      </c>
      <c r="Q389" s="7">
        <f t="shared" si="110"/>
        <v>8.3339999999999998E-5</v>
      </c>
      <c r="R389" s="23">
        <f t="shared" si="111"/>
        <v>0.30002400000000001</v>
      </c>
      <c r="S389" s="5">
        <v>2.78</v>
      </c>
      <c r="T389" s="5">
        <v>0.57999999999999996</v>
      </c>
      <c r="U389" s="3">
        <f t="shared" si="112"/>
        <v>5800</v>
      </c>
      <c r="V389" s="8">
        <v>-0.35</v>
      </c>
      <c r="W389" s="8">
        <v>-1.48</v>
      </c>
      <c r="X389" s="5">
        <f t="shared" si="113"/>
        <v>1.1299999999999999</v>
      </c>
      <c r="Y389" s="23">
        <f t="shared" si="114"/>
        <v>0.26550796460176995</v>
      </c>
      <c r="Z389" s="23">
        <f t="shared" si="116"/>
        <v>1539.9461946902657</v>
      </c>
      <c r="AA389" s="11">
        <f t="shared" si="117"/>
        <v>4.0938698920794208</v>
      </c>
      <c r="AB389" s="11">
        <f t="shared" si="118"/>
        <v>23744.44537406064</v>
      </c>
    </row>
    <row r="390" spans="1:28" ht="17.25" customHeight="1" x14ac:dyDescent="0.2">
      <c r="A390" t="s">
        <v>8</v>
      </c>
      <c r="B390" s="20">
        <v>1521</v>
      </c>
      <c r="C390" s="20">
        <v>157</v>
      </c>
      <c r="D390" s="20">
        <v>67</v>
      </c>
      <c r="E390" t="s">
        <v>75</v>
      </c>
      <c r="F390" s="26">
        <v>45162</v>
      </c>
      <c r="G390" t="s">
        <v>76</v>
      </c>
      <c r="H390" s="5">
        <v>33.5</v>
      </c>
      <c r="I390" s="5">
        <v>34.53</v>
      </c>
      <c r="J390" s="5">
        <v>31.67</v>
      </c>
      <c r="K390" s="5">
        <v>2.83</v>
      </c>
      <c r="L390" s="5">
        <v>0.2</v>
      </c>
      <c r="M390" s="3">
        <f t="shared" si="115"/>
        <v>200</v>
      </c>
      <c r="N390" s="5">
        <v>5.43</v>
      </c>
      <c r="O390" s="23">
        <f t="shared" si="108"/>
        <v>5.4299999999999999E-3</v>
      </c>
      <c r="P390" s="23">
        <f t="shared" si="109"/>
        <v>9.7739999999999994E-2</v>
      </c>
      <c r="Q390" s="7">
        <f t="shared" si="110"/>
        <v>9.7739999999999996E-5</v>
      </c>
      <c r="R390" s="23">
        <f t="shared" si="111"/>
        <v>0.35186400000000001</v>
      </c>
      <c r="S390" s="5">
        <v>2.46</v>
      </c>
      <c r="T390" s="5">
        <v>0.65</v>
      </c>
      <c r="U390" s="3">
        <f t="shared" si="112"/>
        <v>6500</v>
      </c>
      <c r="V390" s="8">
        <v>-0.52</v>
      </c>
      <c r="W390" s="8">
        <v>-1.61</v>
      </c>
      <c r="X390" s="5">
        <f t="shared" si="113"/>
        <v>1.0900000000000001</v>
      </c>
      <c r="Y390" s="23">
        <f t="shared" si="114"/>
        <v>0.32281100917431194</v>
      </c>
      <c r="Z390" s="23">
        <f t="shared" si="116"/>
        <v>2098.2715596330277</v>
      </c>
      <c r="AA390" s="11">
        <f t="shared" si="117"/>
        <v>4.9774260944399531</v>
      </c>
      <c r="AB390" s="11">
        <f t="shared" si="118"/>
        <v>32353.269613859695</v>
      </c>
    </row>
    <row r="391" spans="1:28" ht="17.25" customHeight="1" x14ac:dyDescent="0.2">
      <c r="A391" t="s">
        <v>8</v>
      </c>
      <c r="B391" s="20">
        <v>1521</v>
      </c>
      <c r="C391" s="20">
        <v>157</v>
      </c>
      <c r="D391" s="20">
        <v>68</v>
      </c>
      <c r="E391" t="s">
        <v>75</v>
      </c>
      <c r="F391" s="26">
        <v>45162</v>
      </c>
      <c r="G391" t="s">
        <v>76</v>
      </c>
      <c r="H391" s="5">
        <v>32.880000000000003</v>
      </c>
      <c r="I391" s="5">
        <v>34.770000000000003</v>
      </c>
      <c r="J391" s="5">
        <v>31.95</v>
      </c>
      <c r="K391" s="5">
        <v>2.92</v>
      </c>
      <c r="L391" s="5">
        <v>0.21</v>
      </c>
      <c r="M391" s="3">
        <f t="shared" si="115"/>
        <v>210</v>
      </c>
      <c r="N391" s="5">
        <v>5.63</v>
      </c>
      <c r="O391" s="23">
        <f t="shared" si="108"/>
        <v>5.6299999999999996E-3</v>
      </c>
      <c r="P391" s="23">
        <f t="shared" si="109"/>
        <v>0.10133999999999999</v>
      </c>
      <c r="Q391" s="7">
        <f t="shared" si="110"/>
        <v>1.0133999999999999E-4</v>
      </c>
      <c r="R391" s="23">
        <f t="shared" si="111"/>
        <v>0.36482399999999998</v>
      </c>
      <c r="S391" s="5">
        <v>2.9</v>
      </c>
      <c r="T391" s="5">
        <v>0.85</v>
      </c>
      <c r="U391" s="3">
        <f t="shared" si="112"/>
        <v>8500</v>
      </c>
      <c r="V391" s="8">
        <v>-0.68</v>
      </c>
      <c r="W391" s="8">
        <v>-1.79</v>
      </c>
      <c r="X391" s="5">
        <f t="shared" si="113"/>
        <v>1.1099999999999999</v>
      </c>
      <c r="Y391" s="23">
        <f t="shared" si="114"/>
        <v>0.32867027027027029</v>
      </c>
      <c r="Z391" s="23">
        <f t="shared" si="116"/>
        <v>2793.6972972972976</v>
      </c>
      <c r="AA391" s="11">
        <f t="shared" si="117"/>
        <v>5.0677700983441447</v>
      </c>
      <c r="AB391" s="11">
        <f t="shared" si="118"/>
        <v>43076.04583592523</v>
      </c>
    </row>
    <row r="392" spans="1:28" ht="17.25" customHeight="1" x14ac:dyDescent="0.2">
      <c r="A392" t="s">
        <v>8</v>
      </c>
      <c r="B392" s="20">
        <v>1521</v>
      </c>
      <c r="C392" s="20">
        <v>157</v>
      </c>
      <c r="D392" s="20">
        <v>72</v>
      </c>
      <c r="E392" t="s">
        <v>75</v>
      </c>
      <c r="F392" s="26">
        <v>45161</v>
      </c>
      <c r="G392" t="s">
        <v>76</v>
      </c>
      <c r="H392" s="5">
        <v>42.92</v>
      </c>
      <c r="I392" s="5">
        <v>31.79</v>
      </c>
      <c r="J392" s="5">
        <v>29.41</v>
      </c>
      <c r="K392" s="5">
        <v>2.09</v>
      </c>
      <c r="L392" s="5">
        <v>0.31</v>
      </c>
      <c r="M392" s="3">
        <f t="shared" si="115"/>
        <v>310</v>
      </c>
      <c r="N392" s="5">
        <v>6.11</v>
      </c>
      <c r="O392" s="23">
        <f t="shared" si="108"/>
        <v>6.11E-3</v>
      </c>
      <c r="P392" s="23">
        <f t="shared" si="109"/>
        <v>0.10997999999999999</v>
      </c>
      <c r="Q392" s="7">
        <f t="shared" si="110"/>
        <v>1.0998E-4</v>
      </c>
      <c r="R392" s="23">
        <f t="shared" si="111"/>
        <v>0.395928</v>
      </c>
      <c r="S392" s="5">
        <v>1.89</v>
      </c>
      <c r="T392" s="5">
        <v>1.52</v>
      </c>
      <c r="U392" s="3">
        <f t="shared" si="112"/>
        <v>15200</v>
      </c>
      <c r="V392" s="8">
        <v>-0.68</v>
      </c>
      <c r="W392" s="8">
        <v>-1.48</v>
      </c>
      <c r="X392" s="5">
        <f t="shared" si="113"/>
        <v>0.79999999999999993</v>
      </c>
      <c r="Y392" s="23">
        <f t="shared" si="114"/>
        <v>0.49491000000000002</v>
      </c>
      <c r="Z392" s="23">
        <f t="shared" si="116"/>
        <v>7522.6320000000005</v>
      </c>
      <c r="AA392" s="11">
        <f t="shared" si="117"/>
        <v>7.6310221101198534</v>
      </c>
      <c r="AB392" s="11">
        <f t="shared" si="118"/>
        <v>115991.53607382177</v>
      </c>
    </row>
    <row r="393" spans="1:28" ht="17.25" customHeight="1" x14ac:dyDescent="0.2">
      <c r="A393" t="s">
        <v>8</v>
      </c>
      <c r="B393" s="20">
        <v>1521</v>
      </c>
      <c r="C393" s="20">
        <v>158</v>
      </c>
      <c r="D393" s="20">
        <v>70</v>
      </c>
      <c r="E393" t="s">
        <v>75</v>
      </c>
      <c r="F393" s="26">
        <v>45162</v>
      </c>
      <c r="G393" t="s">
        <v>76</v>
      </c>
      <c r="H393" s="5">
        <v>33.479999999999997</v>
      </c>
      <c r="I393" s="5">
        <v>34.51</v>
      </c>
      <c r="J393" s="5">
        <v>29.92</v>
      </c>
      <c r="K393" s="5">
        <v>2.39</v>
      </c>
      <c r="L393" s="5">
        <v>0.28999999999999998</v>
      </c>
      <c r="M393" s="3">
        <f t="shared" si="115"/>
        <v>290</v>
      </c>
      <c r="N393" s="5">
        <v>6.57</v>
      </c>
      <c r="O393" s="23">
        <f t="shared" si="108"/>
        <v>6.5700000000000003E-3</v>
      </c>
      <c r="P393" s="23">
        <f t="shared" si="109"/>
        <v>0.11826</v>
      </c>
      <c r="Q393" s="7">
        <f t="shared" si="110"/>
        <v>1.1826000000000001E-4</v>
      </c>
      <c r="R393" s="23">
        <f t="shared" si="111"/>
        <v>0.42573600000000006</v>
      </c>
      <c r="S393" s="5">
        <v>1.25</v>
      </c>
      <c r="T393" s="5">
        <v>0.24</v>
      </c>
      <c r="U393" s="3">
        <f t="shared" si="112"/>
        <v>2400</v>
      </c>
      <c r="V393" s="8">
        <v>-0.41</v>
      </c>
      <c r="W393" s="8">
        <v>-1.93</v>
      </c>
      <c r="X393" s="5">
        <f t="shared" si="113"/>
        <v>1.52</v>
      </c>
      <c r="Y393" s="23">
        <f t="shared" si="114"/>
        <v>0.28008947368421055</v>
      </c>
      <c r="Z393" s="23">
        <f t="shared" si="116"/>
        <v>672.21473684210537</v>
      </c>
      <c r="AA393" s="11">
        <f t="shared" si="117"/>
        <v>4.3187023226365264</v>
      </c>
      <c r="AB393" s="11">
        <f t="shared" si="118"/>
        <v>10364.885574327664</v>
      </c>
    </row>
    <row r="394" spans="1:28" ht="17.25" customHeight="1" x14ac:dyDescent="0.2">
      <c r="A394" t="s">
        <v>8</v>
      </c>
      <c r="B394" s="20">
        <v>1521</v>
      </c>
      <c r="C394" s="20">
        <v>158</v>
      </c>
      <c r="D394" s="20">
        <v>73</v>
      </c>
      <c r="E394" t="s">
        <v>75</v>
      </c>
      <c r="F394" s="26">
        <v>45162</v>
      </c>
      <c r="G394" t="s">
        <v>76</v>
      </c>
      <c r="H394" s="5">
        <v>34.36</v>
      </c>
      <c r="I394" s="5">
        <v>33.81</v>
      </c>
      <c r="J394" s="5">
        <v>30.58</v>
      </c>
      <c r="K394" s="5">
        <v>2.58</v>
      </c>
      <c r="L394" s="5">
        <v>0.13</v>
      </c>
      <c r="M394" s="3">
        <f t="shared" si="115"/>
        <v>130</v>
      </c>
      <c r="N394" s="5">
        <v>3.25</v>
      </c>
      <c r="O394" s="23">
        <f t="shared" si="108"/>
        <v>3.2499999999999999E-3</v>
      </c>
      <c r="P394" s="23">
        <f t="shared" si="109"/>
        <v>5.8499999999999996E-2</v>
      </c>
      <c r="Q394" s="7">
        <f t="shared" si="110"/>
        <v>5.8499999999999999E-5</v>
      </c>
      <c r="R394" s="23">
        <f t="shared" si="111"/>
        <v>0.21060000000000001</v>
      </c>
      <c r="S394" s="5">
        <v>1.75</v>
      </c>
      <c r="T394" s="5">
        <v>0.39</v>
      </c>
      <c r="U394" s="3">
        <f t="shared" si="112"/>
        <v>3900</v>
      </c>
      <c r="V394" s="8">
        <v>-0.46</v>
      </c>
      <c r="W394" s="8">
        <v>-1.92</v>
      </c>
      <c r="X394" s="5">
        <f t="shared" si="113"/>
        <v>1.46</v>
      </c>
      <c r="Y394" s="23">
        <f t="shared" si="114"/>
        <v>0.14424657534246577</v>
      </c>
      <c r="Z394" s="23">
        <f t="shared" si="116"/>
        <v>562.56164383561645</v>
      </c>
      <c r="AA394" s="11">
        <f t="shared" si="117"/>
        <v>2.2241393500786519</v>
      </c>
      <c r="AB394" s="11">
        <f t="shared" si="118"/>
        <v>8674.1434653067427</v>
      </c>
    </row>
    <row r="395" spans="1:28" ht="17.25" customHeight="1" x14ac:dyDescent="0.2">
      <c r="A395" t="s">
        <v>8</v>
      </c>
      <c r="B395" s="20">
        <v>1521</v>
      </c>
      <c r="C395" s="20">
        <v>158</v>
      </c>
      <c r="D395" s="20">
        <v>81</v>
      </c>
      <c r="E395" t="s">
        <v>75</v>
      </c>
      <c r="F395" s="26">
        <v>45162</v>
      </c>
      <c r="G395" t="s">
        <v>76</v>
      </c>
      <c r="H395" s="5">
        <v>33.54</v>
      </c>
      <c r="I395" s="5">
        <v>34.5</v>
      </c>
      <c r="J395" s="5">
        <v>31.59</v>
      </c>
      <c r="K395" s="5">
        <v>2.81</v>
      </c>
      <c r="L395" s="5">
        <v>0.19</v>
      </c>
      <c r="M395" s="3">
        <f t="shared" si="115"/>
        <v>190</v>
      </c>
      <c r="N395" s="5">
        <v>5.1100000000000003</v>
      </c>
      <c r="O395" s="23">
        <f t="shared" si="108"/>
        <v>5.11E-3</v>
      </c>
      <c r="P395" s="23">
        <f t="shared" si="109"/>
        <v>9.1980000000000006E-2</v>
      </c>
      <c r="Q395" s="7">
        <f t="shared" si="110"/>
        <v>9.198000000000001E-5</v>
      </c>
      <c r="R395" s="23">
        <f t="shared" si="111"/>
        <v>0.33112800000000003</v>
      </c>
      <c r="S395" s="5">
        <v>0.53</v>
      </c>
      <c r="T395" s="5">
        <v>0.2</v>
      </c>
      <c r="U395" s="3">
        <f t="shared" si="112"/>
        <v>2000</v>
      </c>
      <c r="V395" s="8">
        <v>-0.49</v>
      </c>
      <c r="W395" s="8">
        <v>-1.71</v>
      </c>
      <c r="X395" s="5">
        <f t="shared" si="113"/>
        <v>1.22</v>
      </c>
      <c r="Y395" s="23">
        <f t="shared" si="114"/>
        <v>0.27141639344262297</v>
      </c>
      <c r="Z395" s="23">
        <f t="shared" si="116"/>
        <v>542.83278688524592</v>
      </c>
      <c r="AA395" s="11">
        <f t="shared" si="117"/>
        <v>4.1849720139210067</v>
      </c>
      <c r="AB395" s="11">
        <f t="shared" si="118"/>
        <v>8369.9440278420134</v>
      </c>
    </row>
    <row r="396" spans="1:28" ht="17.25" customHeight="1" x14ac:dyDescent="0.2">
      <c r="A396" t="s">
        <v>9</v>
      </c>
      <c r="B396" s="20">
        <v>666</v>
      </c>
      <c r="C396" s="20">
        <v>101</v>
      </c>
      <c r="D396" s="20">
        <v>1</v>
      </c>
      <c r="E396" t="s">
        <v>75</v>
      </c>
      <c r="F396" s="26">
        <v>45161</v>
      </c>
      <c r="G396" t="s">
        <v>76</v>
      </c>
      <c r="H396" s="5">
        <v>38.6</v>
      </c>
      <c r="I396" s="5">
        <v>35.369999999999997</v>
      </c>
      <c r="J396" s="5">
        <v>31.35</v>
      </c>
      <c r="K396" s="5">
        <v>2.37</v>
      </c>
      <c r="L396" s="5">
        <v>0.52</v>
      </c>
      <c r="M396" s="3">
        <f t="shared" si="115"/>
        <v>520</v>
      </c>
      <c r="N396" s="5">
        <v>11.64</v>
      </c>
      <c r="O396" s="23">
        <f t="shared" si="108"/>
        <v>1.1640000000000001E-2</v>
      </c>
      <c r="P396" s="23">
        <f t="shared" si="109"/>
        <v>0.20952000000000001</v>
      </c>
      <c r="Q396" s="7">
        <f t="shared" si="110"/>
        <v>2.0952000000000001E-4</v>
      </c>
      <c r="R396" s="23">
        <f t="shared" si="111"/>
        <v>0.75427200000000005</v>
      </c>
      <c r="S396" s="5">
        <v>5.47</v>
      </c>
      <c r="T396" s="5">
        <v>1.21</v>
      </c>
      <c r="U396" s="3">
        <f t="shared" si="112"/>
        <v>12100</v>
      </c>
      <c r="V396" s="8">
        <v>-0.42</v>
      </c>
      <c r="W396" s="8">
        <v>-1.79</v>
      </c>
      <c r="X396" s="5">
        <f t="shared" si="113"/>
        <v>1.37</v>
      </c>
      <c r="Y396" s="23">
        <f t="shared" si="114"/>
        <v>0.55056350364963502</v>
      </c>
      <c r="Z396" s="23">
        <f t="shared" si="116"/>
        <v>6661.8183941605839</v>
      </c>
      <c r="AA396" s="11">
        <f t="shared" si="117"/>
        <v>8.4891440249245669</v>
      </c>
      <c r="AB396" s="11">
        <f t="shared" si="118"/>
        <v>102718.64270158726</v>
      </c>
    </row>
    <row r="397" spans="1:28" ht="17.25" customHeight="1" x14ac:dyDescent="0.2">
      <c r="A397" t="s">
        <v>9</v>
      </c>
      <c r="B397" s="20">
        <v>666</v>
      </c>
      <c r="C397" s="20">
        <v>101</v>
      </c>
      <c r="D397" s="20">
        <v>2</v>
      </c>
      <c r="E397" t="s">
        <v>75</v>
      </c>
      <c r="F397" s="26">
        <v>45161</v>
      </c>
      <c r="G397" t="s">
        <v>76</v>
      </c>
      <c r="H397" s="5">
        <v>38.99</v>
      </c>
      <c r="I397" s="5">
        <v>35.14</v>
      </c>
      <c r="J397" s="5">
        <v>32.19</v>
      </c>
      <c r="K397" s="5">
        <v>2.6</v>
      </c>
      <c r="L397" s="5">
        <v>0.35</v>
      </c>
      <c r="M397" s="3">
        <f t="shared" si="115"/>
        <v>350</v>
      </c>
      <c r="N397" s="5">
        <v>8.5299999999999994</v>
      </c>
      <c r="O397" s="23">
        <f t="shared" si="108"/>
        <v>8.5299999999999994E-3</v>
      </c>
      <c r="P397" s="23">
        <f t="shared" si="109"/>
        <v>0.15353999999999998</v>
      </c>
      <c r="Q397" s="7">
        <f t="shared" si="110"/>
        <v>1.5353999999999997E-4</v>
      </c>
      <c r="R397" s="23">
        <f t="shared" si="111"/>
        <v>0.5527439999999999</v>
      </c>
      <c r="S397" s="5">
        <v>6.42</v>
      </c>
      <c r="T397" s="5">
        <v>1.41</v>
      </c>
      <c r="U397" s="3">
        <f t="shared" si="112"/>
        <v>14100</v>
      </c>
      <c r="V397" s="8">
        <v>-0.49</v>
      </c>
      <c r="W397" s="8">
        <v>-1.84</v>
      </c>
      <c r="X397" s="5">
        <f t="shared" si="113"/>
        <v>1.35</v>
      </c>
      <c r="Y397" s="23">
        <f t="shared" si="114"/>
        <v>0.40943999999999992</v>
      </c>
      <c r="Z397" s="23">
        <f t="shared" si="116"/>
        <v>5773.1039999999985</v>
      </c>
      <c r="AA397" s="11">
        <f t="shared" si="117"/>
        <v>6.3131593476944747</v>
      </c>
      <c r="AB397" s="11">
        <f t="shared" si="118"/>
        <v>89015.546802492099</v>
      </c>
    </row>
    <row r="398" spans="1:28" ht="17.25" customHeight="1" x14ac:dyDescent="0.2">
      <c r="A398" t="s">
        <v>9</v>
      </c>
      <c r="B398" s="20">
        <v>666</v>
      </c>
      <c r="C398" s="20">
        <v>101</v>
      </c>
      <c r="D398" s="20">
        <v>3</v>
      </c>
      <c r="E398" t="s">
        <v>75</v>
      </c>
      <c r="F398" s="26">
        <v>45161</v>
      </c>
      <c r="G398" t="s">
        <v>76</v>
      </c>
      <c r="H398" s="5">
        <v>38.04</v>
      </c>
      <c r="I398" s="5">
        <v>34.43</v>
      </c>
      <c r="J398" s="5">
        <v>30.97</v>
      </c>
      <c r="K398" s="5">
        <v>2.41</v>
      </c>
      <c r="L398" s="5">
        <v>0.47</v>
      </c>
      <c r="M398" s="3">
        <f t="shared" si="115"/>
        <v>470</v>
      </c>
      <c r="N398" s="5">
        <v>10.74</v>
      </c>
      <c r="O398" s="23">
        <f t="shared" ref="O398:O429" si="119">N398/1000</f>
        <v>1.074E-2</v>
      </c>
      <c r="P398" s="23">
        <f t="shared" ref="P398:P429" si="120">O398*18</f>
        <v>0.19331999999999999</v>
      </c>
      <c r="Q398" s="7">
        <f t="shared" ref="Q398:Q429" si="121">P398/1000</f>
        <v>1.9332E-4</v>
      </c>
      <c r="R398" s="23">
        <f t="shared" ref="R398:R429" si="122">Q398*3600</f>
        <v>0.69595200000000002</v>
      </c>
      <c r="S398" s="5">
        <v>5.07</v>
      </c>
      <c r="T398" s="5">
        <v>1.03</v>
      </c>
      <c r="U398" s="3">
        <f t="shared" ref="U398:U429" si="123">T398*10000</f>
        <v>10300</v>
      </c>
      <c r="V398" s="8">
        <v>-0.33</v>
      </c>
      <c r="W398" s="8">
        <v>-1.7</v>
      </c>
      <c r="X398" s="5">
        <f t="shared" ref="X398:X429" si="124">V398-W398</f>
        <v>1.3699999999999999</v>
      </c>
      <c r="Y398" s="23">
        <f t="shared" ref="Y398:Y429" si="125">R398/X398</f>
        <v>0.50799416058394165</v>
      </c>
      <c r="Z398" s="23">
        <f t="shared" si="116"/>
        <v>5232.339854014599</v>
      </c>
      <c r="AA398" s="11">
        <f t="shared" si="117"/>
        <v>7.8327669095953487</v>
      </c>
      <c r="AB398" s="11">
        <f t="shared" si="118"/>
        <v>80677.499168832088</v>
      </c>
    </row>
    <row r="399" spans="1:28" ht="17.25" customHeight="1" x14ac:dyDescent="0.2">
      <c r="A399" t="s">
        <v>9</v>
      </c>
      <c r="B399" s="20">
        <v>666</v>
      </c>
      <c r="C399" s="20">
        <v>105</v>
      </c>
      <c r="D399" s="20">
        <v>7</v>
      </c>
      <c r="E399" t="s">
        <v>75</v>
      </c>
      <c r="F399" s="26">
        <v>45161</v>
      </c>
      <c r="G399" t="s">
        <v>76</v>
      </c>
      <c r="H399" s="5">
        <v>42.72</v>
      </c>
      <c r="I399" s="5">
        <v>32.99</v>
      </c>
      <c r="J399" s="5">
        <v>31.08</v>
      </c>
      <c r="K399" s="5">
        <v>2.37</v>
      </c>
      <c r="L399" s="5">
        <v>0.25</v>
      </c>
      <c r="M399" s="3">
        <f t="shared" si="115"/>
        <v>250</v>
      </c>
      <c r="N399" s="5">
        <v>5.63</v>
      </c>
      <c r="O399" s="23">
        <f t="shared" si="119"/>
        <v>5.6299999999999996E-3</v>
      </c>
      <c r="P399" s="23">
        <f t="shared" si="120"/>
        <v>0.10133999999999999</v>
      </c>
      <c r="Q399" s="7">
        <f t="shared" si="121"/>
        <v>1.0133999999999999E-4</v>
      </c>
      <c r="R399" s="23">
        <f t="shared" si="122"/>
        <v>0.36482399999999998</v>
      </c>
      <c r="S399" s="5">
        <v>3.34</v>
      </c>
      <c r="T399" s="5">
        <v>0.91</v>
      </c>
      <c r="U399" s="3">
        <f t="shared" si="123"/>
        <v>9100</v>
      </c>
      <c r="V399" s="8">
        <v>-0.28999999999999998</v>
      </c>
      <c r="W399" s="8">
        <v>-1.86</v>
      </c>
      <c r="X399" s="5">
        <f t="shared" si="124"/>
        <v>1.57</v>
      </c>
      <c r="Y399" s="23">
        <f t="shared" si="125"/>
        <v>0.23237197452229297</v>
      </c>
      <c r="Z399" s="23">
        <f t="shared" si="116"/>
        <v>2114.5849681528662</v>
      </c>
      <c r="AA399" s="11">
        <f t="shared" si="117"/>
        <v>3.5829457383197449</v>
      </c>
      <c r="AB399" s="11">
        <f t="shared" si="118"/>
        <v>32604.80621870968</v>
      </c>
    </row>
    <row r="400" spans="1:28" ht="17.25" customHeight="1" x14ac:dyDescent="0.2">
      <c r="A400" t="s">
        <v>9</v>
      </c>
      <c r="B400" s="20">
        <v>666</v>
      </c>
      <c r="C400" s="20">
        <v>105</v>
      </c>
      <c r="D400" s="20">
        <v>8</v>
      </c>
      <c r="E400" t="s">
        <v>75</v>
      </c>
      <c r="F400" s="26">
        <v>45161</v>
      </c>
      <c r="G400" t="s">
        <v>76</v>
      </c>
      <c r="H400" s="5">
        <v>43.56</v>
      </c>
      <c r="I400" s="5">
        <v>32.15</v>
      </c>
      <c r="J400" s="5">
        <v>30.24</v>
      </c>
      <c r="K400" s="5">
        <v>2.2200000000000002</v>
      </c>
      <c r="L400" s="5">
        <v>0.27</v>
      </c>
      <c r="M400" s="3">
        <f t="shared" si="115"/>
        <v>270</v>
      </c>
      <c r="N400" s="5">
        <v>5.69</v>
      </c>
      <c r="O400" s="23">
        <f t="shared" si="119"/>
        <v>5.6900000000000006E-3</v>
      </c>
      <c r="P400" s="23">
        <f t="shared" si="120"/>
        <v>0.10242000000000001</v>
      </c>
      <c r="Q400" s="7">
        <f t="shared" si="121"/>
        <v>1.0242000000000001E-4</v>
      </c>
      <c r="R400" s="23">
        <f t="shared" si="122"/>
        <v>0.36871200000000004</v>
      </c>
      <c r="S400" s="5">
        <v>2.64</v>
      </c>
      <c r="T400" s="5">
        <v>0.69</v>
      </c>
      <c r="U400" s="5">
        <f t="shared" si="123"/>
        <v>6899.9999999999991</v>
      </c>
      <c r="V400" s="8">
        <v>-0.35</v>
      </c>
      <c r="W400" s="8">
        <v>-1.96</v>
      </c>
      <c r="X400" s="5">
        <f t="shared" si="124"/>
        <v>1.6099999999999999</v>
      </c>
      <c r="Y400" s="23">
        <f t="shared" si="125"/>
        <v>0.22901366459627334</v>
      </c>
      <c r="Z400" s="23">
        <f t="shared" si="116"/>
        <v>1580.1942857142858</v>
      </c>
      <c r="AA400" s="11">
        <f t="shared" si="117"/>
        <v>3.531163924862569</v>
      </c>
      <c r="AB400" s="11">
        <f t="shared" si="118"/>
        <v>24365.031081551722</v>
      </c>
    </row>
    <row r="401" spans="1:28" ht="17.25" customHeight="1" x14ac:dyDescent="0.2">
      <c r="A401" t="s">
        <v>9</v>
      </c>
      <c r="B401" s="20">
        <v>666</v>
      </c>
      <c r="C401" s="20">
        <v>105</v>
      </c>
      <c r="D401" s="20">
        <v>9</v>
      </c>
      <c r="E401" t="s">
        <v>75</v>
      </c>
      <c r="F401" s="26">
        <v>45162</v>
      </c>
      <c r="G401" t="s">
        <v>76</v>
      </c>
      <c r="H401" s="5">
        <v>34.049999999999997</v>
      </c>
      <c r="I401" s="5">
        <v>34.369999999999997</v>
      </c>
      <c r="J401" s="5">
        <v>32.549999999999997</v>
      </c>
      <c r="K401" s="5">
        <v>3.06</v>
      </c>
      <c r="L401" s="5">
        <v>0.13</v>
      </c>
      <c r="M401" s="3">
        <f t="shared" si="115"/>
        <v>130</v>
      </c>
      <c r="N401" s="5">
        <v>3.76</v>
      </c>
      <c r="O401" s="23">
        <f t="shared" si="119"/>
        <v>3.7599999999999999E-3</v>
      </c>
      <c r="P401" s="23">
        <f t="shared" si="120"/>
        <v>6.7680000000000004E-2</v>
      </c>
      <c r="Q401" s="7">
        <f t="shared" si="121"/>
        <v>6.7680000000000003E-5</v>
      </c>
      <c r="R401" s="23">
        <f t="shared" si="122"/>
        <v>0.243648</v>
      </c>
      <c r="S401" s="5">
        <v>5.01</v>
      </c>
      <c r="T401" s="5">
        <v>1.0900000000000001</v>
      </c>
      <c r="U401" s="3">
        <f t="shared" si="123"/>
        <v>10900</v>
      </c>
      <c r="V401" s="8">
        <v>-0.38</v>
      </c>
      <c r="W401" s="8">
        <v>-1.94</v>
      </c>
      <c r="X401" s="5">
        <f t="shared" si="124"/>
        <v>1.56</v>
      </c>
      <c r="Y401" s="23">
        <f t="shared" si="125"/>
        <v>0.15618461538461539</v>
      </c>
      <c r="Z401" s="23">
        <f t="shared" si="116"/>
        <v>1702.4123076923079</v>
      </c>
      <c r="AA401" s="11">
        <f t="shared" si="117"/>
        <v>2.408212105757745</v>
      </c>
      <c r="AB401" s="11">
        <f t="shared" si="118"/>
        <v>26249.511952759422</v>
      </c>
    </row>
    <row r="402" spans="1:28" ht="17.25" customHeight="1" x14ac:dyDescent="0.2">
      <c r="A402" t="s">
        <v>9</v>
      </c>
      <c r="B402" s="20">
        <v>666</v>
      </c>
      <c r="C402" s="20">
        <v>118</v>
      </c>
      <c r="D402" s="20">
        <v>10</v>
      </c>
      <c r="E402" t="s">
        <v>75</v>
      </c>
      <c r="F402" s="26">
        <v>45162</v>
      </c>
      <c r="G402" t="s">
        <v>76</v>
      </c>
      <c r="H402" s="5">
        <v>33.409999999999997</v>
      </c>
      <c r="I402" s="5">
        <v>34.590000000000003</v>
      </c>
      <c r="J402" s="5">
        <v>30.99</v>
      </c>
      <c r="K402" s="5">
        <v>2.66</v>
      </c>
      <c r="L402" s="5">
        <v>0.18</v>
      </c>
      <c r="M402" s="3">
        <f t="shared" si="115"/>
        <v>180</v>
      </c>
      <c r="N402" s="5">
        <v>4.57</v>
      </c>
      <c r="O402" s="23">
        <f t="shared" si="119"/>
        <v>4.5700000000000003E-3</v>
      </c>
      <c r="P402" s="23">
        <f t="shared" si="120"/>
        <v>8.226E-2</v>
      </c>
      <c r="Q402" s="7">
        <f t="shared" si="121"/>
        <v>8.2260000000000002E-5</v>
      </c>
      <c r="R402" s="23">
        <f t="shared" si="122"/>
        <v>0.29613600000000001</v>
      </c>
      <c r="S402" s="5">
        <v>3.56</v>
      </c>
      <c r="T402" s="5">
        <v>1</v>
      </c>
      <c r="U402" s="3">
        <f t="shared" si="123"/>
        <v>10000</v>
      </c>
      <c r="V402" s="8">
        <v>-0.35</v>
      </c>
      <c r="W402" s="8">
        <v>-1.79</v>
      </c>
      <c r="X402" s="5">
        <f t="shared" si="124"/>
        <v>1.44</v>
      </c>
      <c r="Y402" s="23">
        <f t="shared" si="125"/>
        <v>0.20565000000000003</v>
      </c>
      <c r="Z402" s="23">
        <f t="shared" si="116"/>
        <v>2056.5000000000005</v>
      </c>
      <c r="AA402" s="11">
        <f t="shared" si="117"/>
        <v>3.1709193529048676</v>
      </c>
      <c r="AB402" s="11">
        <f t="shared" si="118"/>
        <v>31709.193529048676</v>
      </c>
    </row>
    <row r="403" spans="1:28" ht="17.25" customHeight="1" x14ac:dyDescent="0.2">
      <c r="A403" t="s">
        <v>9</v>
      </c>
      <c r="B403" s="20">
        <v>666</v>
      </c>
      <c r="C403" s="20">
        <v>118</v>
      </c>
      <c r="D403" s="20">
        <v>11</v>
      </c>
      <c r="E403" t="s">
        <v>75</v>
      </c>
      <c r="F403" s="26">
        <v>45162</v>
      </c>
      <c r="G403" t="s">
        <v>76</v>
      </c>
      <c r="H403" s="5">
        <v>34.020000000000003</v>
      </c>
      <c r="I403" s="5">
        <v>33.86</v>
      </c>
      <c r="J403" s="5">
        <v>31.35</v>
      </c>
      <c r="K403" s="5">
        <v>2.79</v>
      </c>
      <c r="L403" s="5">
        <v>0.13</v>
      </c>
      <c r="M403" s="3">
        <f t="shared" si="115"/>
        <v>130</v>
      </c>
      <c r="N403" s="5">
        <v>3.29</v>
      </c>
      <c r="O403" s="23">
        <f t="shared" si="119"/>
        <v>3.29E-3</v>
      </c>
      <c r="P403" s="23">
        <f t="shared" si="120"/>
        <v>5.9220000000000002E-2</v>
      </c>
      <c r="Q403" s="7">
        <f t="shared" si="121"/>
        <v>5.9219999999999999E-5</v>
      </c>
      <c r="R403" s="23">
        <f t="shared" si="122"/>
        <v>0.21319199999999999</v>
      </c>
      <c r="S403" s="5">
        <v>3.32</v>
      </c>
      <c r="T403" s="5">
        <v>0.91</v>
      </c>
      <c r="U403" s="3">
        <f t="shared" si="123"/>
        <v>9100</v>
      </c>
      <c r="V403" s="8">
        <v>-0.37</v>
      </c>
      <c r="W403" s="8">
        <v>-1.64</v>
      </c>
      <c r="X403" s="5">
        <f t="shared" si="124"/>
        <v>1.27</v>
      </c>
      <c r="Y403" s="23">
        <f t="shared" si="125"/>
        <v>0.16786771653543306</v>
      </c>
      <c r="Z403" s="23">
        <f t="shared" si="116"/>
        <v>1527.5962204724408</v>
      </c>
      <c r="AA403" s="11">
        <f t="shared" si="117"/>
        <v>2.5883539561884419</v>
      </c>
      <c r="AB403" s="11">
        <f t="shared" si="118"/>
        <v>23554.021001314821</v>
      </c>
    </row>
    <row r="404" spans="1:28" ht="17.25" customHeight="1" x14ac:dyDescent="0.2">
      <c r="A404" t="s">
        <v>9</v>
      </c>
      <c r="B404" s="20">
        <v>666</v>
      </c>
      <c r="C404" s="20">
        <v>118</v>
      </c>
      <c r="D404" s="20">
        <v>12</v>
      </c>
      <c r="E404" t="s">
        <v>75</v>
      </c>
      <c r="F404" s="26">
        <v>45161</v>
      </c>
      <c r="G404" t="s">
        <v>76</v>
      </c>
      <c r="H404" s="5">
        <v>41.91</v>
      </c>
      <c r="I404" s="5">
        <v>33.76</v>
      </c>
      <c r="J404" s="5">
        <v>31.84</v>
      </c>
      <c r="K404" s="5">
        <v>2.5099999999999998</v>
      </c>
      <c r="L404" s="5">
        <v>0.25</v>
      </c>
      <c r="M404" s="3">
        <f t="shared" si="115"/>
        <v>250</v>
      </c>
      <c r="N404" s="5">
        <v>6.01</v>
      </c>
      <c r="O404" s="23">
        <f t="shared" si="119"/>
        <v>6.0099999999999997E-3</v>
      </c>
      <c r="P404" s="23">
        <f t="shared" si="120"/>
        <v>0.10818</v>
      </c>
      <c r="Q404" s="7">
        <f t="shared" si="121"/>
        <v>1.0818E-4</v>
      </c>
      <c r="R404" s="23">
        <f t="shared" si="122"/>
        <v>0.38944800000000002</v>
      </c>
      <c r="S404" s="5">
        <v>1.61</v>
      </c>
      <c r="T404" s="5">
        <v>0.5</v>
      </c>
      <c r="U404" s="3">
        <f t="shared" si="123"/>
        <v>5000</v>
      </c>
      <c r="V404" s="8">
        <v>-0.32</v>
      </c>
      <c r="W404" s="8">
        <v>-1.91</v>
      </c>
      <c r="X404" s="5">
        <f t="shared" si="124"/>
        <v>1.5899999999999999</v>
      </c>
      <c r="Y404" s="23">
        <f t="shared" si="125"/>
        <v>0.24493584905660382</v>
      </c>
      <c r="Z404" s="23">
        <f t="shared" si="116"/>
        <v>1224.6792452830191</v>
      </c>
      <c r="AA404" s="11">
        <f t="shared" si="117"/>
        <v>3.7766682421287157</v>
      </c>
      <c r="AB404" s="11">
        <f t="shared" si="118"/>
        <v>18883.341210643579</v>
      </c>
    </row>
    <row r="405" spans="1:28" ht="17.25" customHeight="1" x14ac:dyDescent="0.2">
      <c r="A405" t="s">
        <v>9</v>
      </c>
      <c r="B405" s="20">
        <v>666</v>
      </c>
      <c r="C405" s="20">
        <v>122</v>
      </c>
      <c r="D405" s="20">
        <v>16</v>
      </c>
      <c r="E405" t="s">
        <v>75</v>
      </c>
      <c r="F405" s="26">
        <v>45162</v>
      </c>
      <c r="G405" t="s">
        <v>76</v>
      </c>
      <c r="H405" s="5">
        <v>33.75</v>
      </c>
      <c r="I405" s="5">
        <v>33.96</v>
      </c>
      <c r="J405" s="5">
        <v>30.34</v>
      </c>
      <c r="K405" s="5">
        <v>2.54</v>
      </c>
      <c r="L405" s="5">
        <v>0.16</v>
      </c>
      <c r="M405" s="3">
        <f t="shared" si="115"/>
        <v>160</v>
      </c>
      <c r="N405" s="5">
        <v>3.93</v>
      </c>
      <c r="O405" s="23">
        <f t="shared" si="119"/>
        <v>3.9300000000000003E-3</v>
      </c>
      <c r="P405" s="23">
        <f t="shared" si="120"/>
        <v>7.0740000000000011E-2</v>
      </c>
      <c r="Q405" s="7">
        <f t="shared" si="121"/>
        <v>7.0740000000000017E-5</v>
      </c>
      <c r="R405" s="23">
        <f t="shared" si="122"/>
        <v>0.25466400000000006</v>
      </c>
      <c r="S405" s="5">
        <v>7.05</v>
      </c>
      <c r="T405" s="5">
        <v>2.21</v>
      </c>
      <c r="U405" s="3">
        <f t="shared" si="123"/>
        <v>22100</v>
      </c>
      <c r="V405" s="8">
        <v>-0.31</v>
      </c>
      <c r="W405" s="8">
        <v>-1.54</v>
      </c>
      <c r="X405" s="5">
        <f t="shared" si="124"/>
        <v>1.23</v>
      </c>
      <c r="Y405" s="23">
        <f t="shared" si="125"/>
        <v>0.20704390243902443</v>
      </c>
      <c r="Z405" s="23">
        <f t="shared" si="116"/>
        <v>4575.6702439024402</v>
      </c>
      <c r="AA405" s="11">
        <f t="shared" si="117"/>
        <v>3.1924119481879401</v>
      </c>
      <c r="AB405" s="11">
        <f t="shared" si="118"/>
        <v>70552.304054953478</v>
      </c>
    </row>
    <row r="406" spans="1:28" ht="17.25" customHeight="1" x14ac:dyDescent="0.2">
      <c r="A406" t="s">
        <v>9</v>
      </c>
      <c r="B406" s="20">
        <v>666</v>
      </c>
      <c r="C406" s="20">
        <v>122</v>
      </c>
      <c r="D406" s="20">
        <v>17</v>
      </c>
      <c r="E406" t="s">
        <v>75</v>
      </c>
      <c r="F406" s="26">
        <v>45162</v>
      </c>
      <c r="G406" t="s">
        <v>76</v>
      </c>
      <c r="H406" s="5">
        <v>33.57</v>
      </c>
      <c r="I406" s="5">
        <v>34.61</v>
      </c>
      <c r="J406" s="5">
        <v>30.42</v>
      </c>
      <c r="K406" s="5">
        <v>2.5</v>
      </c>
      <c r="L406" s="5">
        <v>0.19</v>
      </c>
      <c r="M406" s="3">
        <f t="shared" si="115"/>
        <v>190</v>
      </c>
      <c r="N406" s="5">
        <v>4.4400000000000004</v>
      </c>
      <c r="O406" s="23">
        <f t="shared" si="119"/>
        <v>4.4400000000000004E-3</v>
      </c>
      <c r="P406" s="23">
        <f t="shared" si="120"/>
        <v>7.9920000000000005E-2</v>
      </c>
      <c r="Q406" s="7">
        <f t="shared" si="121"/>
        <v>7.9920000000000007E-5</v>
      </c>
      <c r="R406" s="23">
        <f t="shared" si="122"/>
        <v>0.28771200000000002</v>
      </c>
      <c r="S406" s="5">
        <v>4.82</v>
      </c>
      <c r="T406" s="5">
        <v>1.19</v>
      </c>
      <c r="U406" s="3">
        <f t="shared" si="123"/>
        <v>11900</v>
      </c>
      <c r="V406" s="8">
        <v>-0.34</v>
      </c>
      <c r="W406" s="8">
        <v>-1.66</v>
      </c>
      <c r="X406" s="5">
        <f t="shared" si="124"/>
        <v>1.3199999999999998</v>
      </c>
      <c r="Y406" s="23">
        <f t="shared" si="125"/>
        <v>0.21796363636363641</v>
      </c>
      <c r="Z406" s="23">
        <f t="shared" si="116"/>
        <v>2593.7672727272734</v>
      </c>
      <c r="AA406" s="11">
        <f t="shared" si="117"/>
        <v>3.3607834319230432</v>
      </c>
      <c r="AB406" s="11">
        <f t="shared" si="118"/>
        <v>39993.322839884211</v>
      </c>
    </row>
    <row r="407" spans="1:28" ht="17.25" customHeight="1" x14ac:dyDescent="0.2">
      <c r="A407" t="s">
        <v>9</v>
      </c>
      <c r="B407" s="20">
        <v>666</v>
      </c>
      <c r="C407" s="20">
        <v>122</v>
      </c>
      <c r="D407" s="20">
        <v>18</v>
      </c>
      <c r="E407" t="s">
        <v>75</v>
      </c>
      <c r="F407" s="26">
        <v>45161</v>
      </c>
      <c r="G407" t="s">
        <v>76</v>
      </c>
      <c r="H407" s="5">
        <v>38.25</v>
      </c>
      <c r="I407" s="5">
        <v>34.99</v>
      </c>
      <c r="J407" s="5">
        <v>32.69</v>
      </c>
      <c r="K407" s="5">
        <v>2.8</v>
      </c>
      <c r="L407" s="5">
        <v>0.21</v>
      </c>
      <c r="M407" s="3">
        <f t="shared" si="115"/>
        <v>210</v>
      </c>
      <c r="N407" s="5">
        <v>5.61</v>
      </c>
      <c r="O407" s="23">
        <f t="shared" si="119"/>
        <v>5.6100000000000004E-3</v>
      </c>
      <c r="P407" s="23">
        <f t="shared" si="120"/>
        <v>0.10098000000000001</v>
      </c>
      <c r="Q407" s="7">
        <f t="shared" si="121"/>
        <v>1.0098000000000001E-4</v>
      </c>
      <c r="R407" s="23">
        <f t="shared" si="122"/>
        <v>0.36352800000000002</v>
      </c>
      <c r="S407" s="5">
        <v>7.37</v>
      </c>
      <c r="T407" s="5">
        <v>1.96</v>
      </c>
      <c r="U407" s="3">
        <f t="shared" si="123"/>
        <v>19600</v>
      </c>
      <c r="V407" s="8">
        <v>-0.25</v>
      </c>
      <c r="W407" s="8">
        <v>-2.12</v>
      </c>
      <c r="X407" s="5">
        <f t="shared" si="124"/>
        <v>1.87</v>
      </c>
      <c r="Y407" s="23">
        <f t="shared" si="125"/>
        <v>0.19439999999999999</v>
      </c>
      <c r="Z407" s="23">
        <f t="shared" si="116"/>
        <v>3810.24</v>
      </c>
      <c r="AA407" s="11">
        <f t="shared" si="117"/>
        <v>2.997455493336767</v>
      </c>
      <c r="AB407" s="11">
        <f t="shared" si="118"/>
        <v>58750.12766940063</v>
      </c>
    </row>
    <row r="408" spans="1:28" ht="17.25" customHeight="1" x14ac:dyDescent="0.2">
      <c r="A408" t="s">
        <v>9</v>
      </c>
      <c r="B408" s="20">
        <v>666</v>
      </c>
      <c r="C408" s="20">
        <v>123</v>
      </c>
      <c r="D408" s="20">
        <v>19</v>
      </c>
      <c r="E408" t="s">
        <v>75</v>
      </c>
      <c r="F408" s="26">
        <v>45161</v>
      </c>
      <c r="G408" t="s">
        <v>76</v>
      </c>
      <c r="H408" s="5">
        <v>49.06</v>
      </c>
      <c r="I408" s="5">
        <v>29.67</v>
      </c>
      <c r="J408" s="5">
        <v>27.44</v>
      </c>
      <c r="K408" s="5">
        <v>1.62</v>
      </c>
      <c r="L408" s="5">
        <v>0.38</v>
      </c>
      <c r="M408" s="3">
        <f t="shared" si="115"/>
        <v>380</v>
      </c>
      <c r="N408" s="5">
        <v>5.85</v>
      </c>
      <c r="O408" s="23">
        <f t="shared" si="119"/>
        <v>5.8499999999999993E-3</v>
      </c>
      <c r="P408" s="23">
        <f t="shared" si="120"/>
        <v>0.10529999999999999</v>
      </c>
      <c r="Q408" s="7">
        <f t="shared" si="121"/>
        <v>1.0529999999999998E-4</v>
      </c>
      <c r="R408" s="23">
        <f t="shared" si="122"/>
        <v>0.37907999999999992</v>
      </c>
      <c r="S408" s="5">
        <v>6.06</v>
      </c>
      <c r="T408" s="5">
        <v>1.55</v>
      </c>
      <c r="U408" s="3">
        <f t="shared" si="123"/>
        <v>15500</v>
      </c>
      <c r="V408" s="8">
        <v>-0.38</v>
      </c>
      <c r="W408" s="8">
        <v>-2.2599999999999998</v>
      </c>
      <c r="X408" s="5">
        <f t="shared" si="124"/>
        <v>1.88</v>
      </c>
      <c r="Y408" s="23">
        <f t="shared" si="125"/>
        <v>0.20163829787234039</v>
      </c>
      <c r="Z408" s="23">
        <f t="shared" si="116"/>
        <v>3125.393617021276</v>
      </c>
      <c r="AA408" s="11">
        <f t="shared" si="117"/>
        <v>3.1090628787269656</v>
      </c>
      <c r="AB408" s="11">
        <f t="shared" si="118"/>
        <v>48190.474620267967</v>
      </c>
    </row>
    <row r="409" spans="1:28" ht="17.25" customHeight="1" x14ac:dyDescent="0.2">
      <c r="A409" t="s">
        <v>9</v>
      </c>
      <c r="B409" s="20">
        <v>666</v>
      </c>
      <c r="C409" s="20">
        <v>123</v>
      </c>
      <c r="D409" s="20">
        <v>20</v>
      </c>
      <c r="E409" t="s">
        <v>75</v>
      </c>
      <c r="F409" s="26">
        <v>45161</v>
      </c>
      <c r="G409" t="s">
        <v>76</v>
      </c>
      <c r="H409" s="5">
        <v>46.16</v>
      </c>
      <c r="I409" s="5">
        <v>30.44</v>
      </c>
      <c r="J409" s="5">
        <v>28.1</v>
      </c>
      <c r="K409" s="5">
        <v>1.79</v>
      </c>
      <c r="L409" s="5">
        <v>0.37</v>
      </c>
      <c r="M409" s="3">
        <f t="shared" si="115"/>
        <v>370</v>
      </c>
      <c r="N409" s="5">
        <v>6.31</v>
      </c>
      <c r="O409" s="23">
        <f t="shared" si="119"/>
        <v>6.3099999999999996E-3</v>
      </c>
      <c r="P409" s="23">
        <f t="shared" si="120"/>
        <v>0.11357999999999999</v>
      </c>
      <c r="Q409" s="7">
        <f t="shared" si="121"/>
        <v>1.1357999999999998E-4</v>
      </c>
      <c r="R409" s="23">
        <f t="shared" si="122"/>
        <v>0.40888799999999992</v>
      </c>
      <c r="S409" s="5">
        <v>5.82</v>
      </c>
      <c r="T409" s="5">
        <v>2.02</v>
      </c>
      <c r="U409" s="3">
        <f t="shared" si="123"/>
        <v>20200</v>
      </c>
      <c r="V409" s="8">
        <v>-0.71</v>
      </c>
      <c r="W409" s="8">
        <v>-2.2400000000000002</v>
      </c>
      <c r="X409" s="5">
        <f t="shared" si="124"/>
        <v>1.5300000000000002</v>
      </c>
      <c r="Y409" s="23">
        <f t="shared" si="125"/>
        <v>0.26724705882352934</v>
      </c>
      <c r="Z409" s="23">
        <f t="shared" si="116"/>
        <v>5398.3905882352929</v>
      </c>
      <c r="AA409" s="11">
        <f t="shared" si="117"/>
        <v>4.12068500282244</v>
      </c>
      <c r="AB409" s="11">
        <f t="shared" si="118"/>
        <v>83237.837057013283</v>
      </c>
    </row>
    <row r="410" spans="1:28" ht="17.25" customHeight="1" x14ac:dyDescent="0.2">
      <c r="A410" t="s">
        <v>9</v>
      </c>
      <c r="B410" s="20">
        <v>666</v>
      </c>
      <c r="C410" s="20">
        <v>123</v>
      </c>
      <c r="D410" s="20">
        <v>22</v>
      </c>
      <c r="E410" t="s">
        <v>75</v>
      </c>
      <c r="F410" s="26">
        <v>45161</v>
      </c>
      <c r="G410" t="s">
        <v>76</v>
      </c>
      <c r="H410" s="5">
        <v>39.51</v>
      </c>
      <c r="I410" s="5">
        <v>35.18</v>
      </c>
      <c r="J410" s="5">
        <v>31.78</v>
      </c>
      <c r="K410" s="5">
        <v>2.4500000000000002</v>
      </c>
      <c r="L410" s="5">
        <v>0.41</v>
      </c>
      <c r="M410" s="3">
        <f t="shared" si="115"/>
        <v>410</v>
      </c>
      <c r="N410" s="5">
        <v>9.36</v>
      </c>
      <c r="O410" s="23">
        <f t="shared" si="119"/>
        <v>9.3600000000000003E-3</v>
      </c>
      <c r="P410" s="23">
        <f t="shared" si="120"/>
        <v>0.16848000000000002</v>
      </c>
      <c r="Q410" s="7">
        <f t="shared" si="121"/>
        <v>1.6848000000000001E-4</v>
      </c>
      <c r="R410" s="23">
        <f t="shared" si="122"/>
        <v>0.60652800000000007</v>
      </c>
      <c r="S410" s="5">
        <v>4.78</v>
      </c>
      <c r="T410" s="5">
        <v>1.58</v>
      </c>
      <c r="U410" s="3">
        <f t="shared" si="123"/>
        <v>15800</v>
      </c>
      <c r="V410" s="8">
        <v>-0.34</v>
      </c>
      <c r="W410" s="8">
        <v>-2.31</v>
      </c>
      <c r="X410" s="5">
        <f t="shared" si="124"/>
        <v>1.97</v>
      </c>
      <c r="Y410" s="23">
        <f t="shared" si="125"/>
        <v>0.30788223350253813</v>
      </c>
      <c r="Z410" s="23">
        <f t="shared" si="116"/>
        <v>4864.5392893401022</v>
      </c>
      <c r="AA410" s="11">
        <f t="shared" si="117"/>
        <v>4.7472391569597541</v>
      </c>
      <c r="AB410" s="11">
        <f t="shared" si="118"/>
        <v>75006.378679964109</v>
      </c>
    </row>
    <row r="411" spans="1:28" ht="17.25" customHeight="1" x14ac:dyDescent="0.2">
      <c r="A411" t="s">
        <v>10</v>
      </c>
      <c r="B411" s="20">
        <v>1212</v>
      </c>
      <c r="C411" s="20">
        <v>3</v>
      </c>
      <c r="D411" s="20">
        <v>29</v>
      </c>
      <c r="E411" t="s">
        <v>75</v>
      </c>
      <c r="F411" s="26">
        <v>45161</v>
      </c>
      <c r="G411" t="s">
        <v>76</v>
      </c>
      <c r="H411" s="5">
        <v>39.39</v>
      </c>
      <c r="I411" s="5">
        <v>33.950000000000003</v>
      </c>
      <c r="J411" s="5">
        <v>32.43</v>
      </c>
      <c r="K411" s="5">
        <v>2.79</v>
      </c>
      <c r="L411" s="5">
        <v>0.14000000000000001</v>
      </c>
      <c r="M411" s="3">
        <f t="shared" si="115"/>
        <v>140</v>
      </c>
      <c r="N411" s="5">
        <v>3.6</v>
      </c>
      <c r="O411" s="23">
        <f t="shared" si="119"/>
        <v>3.5999999999999999E-3</v>
      </c>
      <c r="P411" s="23">
        <f t="shared" si="120"/>
        <v>6.4799999999999996E-2</v>
      </c>
      <c r="Q411" s="7">
        <f t="shared" si="121"/>
        <v>6.4800000000000003E-5</v>
      </c>
      <c r="R411" s="23">
        <f t="shared" si="122"/>
        <v>0.23328000000000002</v>
      </c>
      <c r="S411" s="5">
        <v>8.68</v>
      </c>
      <c r="T411" s="5">
        <v>2.3199999999999998</v>
      </c>
      <c r="U411" s="3">
        <f t="shared" si="123"/>
        <v>23200</v>
      </c>
      <c r="V411" s="8">
        <v>-0.43</v>
      </c>
      <c r="W411" s="8">
        <v>-1.62</v>
      </c>
      <c r="X411" s="5">
        <f t="shared" si="124"/>
        <v>1.1900000000000002</v>
      </c>
      <c r="Y411" s="23">
        <f t="shared" si="125"/>
        <v>0.19603361344537815</v>
      </c>
      <c r="Z411" s="23">
        <f t="shared" si="116"/>
        <v>4547.9798319327729</v>
      </c>
      <c r="AA411" s="11">
        <f t="shared" si="117"/>
        <v>3.0226441949614462</v>
      </c>
      <c r="AB411" s="11">
        <f t="shared" si="118"/>
        <v>70125.345323105546</v>
      </c>
    </row>
    <row r="412" spans="1:28" ht="17.25" customHeight="1" x14ac:dyDescent="0.2">
      <c r="A412" t="s">
        <v>10</v>
      </c>
      <c r="B412" s="20">
        <v>1212</v>
      </c>
      <c r="C412" s="20">
        <v>3</v>
      </c>
      <c r="D412" s="20">
        <v>30</v>
      </c>
      <c r="E412" t="s">
        <v>75</v>
      </c>
      <c r="F412" s="26">
        <v>45161</v>
      </c>
      <c r="G412" t="s">
        <v>76</v>
      </c>
      <c r="H412" s="5">
        <v>37.82</v>
      </c>
      <c r="I412" s="5">
        <v>35.36</v>
      </c>
      <c r="J412" s="5">
        <v>33.590000000000003</v>
      </c>
      <c r="K412" s="5">
        <v>3.03</v>
      </c>
      <c r="L412" s="5">
        <v>0.28999999999999998</v>
      </c>
      <c r="M412" s="3">
        <f t="shared" si="115"/>
        <v>290</v>
      </c>
      <c r="N412" s="5">
        <v>8.11</v>
      </c>
      <c r="O412" s="23">
        <f t="shared" si="119"/>
        <v>8.1099999999999992E-3</v>
      </c>
      <c r="P412" s="23">
        <f t="shared" si="120"/>
        <v>0.14598</v>
      </c>
      <c r="Q412" s="7">
        <f t="shared" si="121"/>
        <v>1.4598000000000001E-4</v>
      </c>
      <c r="R412" s="23">
        <f t="shared" si="122"/>
        <v>0.525528</v>
      </c>
      <c r="S412" s="5">
        <v>7</v>
      </c>
      <c r="T412" s="5">
        <v>2.4300000000000002</v>
      </c>
      <c r="U412" s="3">
        <f t="shared" si="123"/>
        <v>24300</v>
      </c>
      <c r="V412" s="8">
        <v>-0.44</v>
      </c>
      <c r="W412" s="8">
        <v>-1.83</v>
      </c>
      <c r="X412" s="5">
        <f t="shared" si="124"/>
        <v>1.3900000000000001</v>
      </c>
      <c r="Y412" s="23">
        <f t="shared" si="125"/>
        <v>0.37807769784172657</v>
      </c>
      <c r="Z412" s="23">
        <f t="shared" si="116"/>
        <v>9187.2880575539548</v>
      </c>
      <c r="AA412" s="11">
        <f t="shared" si="117"/>
        <v>5.8295837052664696</v>
      </c>
      <c r="AB412" s="11">
        <f t="shared" si="118"/>
        <v>141658.88403797522</v>
      </c>
    </row>
    <row r="413" spans="1:28" ht="17.25" customHeight="1" x14ac:dyDescent="0.2">
      <c r="A413" t="s">
        <v>10</v>
      </c>
      <c r="B413" s="20">
        <v>1212</v>
      </c>
      <c r="C413" s="20">
        <v>3</v>
      </c>
      <c r="D413" s="20">
        <v>31</v>
      </c>
      <c r="E413" t="s">
        <v>75</v>
      </c>
      <c r="F413" s="26">
        <v>45162</v>
      </c>
      <c r="G413" t="s">
        <v>76</v>
      </c>
      <c r="H413" s="5">
        <v>34.08</v>
      </c>
      <c r="I413" s="5">
        <v>33.97</v>
      </c>
      <c r="J413" s="5">
        <v>31.13</v>
      </c>
      <c r="K413" s="5">
        <v>2.72</v>
      </c>
      <c r="L413" s="5">
        <v>0.15</v>
      </c>
      <c r="M413" s="3">
        <f t="shared" si="115"/>
        <v>150</v>
      </c>
      <c r="N413" s="5">
        <v>3.83</v>
      </c>
      <c r="O413" s="23">
        <f t="shared" si="119"/>
        <v>3.8300000000000001E-3</v>
      </c>
      <c r="P413" s="23">
        <f t="shared" si="120"/>
        <v>6.8940000000000001E-2</v>
      </c>
      <c r="Q413" s="7">
        <f t="shared" si="121"/>
        <v>6.8940000000000001E-5</v>
      </c>
      <c r="R413" s="23">
        <f t="shared" si="122"/>
        <v>0.24818400000000002</v>
      </c>
      <c r="S413" s="5">
        <v>6.14</v>
      </c>
      <c r="T413" s="5">
        <v>1.8</v>
      </c>
      <c r="U413" s="3">
        <f t="shared" si="123"/>
        <v>18000</v>
      </c>
      <c r="V413" s="8">
        <v>-0.41</v>
      </c>
      <c r="W413" s="8">
        <v>-1.81</v>
      </c>
      <c r="X413" s="5">
        <f t="shared" si="124"/>
        <v>1.4000000000000001</v>
      </c>
      <c r="Y413" s="23">
        <f t="shared" si="125"/>
        <v>0.17727428571428572</v>
      </c>
      <c r="Z413" s="23">
        <f t="shared" si="116"/>
        <v>3190.937142857143</v>
      </c>
      <c r="AA413" s="11">
        <f t="shared" si="117"/>
        <v>2.7333939379713859</v>
      </c>
      <c r="AB413" s="11">
        <f t="shared" si="118"/>
        <v>49201.090883484947</v>
      </c>
    </row>
    <row r="414" spans="1:28" ht="17.25" customHeight="1" x14ac:dyDescent="0.2">
      <c r="A414" t="s">
        <v>10</v>
      </c>
      <c r="B414" s="20">
        <v>1212</v>
      </c>
      <c r="C414" s="20">
        <v>4</v>
      </c>
      <c r="D414" s="20">
        <v>32</v>
      </c>
      <c r="E414" t="s">
        <v>75</v>
      </c>
      <c r="F414" s="26">
        <v>45161</v>
      </c>
      <c r="G414" t="s">
        <v>76</v>
      </c>
      <c r="H414" s="5">
        <v>38.81</v>
      </c>
      <c r="I414" s="5">
        <v>34.08</v>
      </c>
      <c r="J414" s="5">
        <v>32.130000000000003</v>
      </c>
      <c r="K414" s="5">
        <v>2.72</v>
      </c>
      <c r="L414" s="5">
        <v>0.2</v>
      </c>
      <c r="M414" s="3">
        <f t="shared" si="115"/>
        <v>200</v>
      </c>
      <c r="N414" s="5">
        <v>5.18</v>
      </c>
      <c r="O414" s="23">
        <f t="shared" si="119"/>
        <v>5.1799999999999997E-3</v>
      </c>
      <c r="P414" s="23">
        <f t="shared" si="120"/>
        <v>9.323999999999999E-2</v>
      </c>
      <c r="Q414" s="7">
        <f t="shared" si="121"/>
        <v>9.3239999999999995E-5</v>
      </c>
      <c r="R414" s="23">
        <f t="shared" si="122"/>
        <v>0.33566399999999996</v>
      </c>
      <c r="S414" s="5">
        <v>6.68</v>
      </c>
      <c r="T414" s="5">
        <v>1.44</v>
      </c>
      <c r="U414" s="3">
        <f t="shared" si="123"/>
        <v>14400</v>
      </c>
      <c r="V414" s="8">
        <v>-0.36</v>
      </c>
      <c r="W414" s="8">
        <v>-1.68</v>
      </c>
      <c r="X414" s="5">
        <f t="shared" si="124"/>
        <v>1.3199999999999998</v>
      </c>
      <c r="Y414" s="23">
        <f t="shared" si="125"/>
        <v>0.25429090909090907</v>
      </c>
      <c r="Z414" s="23">
        <f t="shared" si="116"/>
        <v>3661.7890909090906</v>
      </c>
      <c r="AA414" s="11">
        <f t="shared" si="117"/>
        <v>3.9209140039102155</v>
      </c>
      <c r="AB414" s="11">
        <f t="shared" si="118"/>
        <v>56461.1616563071</v>
      </c>
    </row>
    <row r="415" spans="1:28" ht="17.25" customHeight="1" x14ac:dyDescent="0.2">
      <c r="A415" t="s">
        <v>10</v>
      </c>
      <c r="B415" s="20">
        <v>1212</v>
      </c>
      <c r="C415" s="20">
        <v>4</v>
      </c>
      <c r="D415" s="20">
        <v>33</v>
      </c>
      <c r="E415" t="s">
        <v>75</v>
      </c>
      <c r="F415" s="26">
        <v>45162</v>
      </c>
      <c r="G415" t="s">
        <v>76</v>
      </c>
      <c r="H415" s="5">
        <v>33.200000000000003</v>
      </c>
      <c r="I415" s="5">
        <v>34.51</v>
      </c>
      <c r="J415" s="5">
        <v>30.14</v>
      </c>
      <c r="K415" s="5">
        <v>2.46</v>
      </c>
      <c r="L415" s="5">
        <v>0.21</v>
      </c>
      <c r="M415" s="3">
        <f t="shared" si="115"/>
        <v>210</v>
      </c>
      <c r="N415" s="3">
        <v>5</v>
      </c>
      <c r="O415" s="23">
        <f t="shared" si="119"/>
        <v>5.0000000000000001E-3</v>
      </c>
      <c r="P415" s="23">
        <f t="shared" si="120"/>
        <v>0.09</v>
      </c>
      <c r="Q415" s="7">
        <f t="shared" si="121"/>
        <v>8.9999999999999992E-5</v>
      </c>
      <c r="R415" s="23">
        <f t="shared" si="122"/>
        <v>0.32399999999999995</v>
      </c>
      <c r="S415" s="5">
        <v>14.08</v>
      </c>
      <c r="T415" s="5">
        <v>4.13</v>
      </c>
      <c r="U415" s="3">
        <f t="shared" si="123"/>
        <v>41300</v>
      </c>
      <c r="V415" s="8">
        <v>-0.51</v>
      </c>
      <c r="W415" s="8">
        <v>-1.92</v>
      </c>
      <c r="X415" s="5">
        <f t="shared" si="124"/>
        <v>1.41</v>
      </c>
      <c r="Y415" s="23">
        <f t="shared" si="125"/>
        <v>0.22978723404255316</v>
      </c>
      <c r="Z415" s="23">
        <f t="shared" si="116"/>
        <v>9490.2127659574453</v>
      </c>
      <c r="AA415" s="11">
        <f t="shared" si="117"/>
        <v>3.5430915996888501</v>
      </c>
      <c r="AB415" s="11">
        <f t="shared" si="118"/>
        <v>146329.68306714951</v>
      </c>
    </row>
    <row r="416" spans="1:28" ht="17.25" customHeight="1" x14ac:dyDescent="0.2">
      <c r="A416" t="s">
        <v>10</v>
      </c>
      <c r="B416" s="20">
        <v>1212</v>
      </c>
      <c r="C416" s="20">
        <v>4</v>
      </c>
      <c r="D416" s="20">
        <v>34</v>
      </c>
      <c r="E416" t="s">
        <v>75</v>
      </c>
      <c r="F416" s="26">
        <v>45161</v>
      </c>
      <c r="G416" t="s">
        <v>76</v>
      </c>
      <c r="H416" s="5">
        <v>37.26</v>
      </c>
      <c r="I416" s="5">
        <v>35.31</v>
      </c>
      <c r="J416" s="5">
        <v>31.82</v>
      </c>
      <c r="K416" s="5">
        <v>2.58</v>
      </c>
      <c r="L416" s="5">
        <v>0.36</v>
      </c>
      <c r="M416" s="3">
        <f t="shared" si="115"/>
        <v>360</v>
      </c>
      <c r="N416" s="5">
        <v>8.65</v>
      </c>
      <c r="O416" s="23">
        <f t="shared" si="119"/>
        <v>8.6499999999999997E-3</v>
      </c>
      <c r="P416" s="23">
        <f t="shared" si="120"/>
        <v>0.15570000000000001</v>
      </c>
      <c r="Q416" s="7">
        <f t="shared" si="121"/>
        <v>1.5570000000000002E-4</v>
      </c>
      <c r="R416" s="23">
        <f t="shared" si="122"/>
        <v>0.56052000000000002</v>
      </c>
      <c r="S416" s="5">
        <v>4.71</v>
      </c>
      <c r="T416" s="5">
        <v>1.38</v>
      </c>
      <c r="U416" s="5">
        <f t="shared" si="123"/>
        <v>13799.999999999998</v>
      </c>
      <c r="V416" s="8">
        <v>-0.55000000000000004</v>
      </c>
      <c r="W416" s="27">
        <v>-2</v>
      </c>
      <c r="X416" s="5">
        <f t="shared" si="124"/>
        <v>1.45</v>
      </c>
      <c r="Y416" s="23">
        <f t="shared" si="125"/>
        <v>0.38656551724137933</v>
      </c>
      <c r="Z416" s="23">
        <f t="shared" si="116"/>
        <v>5334.6041379310336</v>
      </c>
      <c r="AA416" s="11">
        <f t="shared" si="117"/>
        <v>5.960457475255871</v>
      </c>
      <c r="AB416" s="11">
        <f t="shared" si="118"/>
        <v>82254.313158531004</v>
      </c>
    </row>
    <row r="417" spans="1:28" ht="17.25" customHeight="1" x14ac:dyDescent="0.2">
      <c r="A417" t="s">
        <v>10</v>
      </c>
      <c r="B417" s="20">
        <v>1212</v>
      </c>
      <c r="C417" s="20">
        <v>7</v>
      </c>
      <c r="D417" s="20">
        <v>36</v>
      </c>
      <c r="E417" t="s">
        <v>75</v>
      </c>
      <c r="F417" s="26">
        <v>45161</v>
      </c>
      <c r="G417" t="s">
        <v>76</v>
      </c>
      <c r="H417" s="5">
        <v>35.270000000000003</v>
      </c>
      <c r="I417" s="5">
        <v>35.54</v>
      </c>
      <c r="J417" s="5">
        <v>33.28</v>
      </c>
      <c r="K417" s="5">
        <v>3.08</v>
      </c>
      <c r="L417" s="5">
        <v>0.24</v>
      </c>
      <c r="M417" s="3">
        <f t="shared" si="115"/>
        <v>240</v>
      </c>
      <c r="N417" s="5">
        <v>7.06</v>
      </c>
      <c r="O417" s="23">
        <f t="shared" si="119"/>
        <v>7.0599999999999994E-3</v>
      </c>
      <c r="P417" s="23">
        <f t="shared" si="120"/>
        <v>0.12708</v>
      </c>
      <c r="Q417" s="7">
        <f t="shared" si="121"/>
        <v>1.2708000000000001E-4</v>
      </c>
      <c r="R417" s="23">
        <f t="shared" si="122"/>
        <v>0.45748800000000006</v>
      </c>
      <c r="S417" s="5">
        <v>6.11</v>
      </c>
      <c r="T417" s="5">
        <v>0.97</v>
      </c>
      <c r="U417" s="3">
        <f t="shared" si="123"/>
        <v>9700</v>
      </c>
      <c r="V417" s="8">
        <v>-0.49</v>
      </c>
      <c r="W417" s="8">
        <v>-1.95</v>
      </c>
      <c r="X417" s="5">
        <f t="shared" si="124"/>
        <v>1.46</v>
      </c>
      <c r="Y417" s="23">
        <f t="shared" si="125"/>
        <v>0.31334794520547948</v>
      </c>
      <c r="Z417" s="23">
        <f t="shared" si="116"/>
        <v>3039.475068493151</v>
      </c>
      <c r="AA417" s="11">
        <f t="shared" si="117"/>
        <v>4.8315150189400873</v>
      </c>
      <c r="AB417" s="11">
        <f t="shared" si="118"/>
        <v>46865.695683718848</v>
      </c>
    </row>
    <row r="418" spans="1:28" ht="17.25" customHeight="1" x14ac:dyDescent="0.2">
      <c r="A418" t="s">
        <v>10</v>
      </c>
      <c r="B418" s="20">
        <v>1212</v>
      </c>
      <c r="C418" s="20">
        <v>7</v>
      </c>
      <c r="D418" s="20">
        <v>37</v>
      </c>
      <c r="E418" t="s">
        <v>75</v>
      </c>
      <c r="F418" s="26">
        <v>45161</v>
      </c>
      <c r="G418" t="s">
        <v>76</v>
      </c>
      <c r="H418" s="5">
        <v>36.549999999999997</v>
      </c>
      <c r="I418" s="5">
        <v>35.44</v>
      </c>
      <c r="J418" s="5">
        <v>31.73</v>
      </c>
      <c r="K418" s="5">
        <v>2.58</v>
      </c>
      <c r="L418" s="5">
        <v>0.35</v>
      </c>
      <c r="M418" s="3">
        <f t="shared" si="115"/>
        <v>350</v>
      </c>
      <c r="N418" s="5">
        <v>8.51</v>
      </c>
      <c r="O418" s="23">
        <f t="shared" si="119"/>
        <v>8.5100000000000002E-3</v>
      </c>
      <c r="P418" s="23">
        <f t="shared" si="120"/>
        <v>0.15318000000000001</v>
      </c>
      <c r="Q418" s="7">
        <f t="shared" si="121"/>
        <v>1.5318000000000002E-4</v>
      </c>
      <c r="R418" s="23">
        <f t="shared" si="122"/>
        <v>0.55144800000000005</v>
      </c>
      <c r="S418" s="5">
        <v>3.68</v>
      </c>
      <c r="T418" s="5">
        <v>0.9</v>
      </c>
      <c r="U418" s="3">
        <f t="shared" si="123"/>
        <v>9000</v>
      </c>
      <c r="V418" s="8">
        <v>-0.37</v>
      </c>
      <c r="W418" s="8">
        <v>-2.04</v>
      </c>
      <c r="X418" s="5">
        <f t="shared" si="124"/>
        <v>1.67</v>
      </c>
      <c r="Y418" s="23">
        <f t="shared" si="125"/>
        <v>0.33020838323353296</v>
      </c>
      <c r="Z418" s="23">
        <f t="shared" si="116"/>
        <v>2971.8754491017967</v>
      </c>
      <c r="AA418" s="11">
        <f t="shared" si="117"/>
        <v>5.091486277104968</v>
      </c>
      <c r="AB418" s="11">
        <f t="shared" si="118"/>
        <v>45823.376493944714</v>
      </c>
    </row>
    <row r="419" spans="1:28" ht="17.25" customHeight="1" x14ac:dyDescent="0.2">
      <c r="A419" t="s">
        <v>10</v>
      </c>
      <c r="B419" s="20">
        <v>1212</v>
      </c>
      <c r="C419" s="20">
        <v>7</v>
      </c>
      <c r="D419" s="20">
        <v>83</v>
      </c>
      <c r="E419" t="s">
        <v>75</v>
      </c>
      <c r="F419" s="26">
        <v>45161</v>
      </c>
      <c r="G419" t="s">
        <v>76</v>
      </c>
      <c r="H419" s="5">
        <v>42.3</v>
      </c>
      <c r="I419" s="5">
        <v>33.4</v>
      </c>
      <c r="J419" s="5">
        <v>31.09</v>
      </c>
      <c r="K419" s="5">
        <v>2.34</v>
      </c>
      <c r="L419" s="5">
        <v>0.26</v>
      </c>
      <c r="M419" s="3">
        <f t="shared" si="115"/>
        <v>260</v>
      </c>
      <c r="N419" s="5">
        <v>5.81</v>
      </c>
      <c r="O419" s="23">
        <f t="shared" si="119"/>
        <v>5.8099999999999992E-3</v>
      </c>
      <c r="P419" s="23">
        <f t="shared" si="120"/>
        <v>0.10457999999999998</v>
      </c>
      <c r="Q419" s="7">
        <f t="shared" si="121"/>
        <v>1.0457999999999998E-4</v>
      </c>
      <c r="R419" s="23">
        <f t="shared" si="122"/>
        <v>0.37648799999999993</v>
      </c>
      <c r="S419" s="5">
        <v>7.91</v>
      </c>
      <c r="T419" s="5">
        <v>2.14</v>
      </c>
      <c r="U419" s="3">
        <f t="shared" si="123"/>
        <v>21400</v>
      </c>
      <c r="V419" s="8">
        <v>-0.37</v>
      </c>
      <c r="W419" s="8">
        <v>-1.77</v>
      </c>
      <c r="X419" s="5">
        <f t="shared" si="124"/>
        <v>1.4</v>
      </c>
      <c r="Y419" s="23">
        <f t="shared" si="125"/>
        <v>0.26891999999999999</v>
      </c>
      <c r="Z419" s="23">
        <f t="shared" si="116"/>
        <v>5754.8879999999999</v>
      </c>
      <c r="AA419" s="11">
        <f t="shared" si="117"/>
        <v>4.1464800991158617</v>
      </c>
      <c r="AB419" s="11">
        <f t="shared" si="118"/>
        <v>88734.674121079443</v>
      </c>
    </row>
    <row r="420" spans="1:28" ht="17.25" customHeight="1" x14ac:dyDescent="0.2">
      <c r="A420" t="s">
        <v>10</v>
      </c>
      <c r="B420" s="20">
        <v>1212</v>
      </c>
      <c r="C420" s="20">
        <v>8</v>
      </c>
      <c r="D420" s="20">
        <v>38</v>
      </c>
      <c r="E420" t="s">
        <v>75</v>
      </c>
      <c r="F420" s="26">
        <v>45161</v>
      </c>
      <c r="G420" t="s">
        <v>76</v>
      </c>
      <c r="H420" s="5">
        <v>44.6</v>
      </c>
      <c r="I420" s="5">
        <v>32.380000000000003</v>
      </c>
      <c r="J420" s="5">
        <v>30.8</v>
      </c>
      <c r="K420" s="5">
        <v>2.2799999999999998</v>
      </c>
      <c r="L420" s="5">
        <v>0.23</v>
      </c>
      <c r="M420" s="3">
        <f t="shared" si="115"/>
        <v>230</v>
      </c>
      <c r="N420" s="5">
        <v>4.9800000000000004</v>
      </c>
      <c r="O420" s="23">
        <f t="shared" si="119"/>
        <v>4.9800000000000001E-3</v>
      </c>
      <c r="P420" s="23">
        <f t="shared" si="120"/>
        <v>8.9639999999999997E-2</v>
      </c>
      <c r="Q420" s="7">
        <f t="shared" si="121"/>
        <v>8.9640000000000002E-5</v>
      </c>
      <c r="R420" s="23">
        <f t="shared" si="122"/>
        <v>0.32270399999999999</v>
      </c>
      <c r="S420" s="5">
        <v>13.38</v>
      </c>
      <c r="T420" s="5">
        <v>3.28</v>
      </c>
      <c r="U420" s="3">
        <f t="shared" si="123"/>
        <v>32800</v>
      </c>
      <c r="V420" s="8">
        <v>-0.31</v>
      </c>
      <c r="W420" s="8">
        <v>-1.83</v>
      </c>
      <c r="X420" s="5">
        <f t="shared" si="124"/>
        <v>1.52</v>
      </c>
      <c r="Y420" s="23">
        <f t="shared" si="125"/>
        <v>0.21230526315789472</v>
      </c>
      <c r="Z420" s="23">
        <f t="shared" si="116"/>
        <v>6963.612631578947</v>
      </c>
      <c r="AA420" s="11">
        <f t="shared" si="117"/>
        <v>3.2735369203546272</v>
      </c>
      <c r="AB420" s="11">
        <f t="shared" si="118"/>
        <v>107372.01098763177</v>
      </c>
    </row>
    <row r="421" spans="1:28" ht="17.25" customHeight="1" x14ac:dyDescent="0.2">
      <c r="A421" t="s">
        <v>10</v>
      </c>
      <c r="B421" s="20">
        <v>1212</v>
      </c>
      <c r="C421" s="20">
        <v>8</v>
      </c>
      <c r="D421" s="20">
        <v>39</v>
      </c>
      <c r="E421" t="s">
        <v>75</v>
      </c>
      <c r="F421" s="26">
        <v>45162</v>
      </c>
      <c r="G421" t="s">
        <v>76</v>
      </c>
      <c r="H421" s="5">
        <v>33.659999999999997</v>
      </c>
      <c r="I421" s="5">
        <v>34.479999999999997</v>
      </c>
      <c r="J421" s="5">
        <v>30.89</v>
      </c>
      <c r="K421" s="5">
        <v>2.63</v>
      </c>
      <c r="L421" s="5">
        <v>0.27</v>
      </c>
      <c r="M421" s="3">
        <f t="shared" si="115"/>
        <v>270</v>
      </c>
      <c r="N421" s="5">
        <v>6.72</v>
      </c>
      <c r="O421" s="23">
        <f t="shared" si="119"/>
        <v>6.7199999999999994E-3</v>
      </c>
      <c r="P421" s="23">
        <f t="shared" si="120"/>
        <v>0.12095999999999998</v>
      </c>
      <c r="Q421" s="7">
        <f t="shared" si="121"/>
        <v>1.2095999999999998E-4</v>
      </c>
      <c r="R421" s="23">
        <f t="shared" si="122"/>
        <v>0.43545599999999995</v>
      </c>
      <c r="S421" s="5">
        <v>3.71</v>
      </c>
      <c r="T421" s="5">
        <v>1.36</v>
      </c>
      <c r="U421" s="5">
        <f t="shared" si="123"/>
        <v>13600.000000000002</v>
      </c>
      <c r="V421" s="8">
        <v>-0.31</v>
      </c>
      <c r="W421" s="8">
        <v>-1.65</v>
      </c>
      <c r="X421" s="5">
        <f t="shared" si="124"/>
        <v>1.3399999999999999</v>
      </c>
      <c r="Y421" s="23">
        <f t="shared" si="125"/>
        <v>0.32496716417910448</v>
      </c>
      <c r="Z421" s="23">
        <f t="shared" si="116"/>
        <v>4419.5534328358217</v>
      </c>
      <c r="AA421" s="11">
        <f t="shared" si="117"/>
        <v>5.0106718694584771</v>
      </c>
      <c r="AB421" s="11">
        <f t="shared" si="118"/>
        <v>68145.137424635293</v>
      </c>
    </row>
    <row r="422" spans="1:28" ht="17.25" customHeight="1" x14ac:dyDescent="0.2">
      <c r="A422" t="s">
        <v>10</v>
      </c>
      <c r="B422" s="20">
        <v>1212</v>
      </c>
      <c r="C422" s="20">
        <v>8</v>
      </c>
      <c r="D422" s="20">
        <v>40</v>
      </c>
      <c r="E422" t="s">
        <v>75</v>
      </c>
      <c r="F422" s="26">
        <v>45162</v>
      </c>
      <c r="G422" t="s">
        <v>76</v>
      </c>
      <c r="H422" s="5">
        <v>34.25</v>
      </c>
      <c r="I422" s="5">
        <v>34.130000000000003</v>
      </c>
      <c r="J422" s="5">
        <v>32.270000000000003</v>
      </c>
      <c r="K422" s="5">
        <v>2.99</v>
      </c>
      <c r="L422" s="5">
        <v>0.15</v>
      </c>
      <c r="M422" s="3">
        <f t="shared" si="115"/>
        <v>150</v>
      </c>
      <c r="N422" s="5">
        <v>4.3</v>
      </c>
      <c r="O422" s="23">
        <f t="shared" si="119"/>
        <v>4.3E-3</v>
      </c>
      <c r="P422" s="23">
        <f t="shared" si="120"/>
        <v>7.7399999999999997E-2</v>
      </c>
      <c r="Q422" s="7">
        <f t="shared" si="121"/>
        <v>7.7399999999999998E-5</v>
      </c>
      <c r="R422" s="23">
        <f t="shared" si="122"/>
        <v>0.27864</v>
      </c>
      <c r="S422" s="5">
        <v>4.62</v>
      </c>
      <c r="T422" s="5">
        <v>1.66</v>
      </c>
      <c r="U422" s="3">
        <f t="shared" si="123"/>
        <v>16600</v>
      </c>
      <c r="V422" s="8">
        <v>-0.33</v>
      </c>
      <c r="W422" s="8">
        <v>-1.88</v>
      </c>
      <c r="X422" s="5">
        <f t="shared" si="124"/>
        <v>1.5499999999999998</v>
      </c>
      <c r="Y422" s="23">
        <f t="shared" si="125"/>
        <v>0.17976774193548389</v>
      </c>
      <c r="Z422" s="23">
        <f t="shared" si="116"/>
        <v>2984.1445161290326</v>
      </c>
      <c r="AA422" s="11">
        <f t="shared" si="117"/>
        <v>2.7718405637307741</v>
      </c>
      <c r="AB422" s="11">
        <f t="shared" si="118"/>
        <v>46012.553357930854</v>
      </c>
    </row>
    <row r="423" spans="1:28" ht="17.25" customHeight="1" x14ac:dyDescent="0.2">
      <c r="A423" t="s">
        <v>10</v>
      </c>
      <c r="B423" s="20">
        <v>1212</v>
      </c>
      <c r="C423" s="20">
        <v>10</v>
      </c>
      <c r="D423" s="20">
        <v>21</v>
      </c>
      <c r="E423" t="s">
        <v>75</v>
      </c>
      <c r="F423" s="26">
        <v>45161</v>
      </c>
      <c r="G423" t="s">
        <v>76</v>
      </c>
      <c r="H423" s="5">
        <v>37.590000000000003</v>
      </c>
      <c r="I423" s="5">
        <v>35.36</v>
      </c>
      <c r="J423" s="5">
        <v>32.33</v>
      </c>
      <c r="K423" s="5">
        <v>2.69</v>
      </c>
      <c r="L423" s="5">
        <v>0.36</v>
      </c>
      <c r="M423" s="3">
        <f t="shared" si="115"/>
        <v>360</v>
      </c>
      <c r="N423" s="3">
        <v>9</v>
      </c>
      <c r="O423" s="23">
        <f t="shared" si="119"/>
        <v>8.9999999999999993E-3</v>
      </c>
      <c r="P423" s="23">
        <f t="shared" si="120"/>
        <v>0.16199999999999998</v>
      </c>
      <c r="Q423" s="7">
        <f t="shared" si="121"/>
        <v>1.6199999999999998E-4</v>
      </c>
      <c r="R423" s="23">
        <f t="shared" si="122"/>
        <v>0.58319999999999994</v>
      </c>
      <c r="S423" s="5">
        <v>4.78</v>
      </c>
      <c r="T423" s="5">
        <v>1.38</v>
      </c>
      <c r="U423" s="5">
        <f t="shared" si="123"/>
        <v>13799.999999999998</v>
      </c>
      <c r="V423" s="8">
        <v>-0.34</v>
      </c>
      <c r="W423" s="8">
        <v>-2.2599999999999998</v>
      </c>
      <c r="X423" s="5">
        <f t="shared" si="124"/>
        <v>1.9199999999999997</v>
      </c>
      <c r="Y423" s="23">
        <f t="shared" si="125"/>
        <v>0.30375000000000002</v>
      </c>
      <c r="Z423" s="23">
        <f t="shared" si="116"/>
        <v>4191.75</v>
      </c>
      <c r="AA423" s="11">
        <f t="shared" si="117"/>
        <v>4.6835242083386985</v>
      </c>
      <c r="AB423" s="11">
        <f t="shared" si="118"/>
        <v>64632.634075074035</v>
      </c>
    </row>
    <row r="424" spans="1:28" ht="17.25" customHeight="1" x14ac:dyDescent="0.2">
      <c r="A424" t="s">
        <v>10</v>
      </c>
      <c r="B424" s="20">
        <v>1212</v>
      </c>
      <c r="C424" s="20">
        <v>10</v>
      </c>
      <c r="D424" s="20">
        <v>41</v>
      </c>
      <c r="E424" t="s">
        <v>75</v>
      </c>
      <c r="F424" s="26">
        <v>45162</v>
      </c>
      <c r="G424" t="s">
        <v>76</v>
      </c>
      <c r="H424" s="5">
        <v>33.58</v>
      </c>
      <c r="I424" s="5">
        <v>34.6</v>
      </c>
      <c r="J424" s="5">
        <v>30.68</v>
      </c>
      <c r="K424" s="5">
        <v>2.56</v>
      </c>
      <c r="L424" s="5">
        <v>0.23</v>
      </c>
      <c r="M424" s="3">
        <f t="shared" si="115"/>
        <v>230</v>
      </c>
      <c r="N424" s="5">
        <v>5.6</v>
      </c>
      <c r="O424" s="23">
        <f t="shared" si="119"/>
        <v>5.5999999999999999E-3</v>
      </c>
      <c r="P424" s="23">
        <f t="shared" si="120"/>
        <v>0.1008</v>
      </c>
      <c r="Q424" s="7">
        <f t="shared" si="121"/>
        <v>1.008E-4</v>
      </c>
      <c r="R424" s="23">
        <f t="shared" si="122"/>
        <v>0.36287999999999998</v>
      </c>
      <c r="S424" s="5">
        <v>15.53</v>
      </c>
      <c r="T424" s="5">
        <v>3.35</v>
      </c>
      <c r="U424" s="3">
        <f t="shared" si="123"/>
        <v>33500</v>
      </c>
      <c r="V424" s="8">
        <v>-0.28999999999999998</v>
      </c>
      <c r="W424" s="8">
        <v>-1.95</v>
      </c>
      <c r="X424" s="5">
        <f t="shared" si="124"/>
        <v>1.66</v>
      </c>
      <c r="Y424" s="23">
        <f t="shared" si="125"/>
        <v>0.21860240963855421</v>
      </c>
      <c r="Z424" s="23">
        <f t="shared" si="116"/>
        <v>7323.1807228915659</v>
      </c>
      <c r="AA424" s="11">
        <f t="shared" si="117"/>
        <v>3.3706326832702604</v>
      </c>
      <c r="AB424" s="11">
        <f t="shared" si="118"/>
        <v>112916.19488955372</v>
      </c>
    </row>
    <row r="425" spans="1:28" ht="17.25" customHeight="1" x14ac:dyDescent="0.2">
      <c r="A425" t="s">
        <v>10</v>
      </c>
      <c r="B425" s="20">
        <v>1212</v>
      </c>
      <c r="C425" s="20">
        <v>10</v>
      </c>
      <c r="D425" s="20">
        <v>42</v>
      </c>
      <c r="E425" t="s">
        <v>75</v>
      </c>
      <c r="F425" s="26">
        <v>45162</v>
      </c>
      <c r="G425" t="s">
        <v>76</v>
      </c>
      <c r="H425" s="5">
        <v>33.450000000000003</v>
      </c>
      <c r="I425" s="5">
        <v>34.39</v>
      </c>
      <c r="J425" s="5">
        <v>30.05</v>
      </c>
      <c r="K425" s="5">
        <v>2.44</v>
      </c>
      <c r="L425" s="5">
        <v>0.24</v>
      </c>
      <c r="M425" s="3">
        <f t="shared" si="115"/>
        <v>240</v>
      </c>
      <c r="N425" s="5">
        <v>5.59</v>
      </c>
      <c r="O425" s="23">
        <f t="shared" si="119"/>
        <v>5.5899999999999995E-3</v>
      </c>
      <c r="P425" s="23">
        <f t="shared" si="120"/>
        <v>0.10061999999999999</v>
      </c>
      <c r="Q425" s="7">
        <f t="shared" si="121"/>
        <v>1.0061999999999998E-4</v>
      </c>
      <c r="R425" s="23">
        <f t="shared" si="122"/>
        <v>0.36223199999999994</v>
      </c>
      <c r="S425" s="5">
        <v>14.52</v>
      </c>
      <c r="T425" s="5">
        <v>3.06</v>
      </c>
      <c r="U425" s="3">
        <f t="shared" si="123"/>
        <v>30600</v>
      </c>
      <c r="V425" s="8">
        <v>-0.42</v>
      </c>
      <c r="W425" s="8">
        <v>-1.72</v>
      </c>
      <c r="X425" s="5">
        <f t="shared" si="124"/>
        <v>1.3</v>
      </c>
      <c r="Y425" s="23">
        <f t="shared" si="125"/>
        <v>0.27863999999999994</v>
      </c>
      <c r="Z425" s="23">
        <f t="shared" si="116"/>
        <v>8526.3839999999982</v>
      </c>
      <c r="AA425" s="11">
        <f t="shared" si="117"/>
        <v>4.2963528737826984</v>
      </c>
      <c r="AB425" s="11">
        <f t="shared" si="118"/>
        <v>131468.39793775056</v>
      </c>
    </row>
    <row r="426" spans="1:28" ht="17.25" customHeight="1" x14ac:dyDescent="0.2">
      <c r="A426" t="s">
        <v>7</v>
      </c>
      <c r="B426" s="20">
        <v>72</v>
      </c>
      <c r="C426" s="20">
        <v>156</v>
      </c>
      <c r="D426" s="20">
        <v>43</v>
      </c>
      <c r="E426" t="s">
        <v>77</v>
      </c>
      <c r="F426" s="26">
        <v>45161</v>
      </c>
      <c r="G426" t="s">
        <v>76</v>
      </c>
      <c r="H426" s="5">
        <v>19.13</v>
      </c>
      <c r="I426" s="5">
        <v>41.4</v>
      </c>
      <c r="J426" s="5">
        <v>39.56</v>
      </c>
      <c r="K426" s="5">
        <v>5.69</v>
      </c>
      <c r="L426" s="5">
        <v>7.0000000000000007E-2</v>
      </c>
      <c r="M426" s="3">
        <f t="shared" si="115"/>
        <v>70</v>
      </c>
      <c r="N426" s="5">
        <v>3.72</v>
      </c>
      <c r="O426" s="23">
        <f t="shared" si="119"/>
        <v>3.7200000000000002E-3</v>
      </c>
      <c r="P426" s="23">
        <f t="shared" si="120"/>
        <v>6.6960000000000006E-2</v>
      </c>
      <c r="Q426" s="7">
        <f t="shared" si="121"/>
        <v>6.6960000000000009E-5</v>
      </c>
      <c r="R426" s="23">
        <f t="shared" si="122"/>
        <v>0.24105600000000002</v>
      </c>
      <c r="S426" s="5">
        <v>18.53</v>
      </c>
      <c r="T426" s="5">
        <v>3.87</v>
      </c>
      <c r="U426" s="3">
        <f t="shared" si="123"/>
        <v>38700</v>
      </c>
      <c r="V426" s="8">
        <v>-0.22</v>
      </c>
      <c r="W426" s="8">
        <v>-1.85</v>
      </c>
      <c r="X426" s="5">
        <f t="shared" si="124"/>
        <v>1.6300000000000001</v>
      </c>
      <c r="Y426" s="23">
        <f t="shared" si="125"/>
        <v>0.14788711656441719</v>
      </c>
      <c r="Z426" s="23">
        <f t="shared" si="116"/>
        <v>5723.2314110429452</v>
      </c>
      <c r="AA426" s="11">
        <f t="shared" si="117"/>
        <v>2.2802728906365597</v>
      </c>
      <c r="AB426" s="11">
        <f t="shared" si="118"/>
        <v>88246.560867634864</v>
      </c>
    </row>
    <row r="427" spans="1:28" ht="17.25" customHeight="1" x14ac:dyDescent="0.2">
      <c r="A427" t="s">
        <v>7</v>
      </c>
      <c r="B427" s="20">
        <v>72</v>
      </c>
      <c r="C427" s="20">
        <v>156</v>
      </c>
      <c r="D427" s="20">
        <v>44</v>
      </c>
      <c r="E427" t="s">
        <v>77</v>
      </c>
      <c r="F427" s="26">
        <v>45162</v>
      </c>
      <c r="G427" t="s">
        <v>76</v>
      </c>
      <c r="H427" s="5">
        <v>20.63</v>
      </c>
      <c r="I427" s="5">
        <v>42.19</v>
      </c>
      <c r="J427" s="5">
        <v>39.119999999999997</v>
      </c>
      <c r="K427" s="5">
        <v>5.33</v>
      </c>
      <c r="L427" s="5">
        <v>0.12</v>
      </c>
      <c r="M427" s="3">
        <f t="shared" si="115"/>
        <v>120</v>
      </c>
      <c r="N427" s="5">
        <v>5.85</v>
      </c>
      <c r="O427" s="23">
        <f t="shared" si="119"/>
        <v>5.8499999999999993E-3</v>
      </c>
      <c r="P427" s="23">
        <f t="shared" si="120"/>
        <v>0.10529999999999999</v>
      </c>
      <c r="Q427" s="7">
        <f t="shared" si="121"/>
        <v>1.0529999999999998E-4</v>
      </c>
      <c r="R427" s="23">
        <f t="shared" si="122"/>
        <v>0.37907999999999992</v>
      </c>
      <c r="S427" s="5">
        <v>5.08</v>
      </c>
      <c r="T427" s="5">
        <v>1.59</v>
      </c>
      <c r="U427" s="3">
        <f t="shared" si="123"/>
        <v>15900</v>
      </c>
      <c r="V427" s="8">
        <v>-0.27</v>
      </c>
      <c r="W427" s="8">
        <v>-1.87</v>
      </c>
      <c r="X427" s="5">
        <f t="shared" si="124"/>
        <v>1.6</v>
      </c>
      <c r="Y427" s="23">
        <f t="shared" si="125"/>
        <v>0.23692499999999994</v>
      </c>
      <c r="Z427" s="23">
        <f t="shared" si="116"/>
        <v>3767.1074999999992</v>
      </c>
      <c r="AA427" s="11">
        <f t="shared" si="117"/>
        <v>3.6531488825041842</v>
      </c>
      <c r="AB427" s="11">
        <f t="shared" si="118"/>
        <v>58085.067231816531</v>
      </c>
    </row>
    <row r="428" spans="1:28" ht="17.25" customHeight="1" x14ac:dyDescent="0.2">
      <c r="A428" t="s">
        <v>7</v>
      </c>
      <c r="B428" s="20">
        <v>72</v>
      </c>
      <c r="C428" s="20">
        <v>156</v>
      </c>
      <c r="D428" s="20">
        <v>45</v>
      </c>
      <c r="E428" t="s">
        <v>77</v>
      </c>
      <c r="F428" s="26">
        <v>45161</v>
      </c>
      <c r="G428" t="s">
        <v>76</v>
      </c>
      <c r="H428" s="3">
        <v>19</v>
      </c>
      <c r="I428" s="5">
        <v>40.93</v>
      </c>
      <c r="J428" s="5">
        <v>36.840000000000003</v>
      </c>
      <c r="K428" s="5">
        <v>4.75</v>
      </c>
      <c r="L428" s="5">
        <v>0.12</v>
      </c>
      <c r="M428" s="3">
        <f t="shared" si="115"/>
        <v>120</v>
      </c>
      <c r="N428" s="5">
        <v>5.26</v>
      </c>
      <c r="O428" s="23">
        <f t="shared" si="119"/>
        <v>5.2599999999999999E-3</v>
      </c>
      <c r="P428" s="23">
        <f t="shared" si="120"/>
        <v>9.468E-2</v>
      </c>
      <c r="Q428" s="7">
        <f t="shared" si="121"/>
        <v>9.4679999999999995E-5</v>
      </c>
      <c r="R428" s="23">
        <f t="shared" si="122"/>
        <v>0.34084799999999998</v>
      </c>
      <c r="S428" s="5">
        <v>13.38</v>
      </c>
      <c r="T428" s="5">
        <v>3.64</v>
      </c>
      <c r="U428" s="3">
        <f t="shared" si="123"/>
        <v>36400</v>
      </c>
      <c r="V428" s="8">
        <v>-0.48</v>
      </c>
      <c r="W428" s="8">
        <v>-1.9</v>
      </c>
      <c r="X428" s="5">
        <f t="shared" si="124"/>
        <v>1.42</v>
      </c>
      <c r="Y428" s="23">
        <f t="shared" si="125"/>
        <v>0.2400338028169014</v>
      </c>
      <c r="Z428" s="23">
        <f t="shared" si="116"/>
        <v>8737.2304225352109</v>
      </c>
      <c r="AA428" s="11">
        <f t="shared" si="117"/>
        <v>3.70108354341582</v>
      </c>
      <c r="AB428" s="11">
        <f t="shared" si="118"/>
        <v>134719.44098033584</v>
      </c>
    </row>
    <row r="429" spans="1:28" ht="17.25" customHeight="1" x14ac:dyDescent="0.2">
      <c r="A429" t="s">
        <v>7</v>
      </c>
      <c r="B429" s="20">
        <v>72</v>
      </c>
      <c r="C429" s="20">
        <v>149</v>
      </c>
      <c r="D429" s="20">
        <v>46</v>
      </c>
      <c r="E429" t="s">
        <v>77</v>
      </c>
      <c r="F429" s="26">
        <v>45161</v>
      </c>
      <c r="G429" t="s">
        <v>76</v>
      </c>
      <c r="H429" s="3">
        <v>17</v>
      </c>
      <c r="I429" s="5">
        <v>41.98</v>
      </c>
      <c r="J429" s="3">
        <v>38</v>
      </c>
      <c r="K429" s="5">
        <v>5.23</v>
      </c>
      <c r="L429" s="5">
        <v>0.11</v>
      </c>
      <c r="M429" s="3">
        <f t="shared" si="115"/>
        <v>110</v>
      </c>
      <c r="N429" s="5">
        <v>5.17</v>
      </c>
      <c r="O429" s="23">
        <f t="shared" si="119"/>
        <v>5.1700000000000001E-3</v>
      </c>
      <c r="P429" s="23">
        <f t="shared" si="120"/>
        <v>9.3060000000000004E-2</v>
      </c>
      <c r="Q429" s="7">
        <f t="shared" si="121"/>
        <v>9.3060000000000007E-5</v>
      </c>
      <c r="R429" s="23">
        <f t="shared" si="122"/>
        <v>0.33501600000000004</v>
      </c>
      <c r="S429" s="5">
        <v>10.99</v>
      </c>
      <c r="T429" s="5">
        <v>2.0499999999999998</v>
      </c>
      <c r="U429" s="3">
        <f t="shared" si="123"/>
        <v>20500</v>
      </c>
      <c r="V429" s="8">
        <v>-0.3</v>
      </c>
      <c r="W429" s="8">
        <v>-2.0699999999999998</v>
      </c>
      <c r="X429" s="5">
        <f t="shared" si="124"/>
        <v>1.7699999999999998</v>
      </c>
      <c r="Y429" s="23">
        <f t="shared" si="125"/>
        <v>0.18927457627118649</v>
      </c>
      <c r="Z429" s="23">
        <f t="shared" si="116"/>
        <v>3880.1288135593231</v>
      </c>
      <c r="AA429" s="11">
        <f t="shared" si="117"/>
        <v>2.9184265349437086</v>
      </c>
      <c r="AB429" s="11">
        <f t="shared" si="118"/>
        <v>59827.743966346025</v>
      </c>
    </row>
    <row r="430" spans="1:28" ht="17.25" customHeight="1" x14ac:dyDescent="0.2">
      <c r="A430" t="s">
        <v>7</v>
      </c>
      <c r="B430" s="20">
        <v>72</v>
      </c>
      <c r="C430" s="20">
        <v>149</v>
      </c>
      <c r="D430" s="20">
        <v>47</v>
      </c>
      <c r="E430" t="s">
        <v>77</v>
      </c>
      <c r="F430" s="26">
        <v>45162</v>
      </c>
      <c r="G430" t="s">
        <v>76</v>
      </c>
      <c r="H430" s="5">
        <v>18.89</v>
      </c>
      <c r="I430" s="5">
        <v>42.87</v>
      </c>
      <c r="J430" s="5">
        <v>38.549999999999997</v>
      </c>
      <c r="K430" s="5">
        <v>5.21</v>
      </c>
      <c r="L430" s="5">
        <v>0.13</v>
      </c>
      <c r="M430" s="3">
        <f t="shared" si="115"/>
        <v>130</v>
      </c>
      <c r="N430" s="5">
        <v>6.58</v>
      </c>
      <c r="O430" s="23">
        <f t="shared" ref="O430:O461" si="126">N430/1000</f>
        <v>6.5799999999999999E-3</v>
      </c>
      <c r="P430" s="23">
        <f t="shared" ref="P430:P461" si="127">O430*18</f>
        <v>0.11844</v>
      </c>
      <c r="Q430" s="7">
        <f t="shared" ref="Q430:Q461" si="128">P430/1000</f>
        <v>1.1844E-4</v>
      </c>
      <c r="R430" s="23">
        <f t="shared" ref="R430:R461" si="129">Q430*3600</f>
        <v>0.42638399999999999</v>
      </c>
      <c r="S430" s="5">
        <v>10.98</v>
      </c>
      <c r="T430" s="5">
        <v>2.5099999999999998</v>
      </c>
      <c r="U430" s="5">
        <f t="shared" ref="U430:U461" si="130">T430*10000</f>
        <v>25099.999999999996</v>
      </c>
      <c r="V430" s="8">
        <v>-0.32</v>
      </c>
      <c r="W430" s="8">
        <v>-2.4700000000000002</v>
      </c>
      <c r="X430" s="5">
        <f t="shared" ref="X430:X461" si="131">V430-W430</f>
        <v>2.1500000000000004</v>
      </c>
      <c r="Y430" s="23">
        <f t="shared" ref="Y430:Y461" si="132">R430/X430</f>
        <v>0.19831813953488367</v>
      </c>
      <c r="Z430" s="23">
        <f t="shared" si="116"/>
        <v>4977.7853023255793</v>
      </c>
      <c r="AA430" s="11">
        <f t="shared" si="117"/>
        <v>3.0578693249854147</v>
      </c>
      <c r="AB430" s="11">
        <f t="shared" si="118"/>
        <v>76752.520057133894</v>
      </c>
    </row>
    <row r="431" spans="1:28" ht="17.25" customHeight="1" x14ac:dyDescent="0.2">
      <c r="A431" t="s">
        <v>7</v>
      </c>
      <c r="B431" s="20">
        <v>72</v>
      </c>
      <c r="C431" s="20">
        <v>149</v>
      </c>
      <c r="D431" s="20">
        <v>48</v>
      </c>
      <c r="E431" t="s">
        <v>77</v>
      </c>
      <c r="F431" s="26">
        <v>45162</v>
      </c>
      <c r="G431" t="s">
        <v>76</v>
      </c>
      <c r="H431" s="5">
        <v>19.32</v>
      </c>
      <c r="I431" s="5">
        <v>42.72</v>
      </c>
      <c r="J431" s="5">
        <v>38.14</v>
      </c>
      <c r="K431" s="5">
        <v>5.03</v>
      </c>
      <c r="L431" s="5">
        <v>0.12</v>
      </c>
      <c r="M431" s="3">
        <f t="shared" si="115"/>
        <v>120</v>
      </c>
      <c r="N431" s="5">
        <v>5.83</v>
      </c>
      <c r="O431" s="23">
        <f t="shared" si="126"/>
        <v>5.8300000000000001E-3</v>
      </c>
      <c r="P431" s="23">
        <f t="shared" si="127"/>
        <v>0.10494000000000001</v>
      </c>
      <c r="Q431" s="7">
        <f t="shared" si="128"/>
        <v>1.0494000000000001E-4</v>
      </c>
      <c r="R431" s="23">
        <f t="shared" si="129"/>
        <v>0.37778400000000001</v>
      </c>
      <c r="S431" s="5">
        <v>17.25</v>
      </c>
      <c r="T431" s="5">
        <v>2.85</v>
      </c>
      <c r="U431" s="3">
        <f t="shared" si="130"/>
        <v>28500</v>
      </c>
      <c r="V431" s="8">
        <v>-0.56999999999999995</v>
      </c>
      <c r="W431" s="8">
        <v>-1.85</v>
      </c>
      <c r="X431" s="5">
        <f t="shared" si="131"/>
        <v>1.2800000000000002</v>
      </c>
      <c r="Y431" s="23">
        <f t="shared" si="132"/>
        <v>0.29514374999999993</v>
      </c>
      <c r="Z431" s="23">
        <f t="shared" si="116"/>
        <v>8411.5968749999975</v>
      </c>
      <c r="AA431" s="11">
        <f t="shared" si="117"/>
        <v>4.5508243557691017</v>
      </c>
      <c r="AB431" s="11">
        <f t="shared" si="118"/>
        <v>129698.4941394194</v>
      </c>
    </row>
    <row r="432" spans="1:28" ht="17.25" customHeight="1" x14ac:dyDescent="0.2">
      <c r="A432" t="s">
        <v>7</v>
      </c>
      <c r="B432" s="20">
        <v>72</v>
      </c>
      <c r="C432" s="20">
        <v>152</v>
      </c>
      <c r="D432" s="20">
        <v>49</v>
      </c>
      <c r="E432" t="s">
        <v>77</v>
      </c>
      <c r="F432" s="26">
        <v>45161</v>
      </c>
      <c r="G432" t="s">
        <v>76</v>
      </c>
      <c r="H432" s="5">
        <v>17.86</v>
      </c>
      <c r="I432" s="5">
        <v>41.28</v>
      </c>
      <c r="J432" s="5">
        <v>36.32</v>
      </c>
      <c r="K432" s="5">
        <v>4.6500000000000004</v>
      </c>
      <c r="L432" s="5">
        <v>0.15</v>
      </c>
      <c r="M432" s="3">
        <f t="shared" si="115"/>
        <v>150</v>
      </c>
      <c r="N432" s="5">
        <v>6.53</v>
      </c>
      <c r="O432" s="23">
        <f t="shared" si="126"/>
        <v>6.5300000000000002E-3</v>
      </c>
      <c r="P432" s="23">
        <f t="shared" si="127"/>
        <v>0.11754000000000001</v>
      </c>
      <c r="Q432" s="7">
        <f t="shared" si="128"/>
        <v>1.1754E-4</v>
      </c>
      <c r="R432" s="23">
        <f t="shared" si="129"/>
        <v>0.42314400000000002</v>
      </c>
      <c r="S432" s="5">
        <v>16.68</v>
      </c>
      <c r="T432" s="5">
        <v>2.78</v>
      </c>
      <c r="U432" s="5">
        <f t="shared" si="130"/>
        <v>27799.999999999996</v>
      </c>
      <c r="V432" s="8">
        <v>-0.44</v>
      </c>
      <c r="W432" s="8">
        <v>-2.09</v>
      </c>
      <c r="X432" s="5">
        <f t="shared" si="131"/>
        <v>1.65</v>
      </c>
      <c r="Y432" s="23">
        <f t="shared" si="132"/>
        <v>0.25645090909090912</v>
      </c>
      <c r="Z432" s="23">
        <f t="shared" si="116"/>
        <v>7129.3352727272722</v>
      </c>
      <c r="AA432" s="11">
        <f t="shared" si="117"/>
        <v>3.9542190649472917</v>
      </c>
      <c r="AB432" s="11">
        <f t="shared" si="118"/>
        <v>109927.2900055347</v>
      </c>
    </row>
    <row r="433" spans="1:28" ht="17.25" customHeight="1" x14ac:dyDescent="0.2">
      <c r="A433" t="s">
        <v>7</v>
      </c>
      <c r="B433" s="20">
        <v>72</v>
      </c>
      <c r="C433" s="20">
        <v>152</v>
      </c>
      <c r="D433" s="20">
        <v>50</v>
      </c>
      <c r="E433" t="s">
        <v>77</v>
      </c>
      <c r="F433" s="26">
        <v>45162</v>
      </c>
      <c r="G433" t="s">
        <v>76</v>
      </c>
      <c r="H433" s="5">
        <v>19.87</v>
      </c>
      <c r="I433" s="5">
        <v>42.92</v>
      </c>
      <c r="J433" s="5">
        <v>38.04</v>
      </c>
      <c r="K433" s="5">
        <v>4.96</v>
      </c>
      <c r="L433" s="5">
        <v>0.17</v>
      </c>
      <c r="M433" s="3">
        <f t="shared" si="115"/>
        <v>170</v>
      </c>
      <c r="N433" s="5">
        <v>7.74</v>
      </c>
      <c r="O433" s="23">
        <f t="shared" si="126"/>
        <v>7.7400000000000004E-3</v>
      </c>
      <c r="P433" s="23">
        <f t="shared" si="127"/>
        <v>0.13932</v>
      </c>
      <c r="Q433" s="7">
        <f t="shared" si="128"/>
        <v>1.3931999999999999E-4</v>
      </c>
      <c r="R433" s="23">
        <f t="shared" si="129"/>
        <v>0.501552</v>
      </c>
      <c r="S433" s="5">
        <v>29.47</v>
      </c>
      <c r="T433" s="5">
        <v>3.96</v>
      </c>
      <c r="U433" s="3">
        <f t="shared" si="130"/>
        <v>39600</v>
      </c>
      <c r="V433" s="8">
        <v>-0.36</v>
      </c>
      <c r="W433" s="8">
        <v>-1.95</v>
      </c>
      <c r="X433" s="5">
        <f t="shared" si="131"/>
        <v>1.5899999999999999</v>
      </c>
      <c r="Y433" s="23">
        <f t="shared" si="132"/>
        <v>0.31544150943396226</v>
      </c>
      <c r="Z433" s="23">
        <f t="shared" si="116"/>
        <v>12491.483773584905</v>
      </c>
      <c r="AA433" s="11">
        <f t="shared" si="117"/>
        <v>4.8637957061690953</v>
      </c>
      <c r="AB433" s="11">
        <f t="shared" si="118"/>
        <v>192606.30996429618</v>
      </c>
    </row>
    <row r="434" spans="1:28" ht="17.25" customHeight="1" x14ac:dyDescent="0.2">
      <c r="A434" t="s">
        <v>7</v>
      </c>
      <c r="B434" s="20">
        <v>72</v>
      </c>
      <c r="C434" s="20">
        <v>152</v>
      </c>
      <c r="D434" s="20">
        <v>51</v>
      </c>
      <c r="E434" t="s">
        <v>77</v>
      </c>
      <c r="F434" s="26">
        <v>45162</v>
      </c>
      <c r="G434" t="s">
        <v>76</v>
      </c>
      <c r="H434" s="5">
        <v>21.22</v>
      </c>
      <c r="I434" s="5">
        <v>42.12</v>
      </c>
      <c r="J434" s="5">
        <v>35.81</v>
      </c>
      <c r="K434" s="5">
        <v>4.13</v>
      </c>
      <c r="L434" s="5">
        <v>0.37</v>
      </c>
      <c r="M434" s="3">
        <f t="shared" si="115"/>
        <v>370</v>
      </c>
      <c r="N434" s="5">
        <v>14.39</v>
      </c>
      <c r="O434" s="23">
        <f t="shared" si="126"/>
        <v>1.439E-2</v>
      </c>
      <c r="P434" s="23">
        <f t="shared" si="127"/>
        <v>0.25902000000000003</v>
      </c>
      <c r="Q434" s="7">
        <f t="shared" si="128"/>
        <v>2.5902000000000005E-4</v>
      </c>
      <c r="R434" s="23">
        <f t="shared" si="129"/>
        <v>0.93247200000000019</v>
      </c>
      <c r="S434" s="5">
        <v>11.56</v>
      </c>
      <c r="T434" s="5">
        <v>1.91</v>
      </c>
      <c r="U434" s="3">
        <f t="shared" si="130"/>
        <v>19100</v>
      </c>
      <c r="V434" s="8">
        <v>-0.28000000000000003</v>
      </c>
      <c r="W434" s="8">
        <v>-1.48</v>
      </c>
      <c r="X434" s="5">
        <f t="shared" si="131"/>
        <v>1.2</v>
      </c>
      <c r="Y434" s="23">
        <f t="shared" si="132"/>
        <v>0.7770600000000002</v>
      </c>
      <c r="Z434" s="23">
        <f t="shared" si="116"/>
        <v>14841.846000000003</v>
      </c>
      <c r="AA434" s="11">
        <f t="shared" si="117"/>
        <v>11.981495708087802</v>
      </c>
      <c r="AB434" s="11">
        <f t="shared" si="118"/>
        <v>228846.56802447702</v>
      </c>
    </row>
    <row r="435" spans="1:28" ht="17.25" customHeight="1" x14ac:dyDescent="0.2">
      <c r="A435" t="s">
        <v>7</v>
      </c>
      <c r="B435" s="20">
        <v>72</v>
      </c>
      <c r="C435" s="20">
        <v>155</v>
      </c>
      <c r="D435" s="20">
        <v>58</v>
      </c>
      <c r="E435" t="s">
        <v>77</v>
      </c>
      <c r="F435" s="26">
        <v>45162</v>
      </c>
      <c r="G435" t="s">
        <v>76</v>
      </c>
      <c r="H435" s="5">
        <v>18.68</v>
      </c>
      <c r="I435" s="5">
        <v>42.85</v>
      </c>
      <c r="J435" s="5">
        <v>39.32</v>
      </c>
      <c r="K435" s="5">
        <v>5.51</v>
      </c>
      <c r="L435" s="5">
        <v>0.09</v>
      </c>
      <c r="M435" s="3">
        <f t="shared" si="115"/>
        <v>90</v>
      </c>
      <c r="N435" s="5">
        <v>4.7300000000000004</v>
      </c>
      <c r="O435" s="23">
        <f t="shared" si="126"/>
        <v>4.7300000000000007E-3</v>
      </c>
      <c r="P435" s="23">
        <f t="shared" si="127"/>
        <v>8.5140000000000007E-2</v>
      </c>
      <c r="Q435" s="7">
        <f t="shared" si="128"/>
        <v>8.5140000000000001E-5</v>
      </c>
      <c r="R435" s="23">
        <f t="shared" si="129"/>
        <v>0.306504</v>
      </c>
      <c r="S435" s="5">
        <v>25.14</v>
      </c>
      <c r="T435" s="5">
        <v>4.53</v>
      </c>
      <c r="U435" s="3">
        <f t="shared" si="130"/>
        <v>45300</v>
      </c>
      <c r="V435" s="8">
        <v>-0.45</v>
      </c>
      <c r="W435" s="8">
        <v>-2.11</v>
      </c>
      <c r="X435" s="5">
        <f t="shared" si="131"/>
        <v>1.66</v>
      </c>
      <c r="Y435" s="23">
        <f t="shared" si="132"/>
        <v>0.1846409638554217</v>
      </c>
      <c r="Z435" s="23">
        <f t="shared" si="116"/>
        <v>8364.2356626506025</v>
      </c>
      <c r="AA435" s="11">
        <f t="shared" si="117"/>
        <v>2.8469808199764879</v>
      </c>
      <c r="AB435" s="11">
        <f t="shared" si="118"/>
        <v>128968.23114493491</v>
      </c>
    </row>
    <row r="436" spans="1:28" ht="17.25" customHeight="1" x14ac:dyDescent="0.2">
      <c r="A436" t="s">
        <v>7</v>
      </c>
      <c r="B436" s="20">
        <v>72</v>
      </c>
      <c r="C436" s="20">
        <v>155</v>
      </c>
      <c r="D436" s="20">
        <v>59</v>
      </c>
      <c r="E436" t="s">
        <v>77</v>
      </c>
      <c r="F436" s="26">
        <v>45161</v>
      </c>
      <c r="G436" t="s">
        <v>76</v>
      </c>
      <c r="H436" s="5">
        <v>17.86</v>
      </c>
      <c r="I436" s="5">
        <v>41.08</v>
      </c>
      <c r="J436" s="3">
        <v>39</v>
      </c>
      <c r="K436" s="5">
        <v>5.6</v>
      </c>
      <c r="L436" s="5">
        <v>0.05</v>
      </c>
      <c r="M436" s="3">
        <f t="shared" si="115"/>
        <v>50</v>
      </c>
      <c r="N436" s="5">
        <v>2.68</v>
      </c>
      <c r="O436" s="23">
        <f t="shared" si="126"/>
        <v>2.6800000000000001E-3</v>
      </c>
      <c r="P436" s="23">
        <f t="shared" si="127"/>
        <v>4.8240000000000005E-2</v>
      </c>
      <c r="Q436" s="7">
        <f t="shared" si="128"/>
        <v>4.8240000000000006E-5</v>
      </c>
      <c r="R436" s="23">
        <f t="shared" si="129"/>
        <v>0.17366400000000001</v>
      </c>
      <c r="S436" s="5">
        <v>16.940000000000001</v>
      </c>
      <c r="T436" s="5">
        <v>3.17</v>
      </c>
      <c r="U436" s="3">
        <f t="shared" si="130"/>
        <v>31700</v>
      </c>
      <c r="V436" s="8">
        <v>-0.2</v>
      </c>
      <c r="W436" s="8">
        <v>-2.0699999999999998</v>
      </c>
      <c r="X436" s="5">
        <f t="shared" si="131"/>
        <v>1.8699999999999999</v>
      </c>
      <c r="Y436" s="23">
        <f t="shared" si="132"/>
        <v>9.2868449197860969E-2</v>
      </c>
      <c r="Z436" s="23">
        <f t="shared" si="116"/>
        <v>2943.9298395721926</v>
      </c>
      <c r="AA436" s="11">
        <f t="shared" si="117"/>
        <v>1.4319395226635538</v>
      </c>
      <c r="AB436" s="11">
        <f t="shared" si="118"/>
        <v>45392.482868434658</v>
      </c>
    </row>
    <row r="437" spans="1:28" ht="17.25" customHeight="1" x14ac:dyDescent="0.2">
      <c r="A437" t="s">
        <v>7</v>
      </c>
      <c r="B437" s="20">
        <v>72</v>
      </c>
      <c r="C437" s="20">
        <v>155</v>
      </c>
      <c r="D437" s="20">
        <v>60</v>
      </c>
      <c r="E437" t="s">
        <v>77</v>
      </c>
      <c r="F437" s="26">
        <v>45162</v>
      </c>
      <c r="G437" t="s">
        <v>76</v>
      </c>
      <c r="H437" s="5">
        <v>19.059999999999999</v>
      </c>
      <c r="I437" s="5">
        <v>42.91</v>
      </c>
      <c r="J437" s="5">
        <v>39.75</v>
      </c>
      <c r="K437" s="5">
        <v>5.64</v>
      </c>
      <c r="L437" s="5">
        <v>0.05</v>
      </c>
      <c r="M437" s="3">
        <f t="shared" si="115"/>
        <v>50</v>
      </c>
      <c r="N437" s="5">
        <v>2.93</v>
      </c>
      <c r="O437" s="23">
        <f t="shared" si="126"/>
        <v>2.9300000000000003E-3</v>
      </c>
      <c r="P437" s="23">
        <f t="shared" si="127"/>
        <v>5.2740000000000009E-2</v>
      </c>
      <c r="Q437" s="7">
        <f t="shared" si="128"/>
        <v>5.2740000000000007E-5</v>
      </c>
      <c r="R437" s="23">
        <f t="shared" si="129"/>
        <v>0.18986400000000003</v>
      </c>
      <c r="S437" s="5">
        <v>22.24</v>
      </c>
      <c r="T437" s="5">
        <v>4.22</v>
      </c>
      <c r="U437" s="3">
        <f t="shared" si="130"/>
        <v>42200</v>
      </c>
      <c r="V437" s="8">
        <v>-0.31</v>
      </c>
      <c r="W437" s="8">
        <v>-1.89</v>
      </c>
      <c r="X437" s="5">
        <f t="shared" si="131"/>
        <v>1.5799999999999998</v>
      </c>
      <c r="Y437" s="23">
        <f t="shared" si="132"/>
        <v>0.12016708860759497</v>
      </c>
      <c r="Z437" s="23">
        <f t="shared" si="116"/>
        <v>5071.0511392405078</v>
      </c>
      <c r="AA437" s="11">
        <f t="shared" si="117"/>
        <v>1.852857509594247</v>
      </c>
      <c r="AB437" s="11">
        <f t="shared" si="118"/>
        <v>78190.586904877229</v>
      </c>
    </row>
    <row r="438" spans="1:28" ht="17.25" customHeight="1" x14ac:dyDescent="0.2">
      <c r="A438" t="s">
        <v>7</v>
      </c>
      <c r="B438" s="20">
        <v>72</v>
      </c>
      <c r="C438" s="20">
        <v>5</v>
      </c>
      <c r="D438" s="20">
        <v>61</v>
      </c>
      <c r="E438" t="s">
        <v>77</v>
      </c>
      <c r="F438" s="26">
        <v>45162</v>
      </c>
      <c r="G438" t="s">
        <v>76</v>
      </c>
      <c r="H438" s="5">
        <v>20.59</v>
      </c>
      <c r="I438" s="5">
        <v>42.72</v>
      </c>
      <c r="J438" s="5">
        <v>39.71</v>
      </c>
      <c r="K438" s="5">
        <v>5.51</v>
      </c>
      <c r="L438" s="5">
        <v>0.08</v>
      </c>
      <c r="M438" s="3">
        <f t="shared" si="115"/>
        <v>80</v>
      </c>
      <c r="N438" s="5">
        <v>4.3</v>
      </c>
      <c r="O438" s="23">
        <f t="shared" si="126"/>
        <v>4.3E-3</v>
      </c>
      <c r="P438" s="23">
        <f t="shared" si="127"/>
        <v>7.7399999999999997E-2</v>
      </c>
      <c r="Q438" s="7">
        <f t="shared" si="128"/>
        <v>7.7399999999999998E-5</v>
      </c>
      <c r="R438" s="23">
        <f t="shared" si="129"/>
        <v>0.27864</v>
      </c>
      <c r="S438" s="5">
        <v>5.59</v>
      </c>
      <c r="T438" s="5">
        <v>1.83</v>
      </c>
      <c r="U438" s="3">
        <f t="shared" si="130"/>
        <v>18300</v>
      </c>
      <c r="V438" s="8">
        <v>-0.36</v>
      </c>
      <c r="W438" s="8">
        <v>-1.68</v>
      </c>
      <c r="X438" s="5">
        <f t="shared" si="131"/>
        <v>1.3199999999999998</v>
      </c>
      <c r="Y438" s="23">
        <f t="shared" si="132"/>
        <v>0.21109090909090911</v>
      </c>
      <c r="Z438" s="23">
        <f t="shared" si="116"/>
        <v>3862.9636363636369</v>
      </c>
      <c r="AA438" s="11">
        <f t="shared" si="117"/>
        <v>3.2548127831687119</v>
      </c>
      <c r="AB438" s="11">
        <f t="shared" si="118"/>
        <v>59563.073931987426</v>
      </c>
    </row>
    <row r="439" spans="1:28" ht="17.25" customHeight="1" x14ac:dyDescent="0.2">
      <c r="A439" t="s">
        <v>7</v>
      </c>
      <c r="B439" s="20">
        <v>72</v>
      </c>
      <c r="C439" s="20">
        <v>5</v>
      </c>
      <c r="D439" s="20">
        <v>63</v>
      </c>
      <c r="E439" t="s">
        <v>77</v>
      </c>
      <c r="F439" s="26">
        <v>45161</v>
      </c>
      <c r="G439" t="s">
        <v>76</v>
      </c>
      <c r="H439" s="5">
        <v>17.93</v>
      </c>
      <c r="I439" s="5">
        <v>41.13</v>
      </c>
      <c r="J439" s="5">
        <v>37.64</v>
      </c>
      <c r="K439" s="5">
        <v>5.0999999999999996</v>
      </c>
      <c r="L439" s="5">
        <v>0.09</v>
      </c>
      <c r="M439" s="3">
        <f t="shared" si="115"/>
        <v>90</v>
      </c>
      <c r="N439" s="5">
        <v>4.1500000000000004</v>
      </c>
      <c r="O439" s="23">
        <f t="shared" si="126"/>
        <v>4.15E-3</v>
      </c>
      <c r="P439" s="23">
        <f t="shared" si="127"/>
        <v>7.4700000000000003E-2</v>
      </c>
      <c r="Q439" s="7">
        <f t="shared" si="128"/>
        <v>7.47E-5</v>
      </c>
      <c r="R439" s="23">
        <f t="shared" si="129"/>
        <v>0.26891999999999999</v>
      </c>
      <c r="S439" s="5">
        <v>13.53</v>
      </c>
      <c r="T439" s="5">
        <v>2.78</v>
      </c>
      <c r="U439" s="5">
        <f t="shared" si="130"/>
        <v>27799.999999999996</v>
      </c>
      <c r="V439" s="8">
        <v>-0.36</v>
      </c>
      <c r="W439" s="8">
        <v>-2.1800000000000002</v>
      </c>
      <c r="X439" s="5">
        <f t="shared" si="131"/>
        <v>1.8200000000000003</v>
      </c>
      <c r="Y439" s="23">
        <f t="shared" si="132"/>
        <v>0.14775824175824173</v>
      </c>
      <c r="Z439" s="23">
        <f t="shared" si="116"/>
        <v>4107.6791208791192</v>
      </c>
      <c r="AA439" s="11">
        <f t="shared" si="117"/>
        <v>2.2782857687449782</v>
      </c>
      <c r="AB439" s="11">
        <f t="shared" si="118"/>
        <v>63336.34437111039</v>
      </c>
    </row>
    <row r="440" spans="1:28" ht="17.25" customHeight="1" x14ac:dyDescent="0.2">
      <c r="A440" t="s">
        <v>7</v>
      </c>
      <c r="B440" s="20">
        <v>72</v>
      </c>
      <c r="C440" s="20">
        <v>5</v>
      </c>
      <c r="D440" s="20">
        <v>85</v>
      </c>
      <c r="E440" t="s">
        <v>77</v>
      </c>
      <c r="F440" s="26">
        <v>45162</v>
      </c>
      <c r="G440" t="s">
        <v>76</v>
      </c>
      <c r="H440" s="5">
        <v>19.2</v>
      </c>
      <c r="I440" s="5">
        <v>42.93</v>
      </c>
      <c r="J440" s="5">
        <v>39.44</v>
      </c>
      <c r="K440" s="5">
        <v>5.51</v>
      </c>
      <c r="L440" s="5">
        <v>0.08</v>
      </c>
      <c r="M440" s="3">
        <f t="shared" si="115"/>
        <v>80</v>
      </c>
      <c r="N440" s="5">
        <v>4.41</v>
      </c>
      <c r="O440" s="23">
        <f t="shared" si="126"/>
        <v>4.4099999999999999E-3</v>
      </c>
      <c r="P440" s="23">
        <f t="shared" si="127"/>
        <v>7.9379999999999992E-2</v>
      </c>
      <c r="Q440" s="7">
        <f t="shared" si="128"/>
        <v>7.9379999999999989E-5</v>
      </c>
      <c r="R440" s="23">
        <f t="shared" si="129"/>
        <v>0.28576799999999997</v>
      </c>
      <c r="S440" s="5">
        <v>8.26</v>
      </c>
      <c r="T440" s="5">
        <v>2.33</v>
      </c>
      <c r="U440" s="3">
        <f t="shared" si="130"/>
        <v>23300</v>
      </c>
      <c r="V440" s="8">
        <v>-0.36</v>
      </c>
      <c r="W440" s="8">
        <v>-1.93</v>
      </c>
      <c r="X440" s="5">
        <f t="shared" si="131"/>
        <v>1.5699999999999998</v>
      </c>
      <c r="Y440" s="23">
        <f t="shared" si="132"/>
        <v>0.18201783439490446</v>
      </c>
      <c r="Z440" s="23">
        <f t="shared" si="116"/>
        <v>4241.0155414012743</v>
      </c>
      <c r="AA440" s="11">
        <f t="shared" si="117"/>
        <v>2.806534761277101</v>
      </c>
      <c r="AB440" s="11">
        <f t="shared" si="118"/>
        <v>65392.259937756455</v>
      </c>
    </row>
    <row r="441" spans="1:28" ht="17.25" customHeight="1" x14ac:dyDescent="0.2">
      <c r="A441" t="s">
        <v>8</v>
      </c>
      <c r="B441" s="20">
        <v>1521</v>
      </c>
      <c r="C441" s="20">
        <v>153</v>
      </c>
      <c r="D441" s="20">
        <v>69</v>
      </c>
      <c r="E441" t="s">
        <v>77</v>
      </c>
      <c r="F441" s="26">
        <v>45162</v>
      </c>
      <c r="G441" t="s">
        <v>76</v>
      </c>
      <c r="H441" s="5">
        <v>19.38</v>
      </c>
      <c r="I441" s="5">
        <v>42.78</v>
      </c>
      <c r="J441" s="5">
        <v>38.229999999999997</v>
      </c>
      <c r="K441" s="5">
        <v>5.07</v>
      </c>
      <c r="L441" s="5">
        <v>0.15</v>
      </c>
      <c r="M441" s="3">
        <f t="shared" si="115"/>
        <v>150</v>
      </c>
      <c r="N441" s="5">
        <v>7.31</v>
      </c>
      <c r="O441" s="23">
        <f t="shared" si="126"/>
        <v>7.3099999999999997E-3</v>
      </c>
      <c r="P441" s="23">
        <f t="shared" si="127"/>
        <v>0.13158</v>
      </c>
      <c r="Q441" s="7">
        <f t="shared" si="128"/>
        <v>1.3158000000000001E-4</v>
      </c>
      <c r="R441" s="23">
        <f t="shared" si="129"/>
        <v>0.47368800000000005</v>
      </c>
      <c r="S441" s="5">
        <v>1.89</v>
      </c>
      <c r="T441" s="5">
        <v>0.42</v>
      </c>
      <c r="U441" s="3">
        <f t="shared" si="130"/>
        <v>4200</v>
      </c>
      <c r="V441" s="8">
        <v>-0.35</v>
      </c>
      <c r="W441" s="8">
        <v>-1.99</v>
      </c>
      <c r="X441" s="5">
        <f t="shared" si="131"/>
        <v>1.6400000000000001</v>
      </c>
      <c r="Y441" s="23">
        <f t="shared" si="132"/>
        <v>0.28883414634146343</v>
      </c>
      <c r="Z441" s="23">
        <f t="shared" si="116"/>
        <v>1213.1034146341465</v>
      </c>
      <c r="AA441" s="11">
        <f t="shared" si="117"/>
        <v>4.4535365155064577</v>
      </c>
      <c r="AB441" s="11">
        <f t="shared" si="118"/>
        <v>18704.853365127121</v>
      </c>
    </row>
    <row r="442" spans="1:28" ht="17.25" customHeight="1" x14ac:dyDescent="0.2">
      <c r="A442" t="s">
        <v>8</v>
      </c>
      <c r="B442" s="20">
        <v>1521</v>
      </c>
      <c r="C442" s="20">
        <v>153</v>
      </c>
      <c r="D442" s="20">
        <v>76</v>
      </c>
      <c r="E442" t="s">
        <v>77</v>
      </c>
      <c r="F442" s="26">
        <v>45162</v>
      </c>
      <c r="G442" t="s">
        <v>76</v>
      </c>
      <c r="H442" s="5">
        <v>19.739999999999998</v>
      </c>
      <c r="I442" s="5">
        <v>42.67</v>
      </c>
      <c r="J442" s="5">
        <v>40.369999999999997</v>
      </c>
      <c r="K442" s="5">
        <v>5.88</v>
      </c>
      <c r="L442" s="5">
        <v>7.0000000000000007E-2</v>
      </c>
      <c r="M442" s="3">
        <f t="shared" si="115"/>
        <v>70</v>
      </c>
      <c r="N442" s="5">
        <v>3.87</v>
      </c>
      <c r="O442" s="23">
        <f t="shared" si="126"/>
        <v>3.8700000000000002E-3</v>
      </c>
      <c r="P442" s="23">
        <f t="shared" si="127"/>
        <v>6.966E-2</v>
      </c>
      <c r="Q442" s="7">
        <f t="shared" si="128"/>
        <v>6.9659999999999994E-5</v>
      </c>
      <c r="R442" s="23">
        <f t="shared" si="129"/>
        <v>0.250776</v>
      </c>
      <c r="S442" s="5">
        <v>1.63</v>
      </c>
      <c r="T442" s="5">
        <v>0.4</v>
      </c>
      <c r="U442" s="3">
        <f t="shared" si="130"/>
        <v>4000</v>
      </c>
      <c r="V442" s="8">
        <v>-0.34</v>
      </c>
      <c r="W442" s="8">
        <v>-1.83</v>
      </c>
      <c r="X442" s="5">
        <f t="shared" si="131"/>
        <v>1.49</v>
      </c>
      <c r="Y442" s="23">
        <f t="shared" si="132"/>
        <v>0.16830604026845639</v>
      </c>
      <c r="Z442" s="23">
        <f t="shared" si="116"/>
        <v>673.2241610738256</v>
      </c>
      <c r="AA442" s="11">
        <f t="shared" si="117"/>
        <v>2.5951124740969331</v>
      </c>
      <c r="AB442" s="11">
        <f t="shared" si="118"/>
        <v>10380.449896387732</v>
      </c>
    </row>
    <row r="443" spans="1:28" ht="17.25" customHeight="1" x14ac:dyDescent="0.2">
      <c r="A443" t="s">
        <v>8</v>
      </c>
      <c r="B443" s="20">
        <v>1521</v>
      </c>
      <c r="C443" s="20">
        <v>153</v>
      </c>
      <c r="D443" s="20">
        <v>90</v>
      </c>
      <c r="E443" t="s">
        <v>77</v>
      </c>
      <c r="F443" s="26">
        <v>45161</v>
      </c>
      <c r="G443" t="s">
        <v>76</v>
      </c>
      <c r="H443" s="5">
        <v>16.97</v>
      </c>
      <c r="I443" s="5">
        <v>41.83</v>
      </c>
      <c r="J443" s="5">
        <v>38.729999999999997</v>
      </c>
      <c r="K443" s="5">
        <v>5.51</v>
      </c>
      <c r="L443" s="5">
        <v>0.06</v>
      </c>
      <c r="M443" s="3">
        <f t="shared" si="115"/>
        <v>60</v>
      </c>
      <c r="N443" s="5">
        <v>3.15</v>
      </c>
      <c r="O443" s="23">
        <f t="shared" si="126"/>
        <v>3.15E-3</v>
      </c>
      <c r="P443" s="23">
        <f t="shared" si="127"/>
        <v>5.67E-2</v>
      </c>
      <c r="Q443" s="7">
        <f t="shared" si="128"/>
        <v>5.6700000000000003E-5</v>
      </c>
      <c r="R443" s="23">
        <f t="shared" si="129"/>
        <v>0.20412</v>
      </c>
      <c r="S443" s="5">
        <v>3.81</v>
      </c>
      <c r="T443" s="5">
        <v>0.53</v>
      </c>
      <c r="U443" s="3">
        <f t="shared" si="130"/>
        <v>5300</v>
      </c>
      <c r="V443" s="8">
        <v>-0.38</v>
      </c>
      <c r="W443" s="8">
        <v>-1.98</v>
      </c>
      <c r="X443" s="5">
        <f t="shared" si="131"/>
        <v>1.6</v>
      </c>
      <c r="Y443" s="23">
        <f t="shared" si="132"/>
        <v>0.12757499999999999</v>
      </c>
      <c r="Z443" s="23">
        <f t="shared" si="116"/>
        <v>676.14749999999992</v>
      </c>
      <c r="AA443" s="11">
        <f t="shared" si="117"/>
        <v>1.9670801675022536</v>
      </c>
      <c r="AB443" s="11">
        <f t="shared" si="118"/>
        <v>10425.524887761943</v>
      </c>
    </row>
    <row r="444" spans="1:28" ht="17.25" customHeight="1" x14ac:dyDescent="0.2">
      <c r="A444" t="s">
        <v>8</v>
      </c>
      <c r="B444" s="20">
        <v>1521</v>
      </c>
      <c r="C444" s="20">
        <v>155</v>
      </c>
      <c r="D444" s="20">
        <v>62</v>
      </c>
      <c r="E444" t="s">
        <v>77</v>
      </c>
      <c r="F444" s="26">
        <v>45161</v>
      </c>
      <c r="G444" t="s">
        <v>76</v>
      </c>
      <c r="H444" s="5">
        <v>17.86</v>
      </c>
      <c r="I444" s="5">
        <v>40.950000000000003</v>
      </c>
      <c r="J444" s="5">
        <v>37.86</v>
      </c>
      <c r="K444" s="5">
        <v>5.19</v>
      </c>
      <c r="L444" s="5">
        <v>0.11</v>
      </c>
      <c r="M444" s="3">
        <f t="shared" si="115"/>
        <v>110</v>
      </c>
      <c r="N444" s="5">
        <v>5.58</v>
      </c>
      <c r="O444" s="23">
        <f t="shared" si="126"/>
        <v>5.5799999999999999E-3</v>
      </c>
      <c r="P444" s="23">
        <f t="shared" si="127"/>
        <v>0.10044</v>
      </c>
      <c r="Q444" s="7">
        <f t="shared" si="128"/>
        <v>1.0044000000000001E-4</v>
      </c>
      <c r="R444" s="23">
        <f t="shared" si="129"/>
        <v>0.36158400000000002</v>
      </c>
      <c r="S444" s="5">
        <v>1.17</v>
      </c>
      <c r="T444" s="5">
        <v>0.44</v>
      </c>
      <c r="U444" s="3">
        <f t="shared" si="130"/>
        <v>4400</v>
      </c>
      <c r="V444" s="8">
        <v>-0.41</v>
      </c>
      <c r="W444" s="8">
        <v>-1.73</v>
      </c>
      <c r="X444" s="5">
        <f t="shared" si="131"/>
        <v>1.32</v>
      </c>
      <c r="Y444" s="23">
        <f t="shared" si="132"/>
        <v>0.27392727272727274</v>
      </c>
      <c r="Z444" s="23">
        <f t="shared" si="116"/>
        <v>1205.28</v>
      </c>
      <c r="AA444" s="11">
        <f t="shared" si="117"/>
        <v>4.223687286065446</v>
      </c>
      <c r="AB444" s="11">
        <f t="shared" si="118"/>
        <v>18584.224058687963</v>
      </c>
    </row>
    <row r="445" spans="1:28" ht="17.25" customHeight="1" x14ac:dyDescent="0.2">
      <c r="A445" t="s">
        <v>8</v>
      </c>
      <c r="B445" s="20">
        <v>1521</v>
      </c>
      <c r="C445" s="20">
        <v>155</v>
      </c>
      <c r="D445" s="20">
        <v>64</v>
      </c>
      <c r="E445" t="s">
        <v>77</v>
      </c>
      <c r="F445" s="26">
        <v>45161</v>
      </c>
      <c r="G445" t="s">
        <v>76</v>
      </c>
      <c r="H445" s="5">
        <v>18.71</v>
      </c>
      <c r="I445" s="5">
        <v>41.56</v>
      </c>
      <c r="J445" s="5">
        <v>36.69</v>
      </c>
      <c r="K445" s="5">
        <v>4.68</v>
      </c>
      <c r="L445" s="5">
        <v>0.14000000000000001</v>
      </c>
      <c r="M445" s="3">
        <f t="shared" si="115"/>
        <v>140</v>
      </c>
      <c r="N445" s="5">
        <v>6.27</v>
      </c>
      <c r="O445" s="23">
        <f t="shared" si="126"/>
        <v>6.2699999999999995E-3</v>
      </c>
      <c r="P445" s="23">
        <f t="shared" si="127"/>
        <v>0.11285999999999999</v>
      </c>
      <c r="Q445" s="7">
        <f t="shared" si="128"/>
        <v>1.1285999999999999E-4</v>
      </c>
      <c r="R445" s="23">
        <f t="shared" si="129"/>
        <v>0.40629599999999993</v>
      </c>
      <c r="S445" s="5">
        <v>1.37</v>
      </c>
      <c r="T445" s="5">
        <v>0.45</v>
      </c>
      <c r="U445" s="3">
        <f t="shared" si="130"/>
        <v>4500</v>
      </c>
      <c r="V445" s="8">
        <v>-0.84</v>
      </c>
      <c r="W445" s="8">
        <v>-1.76</v>
      </c>
      <c r="X445" s="5">
        <f t="shared" si="131"/>
        <v>0.92</v>
      </c>
      <c r="Y445" s="23">
        <f t="shared" si="132"/>
        <v>0.44162608695652167</v>
      </c>
      <c r="Z445" s="23">
        <f t="shared" si="116"/>
        <v>1987.3173913043474</v>
      </c>
      <c r="AA445" s="11">
        <f t="shared" si="117"/>
        <v>6.8094369359498295</v>
      </c>
      <c r="AB445" s="11">
        <f t="shared" si="118"/>
        <v>30642.466211774234</v>
      </c>
    </row>
    <row r="446" spans="1:28" ht="17.25" customHeight="1" x14ac:dyDescent="0.2">
      <c r="A446" t="s">
        <v>8</v>
      </c>
      <c r="B446" s="20">
        <v>1521</v>
      </c>
      <c r="C446" s="20">
        <v>155</v>
      </c>
      <c r="D446" s="20">
        <v>66</v>
      </c>
      <c r="E446" t="s">
        <v>77</v>
      </c>
      <c r="F446" s="26">
        <v>45162</v>
      </c>
      <c r="G446" t="s">
        <v>76</v>
      </c>
      <c r="H446" s="5">
        <v>20.78</v>
      </c>
      <c r="I446" s="5">
        <v>42.31</v>
      </c>
      <c r="J446" s="5">
        <v>38.35</v>
      </c>
      <c r="K446" s="5">
        <v>5.0199999999999996</v>
      </c>
      <c r="L446" s="5">
        <v>0.1</v>
      </c>
      <c r="M446" s="3">
        <f t="shared" si="115"/>
        <v>100</v>
      </c>
      <c r="N446" s="5">
        <v>4.87</v>
      </c>
      <c r="O446" s="23">
        <f t="shared" si="126"/>
        <v>4.8700000000000002E-3</v>
      </c>
      <c r="P446" s="23">
        <f t="shared" si="127"/>
        <v>8.7660000000000002E-2</v>
      </c>
      <c r="Q446" s="7">
        <f t="shared" si="128"/>
        <v>8.7659999999999998E-5</v>
      </c>
      <c r="R446" s="23">
        <f t="shared" si="129"/>
        <v>0.31557599999999997</v>
      </c>
      <c r="S446" s="5">
        <v>3.21</v>
      </c>
      <c r="T446" s="5">
        <v>0.68</v>
      </c>
      <c r="U446" s="5">
        <f t="shared" si="130"/>
        <v>6800.0000000000009</v>
      </c>
      <c r="V446" s="8">
        <v>-0.62</v>
      </c>
      <c r="W446" s="8">
        <v>-2.04</v>
      </c>
      <c r="X446" s="5">
        <f t="shared" si="131"/>
        <v>1.42</v>
      </c>
      <c r="Y446" s="23">
        <f t="shared" si="132"/>
        <v>0.22223661971830985</v>
      </c>
      <c r="Z446" s="23">
        <f t="shared" si="116"/>
        <v>1511.2090140845071</v>
      </c>
      <c r="AA446" s="11">
        <f t="shared" si="117"/>
        <v>3.4266686038849898</v>
      </c>
      <c r="AB446" s="11">
        <f t="shared" si="118"/>
        <v>23301.346506417933</v>
      </c>
    </row>
    <row r="447" spans="1:28" ht="17.25" customHeight="1" x14ac:dyDescent="0.2">
      <c r="A447" t="s">
        <v>8</v>
      </c>
      <c r="B447" s="20">
        <v>1521</v>
      </c>
      <c r="C447" s="20">
        <v>156</v>
      </c>
      <c r="D447" s="20">
        <v>71</v>
      </c>
      <c r="E447" t="s">
        <v>77</v>
      </c>
      <c r="F447" s="26">
        <v>45161</v>
      </c>
      <c r="G447" t="s">
        <v>76</v>
      </c>
      <c r="H447" s="5">
        <v>17.86</v>
      </c>
      <c r="I447" s="3">
        <v>41</v>
      </c>
      <c r="J447" s="5">
        <v>37.130000000000003</v>
      </c>
      <c r="K447" s="5">
        <v>4.93</v>
      </c>
      <c r="L447" s="5">
        <v>0.16</v>
      </c>
      <c r="M447" s="3">
        <f t="shared" si="115"/>
        <v>160</v>
      </c>
      <c r="N447" s="5">
        <v>7.21</v>
      </c>
      <c r="O447" s="23">
        <f t="shared" si="126"/>
        <v>7.2100000000000003E-3</v>
      </c>
      <c r="P447" s="23">
        <f t="shared" si="127"/>
        <v>0.12978000000000001</v>
      </c>
      <c r="Q447" s="7">
        <f t="shared" si="128"/>
        <v>1.2977999999999999E-4</v>
      </c>
      <c r="R447" s="23">
        <f t="shared" si="129"/>
        <v>0.46720799999999996</v>
      </c>
      <c r="S447" s="5">
        <v>3.35</v>
      </c>
      <c r="T447" s="5">
        <v>0.65</v>
      </c>
      <c r="U447" s="3">
        <f t="shared" si="130"/>
        <v>6500</v>
      </c>
      <c r="V447" s="8">
        <v>-0.46</v>
      </c>
      <c r="W447" s="8">
        <v>-1.73</v>
      </c>
      <c r="X447" s="5">
        <f t="shared" si="131"/>
        <v>1.27</v>
      </c>
      <c r="Y447" s="23">
        <f t="shared" si="132"/>
        <v>0.3678803149606299</v>
      </c>
      <c r="Z447" s="23">
        <f t="shared" si="116"/>
        <v>2391.2220472440945</v>
      </c>
      <c r="AA447" s="11">
        <f t="shared" si="117"/>
        <v>5.6723501593065855</v>
      </c>
      <c r="AB447" s="11">
        <f t="shared" si="118"/>
        <v>36870.276035492803</v>
      </c>
    </row>
    <row r="448" spans="1:28" ht="17.25" customHeight="1" x14ac:dyDescent="0.2">
      <c r="A448" t="s">
        <v>8</v>
      </c>
      <c r="B448" s="20">
        <v>1521</v>
      </c>
      <c r="C448" s="20">
        <v>156</v>
      </c>
      <c r="D448" s="20">
        <v>74</v>
      </c>
      <c r="E448" t="s">
        <v>77</v>
      </c>
      <c r="F448" s="26">
        <v>45162</v>
      </c>
      <c r="G448" t="s">
        <v>76</v>
      </c>
      <c r="H448" s="5">
        <v>19.809999999999999</v>
      </c>
      <c r="I448" s="5">
        <v>42.76</v>
      </c>
      <c r="J448" s="5">
        <v>40.24</v>
      </c>
      <c r="K448" s="5">
        <v>5.79</v>
      </c>
      <c r="L448" s="5">
        <v>0.09</v>
      </c>
      <c r="M448" s="3">
        <f t="shared" si="115"/>
        <v>90</v>
      </c>
      <c r="N448" s="5">
        <v>4.8099999999999996</v>
      </c>
      <c r="O448" s="23">
        <f t="shared" si="126"/>
        <v>4.81E-3</v>
      </c>
      <c r="P448" s="23">
        <f t="shared" si="127"/>
        <v>8.6580000000000004E-2</v>
      </c>
      <c r="Q448" s="7">
        <f t="shared" si="128"/>
        <v>8.6580000000000001E-5</v>
      </c>
      <c r="R448" s="23">
        <f t="shared" si="129"/>
        <v>0.31168800000000002</v>
      </c>
      <c r="S448" s="5">
        <v>2.92</v>
      </c>
      <c r="T448" s="5">
        <v>0.64</v>
      </c>
      <c r="U448" s="3">
        <f t="shared" si="130"/>
        <v>6400</v>
      </c>
      <c r="V448" s="8">
        <v>-0.63</v>
      </c>
      <c r="W448" s="8">
        <v>-1.81</v>
      </c>
      <c r="X448" s="5">
        <f t="shared" si="131"/>
        <v>1.1800000000000002</v>
      </c>
      <c r="Y448" s="23">
        <f t="shared" si="132"/>
        <v>0.26414237288135589</v>
      </c>
      <c r="Z448" s="23">
        <f t="shared" si="116"/>
        <v>1690.5111864406776</v>
      </c>
      <c r="AA448" s="11">
        <f t="shared" si="117"/>
        <v>4.0728138200423292</v>
      </c>
      <c r="AB448" s="11">
        <f t="shared" si="118"/>
        <v>26066.008448270906</v>
      </c>
    </row>
    <row r="449" spans="1:28" ht="17.25" customHeight="1" x14ac:dyDescent="0.2">
      <c r="A449" t="s">
        <v>8</v>
      </c>
      <c r="B449" s="20">
        <v>1521</v>
      </c>
      <c r="C449" s="20">
        <v>156</v>
      </c>
      <c r="D449" s="20">
        <v>75</v>
      </c>
      <c r="E449" t="s">
        <v>77</v>
      </c>
      <c r="F449" s="26">
        <v>45162</v>
      </c>
      <c r="G449" t="s">
        <v>76</v>
      </c>
      <c r="H449" s="5">
        <v>20.190000000000001</v>
      </c>
      <c r="I449" s="5">
        <v>42.33</v>
      </c>
      <c r="J449" s="5">
        <v>37.97</v>
      </c>
      <c r="K449" s="5">
        <v>4.9400000000000004</v>
      </c>
      <c r="L449" s="5">
        <v>0.11</v>
      </c>
      <c r="M449" s="3">
        <f t="shared" si="115"/>
        <v>110</v>
      </c>
      <c r="N449" s="5">
        <v>5.25</v>
      </c>
      <c r="O449" s="23">
        <f t="shared" si="126"/>
        <v>5.2500000000000003E-3</v>
      </c>
      <c r="P449" s="23">
        <f t="shared" si="127"/>
        <v>9.4500000000000001E-2</v>
      </c>
      <c r="Q449" s="7">
        <f t="shared" si="128"/>
        <v>9.4500000000000007E-5</v>
      </c>
      <c r="R449" s="23">
        <f t="shared" si="129"/>
        <v>0.3402</v>
      </c>
      <c r="S449" s="5">
        <v>2.78</v>
      </c>
      <c r="T449" s="5">
        <v>0.57999999999999996</v>
      </c>
      <c r="U449" s="3">
        <f t="shared" si="130"/>
        <v>5800</v>
      </c>
      <c r="V449" s="8">
        <v>-0.35</v>
      </c>
      <c r="W449" s="8">
        <v>-1.48</v>
      </c>
      <c r="X449" s="5">
        <f t="shared" si="131"/>
        <v>1.1299999999999999</v>
      </c>
      <c r="Y449" s="23">
        <f t="shared" si="132"/>
        <v>0.30106194690265492</v>
      </c>
      <c r="Z449" s="23">
        <f t="shared" si="116"/>
        <v>1746.1592920353985</v>
      </c>
      <c r="AA449" s="11">
        <f t="shared" si="117"/>
        <v>4.6420770914507479</v>
      </c>
      <c r="AB449" s="11">
        <f t="shared" si="118"/>
        <v>26924.047130414339</v>
      </c>
    </row>
    <row r="450" spans="1:28" ht="17.25" customHeight="1" x14ac:dyDescent="0.2">
      <c r="A450" t="s">
        <v>8</v>
      </c>
      <c r="B450" s="20">
        <v>1521</v>
      </c>
      <c r="C450" s="20">
        <v>157</v>
      </c>
      <c r="D450" s="20">
        <v>67</v>
      </c>
      <c r="E450" t="s">
        <v>77</v>
      </c>
      <c r="F450" s="26">
        <v>45162</v>
      </c>
      <c r="G450" t="s">
        <v>76</v>
      </c>
      <c r="H450" s="5">
        <v>19.03</v>
      </c>
      <c r="I450" s="5">
        <v>42.93</v>
      </c>
      <c r="J450" s="5">
        <v>39.82</v>
      </c>
      <c r="K450" s="5">
        <v>5.68</v>
      </c>
      <c r="L450" s="5">
        <v>0.09</v>
      </c>
      <c r="M450" s="3">
        <f t="shared" si="115"/>
        <v>90</v>
      </c>
      <c r="N450" s="5">
        <v>4.57</v>
      </c>
      <c r="O450" s="23">
        <f t="shared" si="126"/>
        <v>4.5700000000000003E-3</v>
      </c>
      <c r="P450" s="23">
        <f t="shared" si="127"/>
        <v>8.226E-2</v>
      </c>
      <c r="Q450" s="7">
        <f t="shared" si="128"/>
        <v>8.2260000000000002E-5</v>
      </c>
      <c r="R450" s="23">
        <f t="shared" si="129"/>
        <v>0.29613600000000001</v>
      </c>
      <c r="S450" s="5">
        <v>2.46</v>
      </c>
      <c r="T450" s="5">
        <v>0.65</v>
      </c>
      <c r="U450" s="3">
        <f t="shared" si="130"/>
        <v>6500</v>
      </c>
      <c r="V450" s="8">
        <v>-0.52</v>
      </c>
      <c r="W450" s="8">
        <v>-1.61</v>
      </c>
      <c r="X450" s="5">
        <f t="shared" si="131"/>
        <v>1.0900000000000001</v>
      </c>
      <c r="Y450" s="23">
        <f t="shared" si="132"/>
        <v>0.27168440366972474</v>
      </c>
      <c r="Z450" s="23">
        <f t="shared" si="116"/>
        <v>1765.9486238532108</v>
      </c>
      <c r="AA450" s="11">
        <f t="shared" si="117"/>
        <v>4.1891044662229442</v>
      </c>
      <c r="AB450" s="11">
        <f t="shared" si="118"/>
        <v>27229.179030449137</v>
      </c>
    </row>
    <row r="451" spans="1:28" ht="17.25" customHeight="1" x14ac:dyDescent="0.2">
      <c r="A451" t="s">
        <v>8</v>
      </c>
      <c r="B451" s="20">
        <v>1521</v>
      </c>
      <c r="C451" s="20">
        <v>157</v>
      </c>
      <c r="D451" s="20">
        <v>68</v>
      </c>
      <c r="E451" t="s">
        <v>77</v>
      </c>
      <c r="F451" s="26">
        <v>45162</v>
      </c>
      <c r="G451" t="s">
        <v>76</v>
      </c>
      <c r="H451" s="5">
        <v>19.010000000000002</v>
      </c>
      <c r="I451" s="5">
        <v>42.9</v>
      </c>
      <c r="J451" s="5">
        <v>39.96</v>
      </c>
      <c r="K451" s="5">
        <v>5.73</v>
      </c>
      <c r="L451" s="5">
        <v>0.09</v>
      </c>
      <c r="M451" s="3">
        <f t="shared" ref="M451:M514" si="133">L451*1000</f>
        <v>90</v>
      </c>
      <c r="N451" s="5">
        <v>4.9400000000000004</v>
      </c>
      <c r="O451" s="23">
        <f t="shared" si="126"/>
        <v>4.9400000000000008E-3</v>
      </c>
      <c r="P451" s="23">
        <f t="shared" si="127"/>
        <v>8.8920000000000013E-2</v>
      </c>
      <c r="Q451" s="7">
        <f t="shared" si="128"/>
        <v>8.8920000000000009E-5</v>
      </c>
      <c r="R451" s="23">
        <f t="shared" si="129"/>
        <v>0.32011200000000001</v>
      </c>
      <c r="S451" s="5">
        <v>2.9</v>
      </c>
      <c r="T451" s="5">
        <v>0.85</v>
      </c>
      <c r="U451" s="3">
        <f t="shared" si="130"/>
        <v>8500</v>
      </c>
      <c r="V451" s="8">
        <v>-0.68</v>
      </c>
      <c r="W451" s="8">
        <v>-1.79</v>
      </c>
      <c r="X451" s="5">
        <f t="shared" si="131"/>
        <v>1.1099999999999999</v>
      </c>
      <c r="Y451" s="23">
        <f t="shared" si="132"/>
        <v>0.28838918918918921</v>
      </c>
      <c r="Z451" s="23">
        <f t="shared" ref="Z451:Z514" si="134">Y451*U451</f>
        <v>2451.3081081081082</v>
      </c>
      <c r="AA451" s="11">
        <f t="shared" ref="AA451:AA514" si="135">Y451 * 1000 * 1000 / 18.01528 / 3600</f>
        <v>4.4466757168419315</v>
      </c>
      <c r="AB451" s="11">
        <f t="shared" ref="AB451:AB514" si="136">AA451*U451</f>
        <v>37796.743593156418</v>
      </c>
    </row>
    <row r="452" spans="1:28" ht="17.25" customHeight="1" x14ac:dyDescent="0.2">
      <c r="A452" t="s">
        <v>8</v>
      </c>
      <c r="B452" s="20">
        <v>1521</v>
      </c>
      <c r="C452" s="20">
        <v>157</v>
      </c>
      <c r="D452" s="20">
        <v>72</v>
      </c>
      <c r="E452" t="s">
        <v>77</v>
      </c>
      <c r="F452" s="26">
        <v>45161</v>
      </c>
      <c r="G452" t="s">
        <v>76</v>
      </c>
      <c r="H452" s="5">
        <v>17.670000000000002</v>
      </c>
      <c r="I452" s="5">
        <v>41.02</v>
      </c>
      <c r="J452" s="5">
        <v>37.76</v>
      </c>
      <c r="K452" s="5">
        <v>5.16</v>
      </c>
      <c r="L452" s="5">
        <v>0.08</v>
      </c>
      <c r="M452" s="3">
        <f t="shared" si="133"/>
        <v>80</v>
      </c>
      <c r="N452" s="5">
        <v>3.92</v>
      </c>
      <c r="O452" s="23">
        <f t="shared" si="126"/>
        <v>3.9199999999999999E-3</v>
      </c>
      <c r="P452" s="23">
        <f t="shared" si="127"/>
        <v>7.0559999999999998E-2</v>
      </c>
      <c r="Q452" s="7">
        <f t="shared" si="128"/>
        <v>7.0560000000000002E-5</v>
      </c>
      <c r="R452" s="23">
        <f t="shared" si="129"/>
        <v>0.25401600000000002</v>
      </c>
      <c r="S452" s="5">
        <v>1.89</v>
      </c>
      <c r="T452" s="5">
        <v>1.52</v>
      </c>
      <c r="U452" s="3">
        <f t="shared" si="130"/>
        <v>15200</v>
      </c>
      <c r="V452" s="8">
        <v>-0.68</v>
      </c>
      <c r="W452" s="8">
        <v>-1.48</v>
      </c>
      <c r="X452" s="5">
        <f t="shared" si="131"/>
        <v>0.79999999999999993</v>
      </c>
      <c r="Y452" s="23">
        <f t="shared" si="132"/>
        <v>0.31752000000000002</v>
      </c>
      <c r="Z452" s="23">
        <f t="shared" si="134"/>
        <v>4826.3040000000001</v>
      </c>
      <c r="AA452" s="11">
        <f t="shared" si="135"/>
        <v>4.8958439724500549</v>
      </c>
      <c r="AB452" s="11">
        <f t="shared" si="136"/>
        <v>74416.828381240834</v>
      </c>
    </row>
    <row r="453" spans="1:28" ht="17.25" customHeight="1" x14ac:dyDescent="0.2">
      <c r="A453" t="s">
        <v>8</v>
      </c>
      <c r="B453" s="20">
        <v>1521</v>
      </c>
      <c r="C453" s="20">
        <v>158</v>
      </c>
      <c r="D453" s="20">
        <v>70</v>
      </c>
      <c r="E453" t="s">
        <v>77</v>
      </c>
      <c r="F453" s="26">
        <v>45162</v>
      </c>
      <c r="G453" t="s">
        <v>76</v>
      </c>
      <c r="H453" s="5">
        <v>21.37</v>
      </c>
      <c r="I453" s="5">
        <v>42.03</v>
      </c>
      <c r="J453" s="5">
        <v>38.67</v>
      </c>
      <c r="K453" s="5">
        <v>5.12</v>
      </c>
      <c r="L453" s="5">
        <v>0.09</v>
      </c>
      <c r="M453" s="3">
        <f t="shared" si="133"/>
        <v>90</v>
      </c>
      <c r="N453" s="5">
        <v>4.57</v>
      </c>
      <c r="O453" s="23">
        <f t="shared" si="126"/>
        <v>4.5700000000000003E-3</v>
      </c>
      <c r="P453" s="23">
        <f t="shared" si="127"/>
        <v>8.226E-2</v>
      </c>
      <c r="Q453" s="7">
        <f t="shared" si="128"/>
        <v>8.2260000000000002E-5</v>
      </c>
      <c r="R453" s="23">
        <f t="shared" si="129"/>
        <v>0.29613600000000001</v>
      </c>
      <c r="S453" s="5">
        <v>1.25</v>
      </c>
      <c r="T453" s="5">
        <v>0.24</v>
      </c>
      <c r="U453" s="3">
        <f t="shared" si="130"/>
        <v>2400</v>
      </c>
      <c r="V453" s="8">
        <v>-0.41</v>
      </c>
      <c r="W453" s="8">
        <v>-1.93</v>
      </c>
      <c r="X453" s="5">
        <f t="shared" si="131"/>
        <v>1.52</v>
      </c>
      <c r="Y453" s="23">
        <f t="shared" si="132"/>
        <v>0.19482631578947368</v>
      </c>
      <c r="Z453" s="23">
        <f t="shared" si="134"/>
        <v>467.58315789473681</v>
      </c>
      <c r="AA453" s="11">
        <f t="shared" si="135"/>
        <v>3.0040288606467165</v>
      </c>
      <c r="AB453" s="11">
        <f t="shared" si="136"/>
        <v>7209.6692655521192</v>
      </c>
    </row>
    <row r="454" spans="1:28" ht="17.25" customHeight="1" x14ac:dyDescent="0.2">
      <c r="A454" t="s">
        <v>8</v>
      </c>
      <c r="B454" s="20">
        <v>1521</v>
      </c>
      <c r="C454" s="20">
        <v>158</v>
      </c>
      <c r="D454" s="20">
        <v>73</v>
      </c>
      <c r="E454" t="s">
        <v>77</v>
      </c>
      <c r="F454" s="26">
        <v>45162</v>
      </c>
      <c r="G454" t="s">
        <v>76</v>
      </c>
      <c r="H454" s="5">
        <v>19.97</v>
      </c>
      <c r="I454" s="5">
        <v>42.73</v>
      </c>
      <c r="J454" s="5">
        <v>39.42</v>
      </c>
      <c r="K454" s="5">
        <v>5.46</v>
      </c>
      <c r="L454" s="5">
        <v>7.0000000000000007E-2</v>
      </c>
      <c r="M454" s="3">
        <f t="shared" si="133"/>
        <v>70</v>
      </c>
      <c r="N454" s="5">
        <v>3.69</v>
      </c>
      <c r="O454" s="23">
        <f t="shared" si="126"/>
        <v>3.6900000000000001E-3</v>
      </c>
      <c r="P454" s="23">
        <f t="shared" si="127"/>
        <v>6.6420000000000007E-2</v>
      </c>
      <c r="Q454" s="7">
        <f t="shared" si="128"/>
        <v>6.6420000000000004E-5</v>
      </c>
      <c r="R454" s="23">
        <f t="shared" si="129"/>
        <v>0.23911200000000002</v>
      </c>
      <c r="S454" s="5">
        <v>1.75</v>
      </c>
      <c r="T454" s="5">
        <v>0.39</v>
      </c>
      <c r="U454" s="3">
        <f t="shared" si="130"/>
        <v>3900</v>
      </c>
      <c r="V454" s="8">
        <v>-0.46</v>
      </c>
      <c r="W454" s="8">
        <v>-1.92</v>
      </c>
      <c r="X454" s="5">
        <f t="shared" si="131"/>
        <v>1.46</v>
      </c>
      <c r="Y454" s="23">
        <f t="shared" si="132"/>
        <v>0.16377534246575345</v>
      </c>
      <c r="Z454" s="23">
        <f t="shared" si="134"/>
        <v>638.72383561643846</v>
      </c>
      <c r="AA454" s="11">
        <f t="shared" si="135"/>
        <v>2.525253600550839</v>
      </c>
      <c r="AB454" s="11">
        <f t="shared" si="136"/>
        <v>9848.4890421482723</v>
      </c>
    </row>
    <row r="455" spans="1:28" ht="17.25" customHeight="1" x14ac:dyDescent="0.2">
      <c r="A455" t="s">
        <v>8</v>
      </c>
      <c r="B455" s="20">
        <v>1521</v>
      </c>
      <c r="C455" s="20">
        <v>158</v>
      </c>
      <c r="D455" s="20">
        <v>81</v>
      </c>
      <c r="E455" t="s">
        <v>77</v>
      </c>
      <c r="F455" s="26">
        <v>45162</v>
      </c>
      <c r="G455" t="s">
        <v>76</v>
      </c>
      <c r="H455" s="5">
        <v>21.96</v>
      </c>
      <c r="I455" s="5">
        <v>41.71</v>
      </c>
      <c r="J455" s="5">
        <v>38.99</v>
      </c>
      <c r="K455" s="5">
        <v>5.22</v>
      </c>
      <c r="L455" s="5">
        <v>0.13</v>
      </c>
      <c r="M455" s="3">
        <f t="shared" si="133"/>
        <v>130</v>
      </c>
      <c r="N455" s="5">
        <v>6.24</v>
      </c>
      <c r="O455" s="23">
        <f t="shared" si="126"/>
        <v>6.2399999999999999E-3</v>
      </c>
      <c r="P455" s="23">
        <f t="shared" si="127"/>
        <v>0.11232</v>
      </c>
      <c r="Q455" s="7">
        <f t="shared" si="128"/>
        <v>1.1232000000000001E-4</v>
      </c>
      <c r="R455" s="23">
        <f t="shared" si="129"/>
        <v>0.40435200000000004</v>
      </c>
      <c r="S455" s="5">
        <v>0.53</v>
      </c>
      <c r="T455" s="5">
        <v>0.2</v>
      </c>
      <c r="U455" s="3">
        <f t="shared" si="130"/>
        <v>2000</v>
      </c>
      <c r="V455" s="8">
        <v>-0.49</v>
      </c>
      <c r="W455" s="8">
        <v>-1.71</v>
      </c>
      <c r="X455" s="5">
        <f t="shared" si="131"/>
        <v>1.22</v>
      </c>
      <c r="Y455" s="23">
        <f t="shared" si="132"/>
        <v>0.33143606557377053</v>
      </c>
      <c r="Z455" s="23">
        <f t="shared" si="134"/>
        <v>662.87213114754104</v>
      </c>
      <c r="AA455" s="11">
        <f t="shared" si="135"/>
        <v>5.1104159230659638</v>
      </c>
      <c r="AB455" s="11">
        <f t="shared" si="136"/>
        <v>10220.831846131927</v>
      </c>
    </row>
    <row r="456" spans="1:28" ht="17.25" customHeight="1" x14ac:dyDescent="0.2">
      <c r="A456" t="s">
        <v>9</v>
      </c>
      <c r="B456" s="20">
        <v>666</v>
      </c>
      <c r="C456" s="20">
        <v>101</v>
      </c>
      <c r="D456" s="20">
        <v>1</v>
      </c>
      <c r="E456" t="s">
        <v>77</v>
      </c>
      <c r="F456" s="26">
        <v>45161</v>
      </c>
      <c r="G456" t="s">
        <v>76</v>
      </c>
      <c r="H456" s="5">
        <v>18.82</v>
      </c>
      <c r="I456" s="5">
        <v>40.549999999999997</v>
      </c>
      <c r="J456" s="5">
        <v>36.22</v>
      </c>
      <c r="K456" s="5">
        <v>4.59</v>
      </c>
      <c r="L456" s="5">
        <v>0.14000000000000001</v>
      </c>
      <c r="M456" s="3">
        <f t="shared" si="133"/>
        <v>140</v>
      </c>
      <c r="N456" s="5">
        <v>5.77</v>
      </c>
      <c r="O456" s="23">
        <f t="shared" si="126"/>
        <v>5.77E-3</v>
      </c>
      <c r="P456" s="23">
        <f t="shared" si="127"/>
        <v>0.10385999999999999</v>
      </c>
      <c r="Q456" s="7">
        <f t="shared" si="128"/>
        <v>1.0386E-4</v>
      </c>
      <c r="R456" s="23">
        <f t="shared" si="129"/>
        <v>0.37389600000000001</v>
      </c>
      <c r="S456" s="5">
        <v>5.47</v>
      </c>
      <c r="T456" s="5">
        <v>1.21</v>
      </c>
      <c r="U456" s="3">
        <f t="shared" si="130"/>
        <v>12100</v>
      </c>
      <c r="V456" s="8">
        <v>-0.42</v>
      </c>
      <c r="W456" s="8">
        <v>-1.79</v>
      </c>
      <c r="X456" s="5">
        <f t="shared" si="131"/>
        <v>1.37</v>
      </c>
      <c r="Y456" s="23">
        <f t="shared" si="132"/>
        <v>0.27291678832116789</v>
      </c>
      <c r="Z456" s="23">
        <f t="shared" si="134"/>
        <v>3302.2931386861314</v>
      </c>
      <c r="AA456" s="11">
        <f t="shared" si="135"/>
        <v>4.2081066171662158</v>
      </c>
      <c r="AB456" s="11">
        <f t="shared" si="136"/>
        <v>50918.090067711215</v>
      </c>
    </row>
    <row r="457" spans="1:28" ht="17.25" customHeight="1" x14ac:dyDescent="0.2">
      <c r="A457" t="s">
        <v>9</v>
      </c>
      <c r="B457" s="20">
        <v>666</v>
      </c>
      <c r="C457" s="20">
        <v>101</v>
      </c>
      <c r="D457" s="20">
        <v>2</v>
      </c>
      <c r="E457" t="s">
        <v>77</v>
      </c>
      <c r="F457" s="26">
        <v>45161</v>
      </c>
      <c r="G457" t="s">
        <v>76</v>
      </c>
      <c r="H457" s="5">
        <v>18.32</v>
      </c>
      <c r="I457" s="5">
        <v>41.1</v>
      </c>
      <c r="J457" s="5">
        <v>37.61</v>
      </c>
      <c r="K457" s="5">
        <v>5.0599999999999996</v>
      </c>
      <c r="L457" s="5">
        <v>0.1</v>
      </c>
      <c r="M457" s="3">
        <f t="shared" si="133"/>
        <v>100</v>
      </c>
      <c r="N457" s="5">
        <v>4.53</v>
      </c>
      <c r="O457" s="23">
        <f t="shared" si="126"/>
        <v>4.5300000000000002E-3</v>
      </c>
      <c r="P457" s="23">
        <f t="shared" si="127"/>
        <v>8.1540000000000001E-2</v>
      </c>
      <c r="Q457" s="7">
        <f t="shared" si="128"/>
        <v>8.1539999999999995E-5</v>
      </c>
      <c r="R457" s="23">
        <f t="shared" si="129"/>
        <v>0.29354399999999997</v>
      </c>
      <c r="S457" s="5">
        <v>6.42</v>
      </c>
      <c r="T457" s="5">
        <v>1.41</v>
      </c>
      <c r="U457" s="3">
        <f t="shared" si="130"/>
        <v>14100</v>
      </c>
      <c r="V457" s="8">
        <v>-0.49</v>
      </c>
      <c r="W457" s="8">
        <v>-1.84</v>
      </c>
      <c r="X457" s="5">
        <f t="shared" si="131"/>
        <v>1.35</v>
      </c>
      <c r="Y457" s="23">
        <f t="shared" si="132"/>
        <v>0.21743999999999997</v>
      </c>
      <c r="Z457" s="23">
        <f t="shared" si="134"/>
        <v>3065.9039999999995</v>
      </c>
      <c r="AA457" s="11">
        <f t="shared" si="135"/>
        <v>3.3527094777322359</v>
      </c>
      <c r="AB457" s="11">
        <f t="shared" si="136"/>
        <v>47273.203636024526</v>
      </c>
    </row>
    <row r="458" spans="1:28" ht="17.25" customHeight="1" x14ac:dyDescent="0.2">
      <c r="A458" t="s">
        <v>9</v>
      </c>
      <c r="B458" s="20">
        <v>666</v>
      </c>
      <c r="C458" s="20">
        <v>101</v>
      </c>
      <c r="D458" s="20">
        <v>3</v>
      </c>
      <c r="E458" t="s">
        <v>77</v>
      </c>
      <c r="F458" s="26">
        <v>45161</v>
      </c>
      <c r="G458" t="s">
        <v>76</v>
      </c>
      <c r="H458" s="5">
        <v>17.489999999999998</v>
      </c>
      <c r="I458" s="5">
        <v>41.66</v>
      </c>
      <c r="J458" s="5">
        <v>36.67</v>
      </c>
      <c r="K458" s="5">
        <v>4.79</v>
      </c>
      <c r="L458" s="5">
        <v>0.19</v>
      </c>
      <c r="M458" s="3">
        <f t="shared" si="133"/>
        <v>190</v>
      </c>
      <c r="N458" s="5">
        <v>7.89</v>
      </c>
      <c r="O458" s="23">
        <f t="shared" si="126"/>
        <v>7.8899999999999994E-3</v>
      </c>
      <c r="P458" s="23">
        <f t="shared" si="127"/>
        <v>0.14201999999999998</v>
      </c>
      <c r="Q458" s="7">
        <f t="shared" si="128"/>
        <v>1.4201999999999997E-4</v>
      </c>
      <c r="R458" s="23">
        <f t="shared" si="129"/>
        <v>0.51127199999999995</v>
      </c>
      <c r="S458" s="5">
        <v>5.07</v>
      </c>
      <c r="T458" s="5">
        <v>1.03</v>
      </c>
      <c r="U458" s="3">
        <f t="shared" si="130"/>
        <v>10300</v>
      </c>
      <c r="V458" s="8">
        <v>-0.33</v>
      </c>
      <c r="W458" s="8">
        <v>-1.7</v>
      </c>
      <c r="X458" s="5">
        <f t="shared" si="131"/>
        <v>1.3699999999999999</v>
      </c>
      <c r="Y458" s="23">
        <f t="shared" si="132"/>
        <v>0.37319124087591238</v>
      </c>
      <c r="Z458" s="23">
        <f t="shared" si="134"/>
        <v>3843.8697810218973</v>
      </c>
      <c r="AA458" s="11">
        <f t="shared" si="135"/>
        <v>5.7542393777194878</v>
      </c>
      <c r="AB458" s="11">
        <f t="shared" si="136"/>
        <v>59268.665590510725</v>
      </c>
    </row>
    <row r="459" spans="1:28" ht="17.25" customHeight="1" x14ac:dyDescent="0.2">
      <c r="A459" t="s">
        <v>9</v>
      </c>
      <c r="B459" s="20">
        <v>666</v>
      </c>
      <c r="C459" s="20">
        <v>105</v>
      </c>
      <c r="D459" s="20">
        <v>7</v>
      </c>
      <c r="E459" t="s">
        <v>77</v>
      </c>
      <c r="F459" s="26">
        <v>45161</v>
      </c>
      <c r="G459" t="s">
        <v>76</v>
      </c>
      <c r="H459" s="5">
        <v>18.48</v>
      </c>
      <c r="I459" s="5">
        <v>41.16</v>
      </c>
      <c r="J459" s="5">
        <v>36.99</v>
      </c>
      <c r="K459" s="5">
        <v>4.83</v>
      </c>
      <c r="L459" s="5">
        <v>0.16</v>
      </c>
      <c r="M459" s="3">
        <f t="shared" si="133"/>
        <v>160</v>
      </c>
      <c r="N459" s="5">
        <v>7.37</v>
      </c>
      <c r="O459" s="23">
        <f t="shared" si="126"/>
        <v>7.3699999999999998E-3</v>
      </c>
      <c r="P459" s="23">
        <f t="shared" si="127"/>
        <v>0.13266</v>
      </c>
      <c r="Q459" s="7">
        <f t="shared" si="128"/>
        <v>1.3265999999999999E-4</v>
      </c>
      <c r="R459" s="23">
        <f t="shared" si="129"/>
        <v>0.477576</v>
      </c>
      <c r="S459" s="5">
        <v>3.34</v>
      </c>
      <c r="T459" s="5">
        <v>0.91</v>
      </c>
      <c r="U459" s="3">
        <f t="shared" si="130"/>
        <v>9100</v>
      </c>
      <c r="V459" s="8">
        <v>-0.28999999999999998</v>
      </c>
      <c r="W459" s="8">
        <v>-1.86</v>
      </c>
      <c r="X459" s="5">
        <f t="shared" si="131"/>
        <v>1.57</v>
      </c>
      <c r="Y459" s="23">
        <f t="shared" si="132"/>
        <v>0.30418853503184712</v>
      </c>
      <c r="Z459" s="23">
        <f t="shared" si="134"/>
        <v>2768.1156687898088</v>
      </c>
      <c r="AA459" s="11">
        <f t="shared" si="135"/>
        <v>4.6902859842658104</v>
      </c>
      <c r="AB459" s="11">
        <f t="shared" si="136"/>
        <v>42681.602456818873</v>
      </c>
    </row>
    <row r="460" spans="1:28" ht="17.25" customHeight="1" x14ac:dyDescent="0.2">
      <c r="A460" t="s">
        <v>9</v>
      </c>
      <c r="B460" s="20">
        <v>666</v>
      </c>
      <c r="C460" s="20">
        <v>105</v>
      </c>
      <c r="D460" s="20">
        <v>8</v>
      </c>
      <c r="E460" t="s">
        <v>77</v>
      </c>
      <c r="F460" s="26">
        <v>45161</v>
      </c>
      <c r="G460" t="s">
        <v>76</v>
      </c>
      <c r="H460" s="5">
        <v>17.420000000000002</v>
      </c>
      <c r="I460" s="5">
        <v>40.950000000000003</v>
      </c>
      <c r="J460" s="5">
        <v>38.590000000000003</v>
      </c>
      <c r="K460" s="5">
        <v>5.49</v>
      </c>
      <c r="L460" s="5">
        <v>0.08</v>
      </c>
      <c r="M460" s="3">
        <f t="shared" si="133"/>
        <v>80</v>
      </c>
      <c r="N460" s="5">
        <v>4.21</v>
      </c>
      <c r="O460" s="23">
        <f t="shared" si="126"/>
        <v>4.2100000000000002E-3</v>
      </c>
      <c r="P460" s="23">
        <f t="shared" si="127"/>
        <v>7.578E-2</v>
      </c>
      <c r="Q460" s="7">
        <f t="shared" si="128"/>
        <v>7.5779999999999996E-5</v>
      </c>
      <c r="R460" s="23">
        <f t="shared" si="129"/>
        <v>0.27280799999999999</v>
      </c>
      <c r="S460" s="5">
        <v>2.64</v>
      </c>
      <c r="T460" s="5">
        <v>0.69</v>
      </c>
      <c r="U460" s="5">
        <f t="shared" si="130"/>
        <v>6899.9999999999991</v>
      </c>
      <c r="V460" s="8">
        <v>-0.35</v>
      </c>
      <c r="W460" s="8">
        <v>-1.96</v>
      </c>
      <c r="X460" s="5">
        <f t="shared" si="131"/>
        <v>1.6099999999999999</v>
      </c>
      <c r="Y460" s="23">
        <f t="shared" si="132"/>
        <v>0.16944596273291926</v>
      </c>
      <c r="Z460" s="23">
        <f t="shared" si="134"/>
        <v>1169.1771428571428</v>
      </c>
      <c r="AA460" s="11">
        <f t="shared" si="135"/>
        <v>2.6126889496786316</v>
      </c>
      <c r="AB460" s="11">
        <f t="shared" si="136"/>
        <v>18027.553752782555</v>
      </c>
    </row>
    <row r="461" spans="1:28" ht="17.25" customHeight="1" x14ac:dyDescent="0.2">
      <c r="A461" t="s">
        <v>9</v>
      </c>
      <c r="B461" s="20">
        <v>666</v>
      </c>
      <c r="C461" s="20">
        <v>105</v>
      </c>
      <c r="D461" s="20">
        <v>9</v>
      </c>
      <c r="E461" t="s">
        <v>77</v>
      </c>
      <c r="F461" s="26">
        <v>45162</v>
      </c>
      <c r="G461" t="s">
        <v>76</v>
      </c>
      <c r="H461" s="5">
        <v>19.489999999999998</v>
      </c>
      <c r="I461" s="5">
        <v>42.9</v>
      </c>
      <c r="J461" s="5">
        <v>39.92</v>
      </c>
      <c r="K461" s="5">
        <v>5.67</v>
      </c>
      <c r="L461" s="5">
        <v>0.08</v>
      </c>
      <c r="M461" s="3">
        <f t="shared" si="133"/>
        <v>80</v>
      </c>
      <c r="N461" s="5">
        <v>4.24</v>
      </c>
      <c r="O461" s="23">
        <f t="shared" si="126"/>
        <v>4.2399999999999998E-3</v>
      </c>
      <c r="P461" s="23">
        <f t="shared" si="127"/>
        <v>7.6319999999999999E-2</v>
      </c>
      <c r="Q461" s="7">
        <f t="shared" si="128"/>
        <v>7.6320000000000001E-5</v>
      </c>
      <c r="R461" s="23">
        <f t="shared" si="129"/>
        <v>0.274752</v>
      </c>
      <c r="S461" s="5">
        <v>5.01</v>
      </c>
      <c r="T461" s="5">
        <v>1.0900000000000001</v>
      </c>
      <c r="U461" s="3">
        <f t="shared" si="130"/>
        <v>10900</v>
      </c>
      <c r="V461" s="8">
        <v>-0.38</v>
      </c>
      <c r="W461" s="8">
        <v>-1.94</v>
      </c>
      <c r="X461" s="5">
        <f t="shared" si="131"/>
        <v>1.56</v>
      </c>
      <c r="Y461" s="23">
        <f t="shared" si="132"/>
        <v>0.17612307692307691</v>
      </c>
      <c r="Z461" s="23">
        <f t="shared" si="134"/>
        <v>1919.7415384615383</v>
      </c>
      <c r="AA461" s="11">
        <f t="shared" si="135"/>
        <v>2.7156434384076698</v>
      </c>
      <c r="AB461" s="11">
        <f t="shared" si="136"/>
        <v>29600.513478643599</v>
      </c>
    </row>
    <row r="462" spans="1:28" ht="17.25" customHeight="1" x14ac:dyDescent="0.2">
      <c r="A462" t="s">
        <v>9</v>
      </c>
      <c r="B462" s="20">
        <v>666</v>
      </c>
      <c r="C462" s="20">
        <v>118</v>
      </c>
      <c r="D462" s="20">
        <v>10</v>
      </c>
      <c r="E462" t="s">
        <v>77</v>
      </c>
      <c r="F462" s="26">
        <v>45162</v>
      </c>
      <c r="G462" t="s">
        <v>76</v>
      </c>
      <c r="H462" s="5">
        <v>21.37</v>
      </c>
      <c r="I462" s="5">
        <v>41.91</v>
      </c>
      <c r="J462" s="5">
        <v>37.9</v>
      </c>
      <c r="K462" s="5">
        <v>4.8499999999999996</v>
      </c>
      <c r="L462" s="5">
        <v>0.16</v>
      </c>
      <c r="M462" s="3">
        <f t="shared" si="133"/>
        <v>160</v>
      </c>
      <c r="N462" s="5">
        <v>7.49</v>
      </c>
      <c r="O462" s="23">
        <f t="shared" ref="O462:O485" si="137">N462/1000</f>
        <v>7.4900000000000001E-3</v>
      </c>
      <c r="P462" s="23">
        <f t="shared" ref="P462:P485" si="138">O462*18</f>
        <v>0.13482</v>
      </c>
      <c r="Q462" s="7">
        <f t="shared" ref="Q462:Q485" si="139">P462/1000</f>
        <v>1.3481999999999999E-4</v>
      </c>
      <c r="R462" s="23">
        <f t="shared" ref="R462:R485" si="140">Q462*3600</f>
        <v>0.48535199999999995</v>
      </c>
      <c r="S462" s="5">
        <v>3.56</v>
      </c>
      <c r="T462" s="5">
        <v>1</v>
      </c>
      <c r="U462" s="3">
        <f t="shared" ref="U462:U485" si="141">T462*10000</f>
        <v>10000</v>
      </c>
      <c r="V462" s="8">
        <v>-0.35</v>
      </c>
      <c r="W462" s="8">
        <v>-1.79</v>
      </c>
      <c r="X462" s="5">
        <f t="shared" ref="X462:X485" si="142">V462-W462</f>
        <v>1.44</v>
      </c>
      <c r="Y462" s="23">
        <f t="shared" ref="Y462:Y485" si="143">R462/X462</f>
        <v>0.33704999999999996</v>
      </c>
      <c r="Z462" s="23">
        <f t="shared" si="134"/>
        <v>3370.4999999999995</v>
      </c>
      <c r="AA462" s="11">
        <f t="shared" si="135"/>
        <v>5.1969772326602746</v>
      </c>
      <c r="AB462" s="11">
        <f t="shared" si="136"/>
        <v>51969.772326602746</v>
      </c>
    </row>
    <row r="463" spans="1:28" ht="17.25" customHeight="1" x14ac:dyDescent="0.2">
      <c r="A463" t="s">
        <v>9</v>
      </c>
      <c r="B463" s="20">
        <v>666</v>
      </c>
      <c r="C463" s="20">
        <v>118</v>
      </c>
      <c r="D463" s="20">
        <v>11</v>
      </c>
      <c r="E463" t="s">
        <v>77</v>
      </c>
      <c r="F463" s="26">
        <v>45162</v>
      </c>
      <c r="G463" t="s">
        <v>76</v>
      </c>
      <c r="H463" s="5">
        <v>20.14</v>
      </c>
      <c r="I463" s="5">
        <v>42.82</v>
      </c>
      <c r="J463" s="5">
        <v>41.36</v>
      </c>
      <c r="K463" s="5">
        <v>6.21</v>
      </c>
      <c r="L463" s="5">
        <v>0.03</v>
      </c>
      <c r="M463" s="3">
        <f t="shared" si="133"/>
        <v>30</v>
      </c>
      <c r="N463" s="3">
        <v>2</v>
      </c>
      <c r="O463" s="23">
        <f t="shared" si="137"/>
        <v>2E-3</v>
      </c>
      <c r="P463" s="23">
        <f t="shared" si="138"/>
        <v>3.6000000000000004E-2</v>
      </c>
      <c r="Q463" s="7">
        <f t="shared" si="139"/>
        <v>3.6000000000000001E-5</v>
      </c>
      <c r="R463" s="23">
        <f t="shared" si="140"/>
        <v>0.12959999999999999</v>
      </c>
      <c r="S463" s="5">
        <v>3.32</v>
      </c>
      <c r="T463" s="5">
        <v>0.91</v>
      </c>
      <c r="U463" s="3">
        <f t="shared" si="141"/>
        <v>9100</v>
      </c>
      <c r="V463" s="8">
        <v>-0.37</v>
      </c>
      <c r="W463" s="8">
        <v>-1.64</v>
      </c>
      <c r="X463" s="5">
        <f t="shared" si="142"/>
        <v>1.27</v>
      </c>
      <c r="Y463" s="23">
        <f t="shared" si="143"/>
        <v>0.10204724409448818</v>
      </c>
      <c r="Z463" s="23">
        <f t="shared" si="134"/>
        <v>928.62992125984238</v>
      </c>
      <c r="AA463" s="11">
        <f t="shared" si="135"/>
        <v>1.5734674505704813</v>
      </c>
      <c r="AB463" s="11">
        <f t="shared" si="136"/>
        <v>14318.553800191379</v>
      </c>
    </row>
    <row r="464" spans="1:28" ht="17.25" customHeight="1" x14ac:dyDescent="0.2">
      <c r="A464" t="s">
        <v>9</v>
      </c>
      <c r="B464" s="20">
        <v>666</v>
      </c>
      <c r="C464" s="20">
        <v>118</v>
      </c>
      <c r="D464" s="20">
        <v>12</v>
      </c>
      <c r="E464" t="s">
        <v>77</v>
      </c>
      <c r="F464" s="26">
        <v>45161</v>
      </c>
      <c r="G464" t="s">
        <v>76</v>
      </c>
      <c r="H464" s="5">
        <v>17.309999999999999</v>
      </c>
      <c r="I464" s="5">
        <v>41.88</v>
      </c>
      <c r="J464" s="5">
        <v>39.090000000000003</v>
      </c>
      <c r="K464" s="5">
        <v>5.62</v>
      </c>
      <c r="L464" s="5">
        <v>0.09</v>
      </c>
      <c r="M464" s="3">
        <f t="shared" si="133"/>
        <v>90</v>
      </c>
      <c r="N464" s="5">
        <v>4.6500000000000004</v>
      </c>
      <c r="O464" s="23">
        <f t="shared" si="137"/>
        <v>4.6500000000000005E-3</v>
      </c>
      <c r="P464" s="23">
        <f t="shared" si="138"/>
        <v>8.3700000000000011E-2</v>
      </c>
      <c r="Q464" s="7">
        <f t="shared" si="139"/>
        <v>8.3700000000000015E-5</v>
      </c>
      <c r="R464" s="23">
        <f t="shared" si="140"/>
        <v>0.30132000000000003</v>
      </c>
      <c r="S464" s="5">
        <v>1.61</v>
      </c>
      <c r="T464" s="5">
        <v>0.5</v>
      </c>
      <c r="U464" s="3">
        <f t="shared" si="141"/>
        <v>5000</v>
      </c>
      <c r="V464" s="8">
        <v>-0.32</v>
      </c>
      <c r="W464" s="8">
        <v>-1.91</v>
      </c>
      <c r="X464" s="5">
        <f t="shared" si="142"/>
        <v>1.5899999999999999</v>
      </c>
      <c r="Y464" s="23">
        <f t="shared" si="143"/>
        <v>0.18950943396226419</v>
      </c>
      <c r="Z464" s="23">
        <f t="shared" si="134"/>
        <v>947.54716981132094</v>
      </c>
      <c r="AA464" s="11">
        <f t="shared" si="135"/>
        <v>2.9220478079698053</v>
      </c>
      <c r="AB464" s="11">
        <f t="shared" si="136"/>
        <v>14610.239039849026</v>
      </c>
    </row>
    <row r="465" spans="1:28" ht="17.25" customHeight="1" x14ac:dyDescent="0.2">
      <c r="A465" t="s">
        <v>9</v>
      </c>
      <c r="B465" s="20">
        <v>666</v>
      </c>
      <c r="C465" s="20">
        <v>122</v>
      </c>
      <c r="D465" s="20">
        <v>16</v>
      </c>
      <c r="E465" t="s">
        <v>77</v>
      </c>
      <c r="F465" s="26">
        <v>45162</v>
      </c>
      <c r="G465" t="s">
        <v>76</v>
      </c>
      <c r="H465" s="5">
        <v>19.32</v>
      </c>
      <c r="I465" s="5">
        <v>42.67</v>
      </c>
      <c r="J465" s="5">
        <v>40.75</v>
      </c>
      <c r="K465" s="5">
        <v>6.05</v>
      </c>
      <c r="L465" s="5">
        <v>0.06</v>
      </c>
      <c r="M465" s="3">
        <f t="shared" si="133"/>
        <v>60</v>
      </c>
      <c r="N465" s="5">
        <v>3.07</v>
      </c>
      <c r="O465" s="23">
        <f t="shared" si="137"/>
        <v>3.0699999999999998E-3</v>
      </c>
      <c r="P465" s="23">
        <f t="shared" si="138"/>
        <v>5.5259999999999997E-2</v>
      </c>
      <c r="Q465" s="7">
        <f t="shared" si="139"/>
        <v>5.5259999999999996E-5</v>
      </c>
      <c r="R465" s="23">
        <f t="shared" si="140"/>
        <v>0.19893599999999997</v>
      </c>
      <c r="S465" s="5">
        <v>7.05</v>
      </c>
      <c r="T465" s="5">
        <v>2.21</v>
      </c>
      <c r="U465" s="3">
        <f t="shared" si="141"/>
        <v>22100</v>
      </c>
      <c r="V465" s="8">
        <v>-0.31</v>
      </c>
      <c r="W465" s="8">
        <v>-1.54</v>
      </c>
      <c r="X465" s="5">
        <f t="shared" si="142"/>
        <v>1.23</v>
      </c>
      <c r="Y465" s="23">
        <f t="shared" si="143"/>
        <v>0.16173658536585364</v>
      </c>
      <c r="Z465" s="23">
        <f t="shared" si="134"/>
        <v>3574.3785365853655</v>
      </c>
      <c r="AA465" s="11">
        <f t="shared" si="135"/>
        <v>2.4938179849712396</v>
      </c>
      <c r="AB465" s="11">
        <f t="shared" si="136"/>
        <v>55113.377467864397</v>
      </c>
    </row>
    <row r="466" spans="1:28" ht="17.25" customHeight="1" x14ac:dyDescent="0.2">
      <c r="A466" t="s">
        <v>9</v>
      </c>
      <c r="B466" s="20">
        <v>666</v>
      </c>
      <c r="C466" s="20">
        <v>122</v>
      </c>
      <c r="D466" s="20">
        <v>17</v>
      </c>
      <c r="E466" t="s">
        <v>77</v>
      </c>
      <c r="F466" s="26">
        <v>45162</v>
      </c>
      <c r="G466" t="s">
        <v>76</v>
      </c>
      <c r="H466" s="5">
        <v>20.75</v>
      </c>
      <c r="I466" s="5">
        <v>42.47</v>
      </c>
      <c r="J466" s="5">
        <v>40.92</v>
      </c>
      <c r="K466" s="3">
        <v>6</v>
      </c>
      <c r="L466" s="5">
        <v>7.0000000000000007E-2</v>
      </c>
      <c r="M466" s="3">
        <f t="shared" si="133"/>
        <v>70</v>
      </c>
      <c r="N466" s="5">
        <v>4.05</v>
      </c>
      <c r="O466" s="23">
        <f t="shared" si="137"/>
        <v>4.0499999999999998E-3</v>
      </c>
      <c r="P466" s="23">
        <f t="shared" si="138"/>
        <v>7.2899999999999993E-2</v>
      </c>
      <c r="Q466" s="7">
        <f t="shared" si="139"/>
        <v>7.2899999999999997E-5</v>
      </c>
      <c r="R466" s="23">
        <f t="shared" si="140"/>
        <v>0.26244000000000001</v>
      </c>
      <c r="S466" s="5">
        <v>4.82</v>
      </c>
      <c r="T466" s="5">
        <v>1.19</v>
      </c>
      <c r="U466" s="3">
        <f t="shared" si="141"/>
        <v>11900</v>
      </c>
      <c r="V466" s="8">
        <v>-0.34</v>
      </c>
      <c r="W466" s="8">
        <v>-1.66</v>
      </c>
      <c r="X466" s="5">
        <f t="shared" si="142"/>
        <v>1.3199999999999998</v>
      </c>
      <c r="Y466" s="23">
        <f t="shared" si="143"/>
        <v>0.19881818181818184</v>
      </c>
      <c r="Z466" s="23">
        <f t="shared" si="134"/>
        <v>2365.9363636363637</v>
      </c>
      <c r="AA466" s="11">
        <f t="shared" si="135"/>
        <v>3.0655794818216942</v>
      </c>
      <c r="AB466" s="11">
        <f t="shared" si="136"/>
        <v>36480.395833678158</v>
      </c>
    </row>
    <row r="467" spans="1:28" ht="17.25" customHeight="1" x14ac:dyDescent="0.2">
      <c r="A467" t="s">
        <v>9</v>
      </c>
      <c r="B467" s="20">
        <v>666</v>
      </c>
      <c r="C467" s="20">
        <v>122</v>
      </c>
      <c r="D467" s="20">
        <v>18</v>
      </c>
      <c r="E467" t="s">
        <v>77</v>
      </c>
      <c r="F467" s="26">
        <v>45161</v>
      </c>
      <c r="G467" t="s">
        <v>76</v>
      </c>
      <c r="H467" s="5">
        <v>18.03</v>
      </c>
      <c r="I467" s="5">
        <v>41.33</v>
      </c>
      <c r="J467" s="5">
        <v>37.130000000000003</v>
      </c>
      <c r="K467" s="5">
        <v>4.8899999999999997</v>
      </c>
      <c r="L467" s="5">
        <v>0.11</v>
      </c>
      <c r="M467" s="3">
        <f t="shared" si="133"/>
        <v>110</v>
      </c>
      <c r="N467" s="5">
        <v>5.01</v>
      </c>
      <c r="O467" s="23">
        <f t="shared" si="137"/>
        <v>5.0099999999999997E-3</v>
      </c>
      <c r="P467" s="23">
        <f t="shared" si="138"/>
        <v>9.0179999999999996E-2</v>
      </c>
      <c r="Q467" s="7">
        <f t="shared" si="139"/>
        <v>9.0179999999999994E-5</v>
      </c>
      <c r="R467" s="23">
        <f t="shared" si="140"/>
        <v>0.32464799999999999</v>
      </c>
      <c r="S467" s="5">
        <v>7.37</v>
      </c>
      <c r="T467" s="5">
        <v>1.96</v>
      </c>
      <c r="U467" s="3">
        <f t="shared" si="141"/>
        <v>19600</v>
      </c>
      <c r="V467" s="8">
        <v>-0.25</v>
      </c>
      <c r="W467" s="8">
        <v>-2.12</v>
      </c>
      <c r="X467" s="5">
        <f t="shared" si="142"/>
        <v>1.87</v>
      </c>
      <c r="Y467" s="23">
        <f t="shared" si="143"/>
        <v>0.17360855614973261</v>
      </c>
      <c r="Z467" s="23">
        <f t="shared" si="134"/>
        <v>3402.7277005347592</v>
      </c>
      <c r="AA467" s="11">
        <f t="shared" si="135"/>
        <v>2.6768720181135834</v>
      </c>
      <c r="AB467" s="11">
        <f t="shared" si="136"/>
        <v>52466.691555026235</v>
      </c>
    </row>
    <row r="468" spans="1:28" ht="17.25" customHeight="1" x14ac:dyDescent="0.2">
      <c r="A468" t="s">
        <v>9</v>
      </c>
      <c r="B468" s="20">
        <v>666</v>
      </c>
      <c r="C468" s="20">
        <v>123</v>
      </c>
      <c r="D468" s="20">
        <v>19</v>
      </c>
      <c r="E468" t="s">
        <v>77</v>
      </c>
      <c r="F468" s="26">
        <v>45161</v>
      </c>
      <c r="G468" t="s">
        <v>76</v>
      </c>
      <c r="H468" s="5">
        <v>19.8</v>
      </c>
      <c r="I468" s="5">
        <v>41.64</v>
      </c>
      <c r="J468" s="5">
        <v>36.4</v>
      </c>
      <c r="K468" s="5">
        <v>4.4800000000000004</v>
      </c>
      <c r="L468" s="5">
        <v>0.19</v>
      </c>
      <c r="M468" s="3">
        <f t="shared" si="133"/>
        <v>190</v>
      </c>
      <c r="N468" s="5">
        <v>8.0500000000000007</v>
      </c>
      <c r="O468" s="23">
        <f t="shared" si="137"/>
        <v>8.0499999999999999E-3</v>
      </c>
      <c r="P468" s="23">
        <f t="shared" si="138"/>
        <v>0.1449</v>
      </c>
      <c r="Q468" s="7">
        <f t="shared" si="139"/>
        <v>1.449E-4</v>
      </c>
      <c r="R468" s="23">
        <f t="shared" si="140"/>
        <v>0.52163999999999999</v>
      </c>
      <c r="S468" s="5">
        <v>6.06</v>
      </c>
      <c r="T468" s="5">
        <v>1.55</v>
      </c>
      <c r="U468" s="3">
        <f t="shared" si="141"/>
        <v>15500</v>
      </c>
      <c r="V468" s="8">
        <v>-0.38</v>
      </c>
      <c r="W468" s="8">
        <v>-2.2599999999999998</v>
      </c>
      <c r="X468" s="5">
        <f t="shared" si="142"/>
        <v>1.88</v>
      </c>
      <c r="Y468" s="23">
        <f t="shared" si="143"/>
        <v>0.27746808510638299</v>
      </c>
      <c r="Z468" s="23">
        <f t="shared" si="134"/>
        <v>4300.755319148936</v>
      </c>
      <c r="AA468" s="11">
        <f t="shared" si="135"/>
        <v>4.2782831066242872</v>
      </c>
      <c r="AB468" s="11">
        <f t="shared" si="136"/>
        <v>66313.388152676445</v>
      </c>
    </row>
    <row r="469" spans="1:28" ht="17.25" customHeight="1" x14ac:dyDescent="0.2">
      <c r="A469" t="s">
        <v>9</v>
      </c>
      <c r="B469" s="20">
        <v>666</v>
      </c>
      <c r="C469" s="20">
        <v>123</v>
      </c>
      <c r="D469" s="20">
        <v>20</v>
      </c>
      <c r="E469" t="s">
        <v>77</v>
      </c>
      <c r="F469" s="26">
        <v>45161</v>
      </c>
      <c r="G469" t="s">
        <v>76</v>
      </c>
      <c r="H469" s="5">
        <v>18.100000000000001</v>
      </c>
      <c r="I469" s="5">
        <v>41.44</v>
      </c>
      <c r="J469" s="5">
        <v>36.24</v>
      </c>
      <c r="K469" s="5">
        <v>4.58</v>
      </c>
      <c r="L469" s="5">
        <v>0.17</v>
      </c>
      <c r="M469" s="3">
        <f t="shared" si="133"/>
        <v>170</v>
      </c>
      <c r="N469" s="5">
        <v>7.39</v>
      </c>
      <c r="O469" s="23">
        <f t="shared" si="137"/>
        <v>7.3899999999999999E-3</v>
      </c>
      <c r="P469" s="23">
        <f t="shared" si="138"/>
        <v>0.13302</v>
      </c>
      <c r="Q469" s="7">
        <f t="shared" si="139"/>
        <v>1.3302E-4</v>
      </c>
      <c r="R469" s="23">
        <f t="shared" si="140"/>
        <v>0.47887199999999996</v>
      </c>
      <c r="S469" s="5">
        <v>5.82</v>
      </c>
      <c r="T469" s="5">
        <v>2.02</v>
      </c>
      <c r="U469" s="3">
        <f t="shared" si="141"/>
        <v>20200</v>
      </c>
      <c r="V469" s="8">
        <v>-0.71</v>
      </c>
      <c r="W469" s="8">
        <v>-2.2400000000000002</v>
      </c>
      <c r="X469" s="5">
        <f t="shared" si="142"/>
        <v>1.5300000000000002</v>
      </c>
      <c r="Y469" s="23">
        <f t="shared" si="143"/>
        <v>0.31298823529411757</v>
      </c>
      <c r="Z469" s="23">
        <f t="shared" si="134"/>
        <v>6322.3623529411752</v>
      </c>
      <c r="AA469" s="11">
        <f t="shared" si="135"/>
        <v>4.8259686483134425</v>
      </c>
      <c r="AB469" s="11">
        <f t="shared" si="136"/>
        <v>97484.566695931542</v>
      </c>
    </row>
    <row r="470" spans="1:28" ht="17.25" customHeight="1" x14ac:dyDescent="0.2">
      <c r="A470" t="s">
        <v>9</v>
      </c>
      <c r="B470" s="20">
        <v>666</v>
      </c>
      <c r="C470" s="20">
        <v>123</v>
      </c>
      <c r="D470" s="20">
        <v>22</v>
      </c>
      <c r="E470" t="s">
        <v>77</v>
      </c>
      <c r="F470" s="26">
        <v>45161</v>
      </c>
      <c r="G470" t="s">
        <v>76</v>
      </c>
      <c r="H470" s="5">
        <v>19.07</v>
      </c>
      <c r="I470" s="5">
        <v>40.83</v>
      </c>
      <c r="J470" s="5">
        <v>37.61</v>
      </c>
      <c r="K470" s="5">
        <v>5.03</v>
      </c>
      <c r="L470" s="5">
        <v>0.09</v>
      </c>
      <c r="M470" s="3">
        <f t="shared" si="133"/>
        <v>90</v>
      </c>
      <c r="N470" s="5">
        <v>4.21</v>
      </c>
      <c r="O470" s="23">
        <f t="shared" si="137"/>
        <v>4.2100000000000002E-3</v>
      </c>
      <c r="P470" s="23">
        <f t="shared" si="138"/>
        <v>7.578E-2</v>
      </c>
      <c r="Q470" s="7">
        <f t="shared" si="139"/>
        <v>7.5779999999999996E-5</v>
      </c>
      <c r="R470" s="23">
        <f t="shared" si="140"/>
        <v>0.27280799999999999</v>
      </c>
      <c r="S470" s="5">
        <v>4.78</v>
      </c>
      <c r="T470" s="5">
        <v>1.58</v>
      </c>
      <c r="U470" s="3">
        <f t="shared" si="141"/>
        <v>15800</v>
      </c>
      <c r="V470" s="8">
        <v>-0.34</v>
      </c>
      <c r="W470" s="8">
        <v>-2.31</v>
      </c>
      <c r="X470" s="5">
        <f t="shared" si="142"/>
        <v>1.97</v>
      </c>
      <c r="Y470" s="23">
        <f t="shared" si="143"/>
        <v>0.13848121827411167</v>
      </c>
      <c r="Z470" s="23">
        <f t="shared" si="134"/>
        <v>2188.0032487309645</v>
      </c>
      <c r="AA470" s="11">
        <f t="shared" si="135"/>
        <v>2.1352432532906582</v>
      </c>
      <c r="AB470" s="11">
        <f t="shared" si="136"/>
        <v>33736.843401992403</v>
      </c>
    </row>
    <row r="471" spans="1:28" ht="17.25" customHeight="1" x14ac:dyDescent="0.2">
      <c r="A471" t="s">
        <v>10</v>
      </c>
      <c r="B471" s="20">
        <v>1212</v>
      </c>
      <c r="C471" s="20">
        <v>3</v>
      </c>
      <c r="D471" s="20">
        <v>29</v>
      </c>
      <c r="E471" t="s">
        <v>77</v>
      </c>
      <c r="F471" s="26">
        <v>45161</v>
      </c>
      <c r="G471" t="s">
        <v>76</v>
      </c>
      <c r="H471" s="5">
        <v>17.14</v>
      </c>
      <c r="I471" s="5">
        <v>42.02</v>
      </c>
      <c r="J471" s="5">
        <v>39.74</v>
      </c>
      <c r="K471" s="5">
        <v>5.87</v>
      </c>
      <c r="L471" s="5">
        <v>0.06</v>
      </c>
      <c r="M471" s="3">
        <f t="shared" si="133"/>
        <v>60</v>
      </c>
      <c r="N471" s="5">
        <v>3.29</v>
      </c>
      <c r="O471" s="23">
        <f t="shared" si="137"/>
        <v>3.29E-3</v>
      </c>
      <c r="P471" s="23">
        <f t="shared" si="138"/>
        <v>5.9220000000000002E-2</v>
      </c>
      <c r="Q471" s="7">
        <f t="shared" si="139"/>
        <v>5.9219999999999999E-5</v>
      </c>
      <c r="R471" s="23">
        <f t="shared" si="140"/>
        <v>0.21319199999999999</v>
      </c>
      <c r="S471" s="5">
        <v>8.68</v>
      </c>
      <c r="T471" s="5">
        <v>2.3199999999999998</v>
      </c>
      <c r="U471" s="3">
        <f t="shared" si="141"/>
        <v>23200</v>
      </c>
      <c r="V471" s="8">
        <v>-0.43</v>
      </c>
      <c r="W471" s="8">
        <v>-1.62</v>
      </c>
      <c r="X471" s="5">
        <f t="shared" si="142"/>
        <v>1.1900000000000002</v>
      </c>
      <c r="Y471" s="23">
        <f t="shared" si="143"/>
        <v>0.17915294117647057</v>
      </c>
      <c r="Z471" s="23">
        <f t="shared" si="134"/>
        <v>4156.3482352941173</v>
      </c>
      <c r="AA471" s="11">
        <f t="shared" si="135"/>
        <v>2.7623609448397657</v>
      </c>
      <c r="AB471" s="11">
        <f t="shared" si="136"/>
        <v>64086.773920282561</v>
      </c>
    </row>
    <row r="472" spans="1:28" ht="17.25" customHeight="1" x14ac:dyDescent="0.2">
      <c r="A472" t="s">
        <v>10</v>
      </c>
      <c r="B472" s="20">
        <v>1212</v>
      </c>
      <c r="C472" s="20">
        <v>3</v>
      </c>
      <c r="D472" s="20">
        <v>30</v>
      </c>
      <c r="E472" t="s">
        <v>77</v>
      </c>
      <c r="F472" s="26">
        <v>45161</v>
      </c>
      <c r="G472" t="s">
        <v>76</v>
      </c>
      <c r="H472" s="5">
        <v>18.8</v>
      </c>
      <c r="I472" s="5">
        <v>40.25</v>
      </c>
      <c r="J472" s="5">
        <v>36.82</v>
      </c>
      <c r="K472" s="5">
        <v>4.8099999999999996</v>
      </c>
      <c r="L472" s="5">
        <v>0.09</v>
      </c>
      <c r="M472" s="3">
        <f t="shared" si="133"/>
        <v>90</v>
      </c>
      <c r="N472" s="5">
        <v>4.1900000000000004</v>
      </c>
      <c r="O472" s="23">
        <f t="shared" si="137"/>
        <v>4.1900000000000001E-3</v>
      </c>
      <c r="P472" s="23">
        <f t="shared" si="138"/>
        <v>7.5420000000000001E-2</v>
      </c>
      <c r="Q472" s="7">
        <f t="shared" si="139"/>
        <v>7.5420000000000006E-5</v>
      </c>
      <c r="R472" s="23">
        <f t="shared" si="140"/>
        <v>0.27151200000000003</v>
      </c>
      <c r="S472" s="5">
        <v>7</v>
      </c>
      <c r="T472" s="5">
        <v>2.4300000000000002</v>
      </c>
      <c r="U472" s="3">
        <f t="shared" si="141"/>
        <v>24300</v>
      </c>
      <c r="V472" s="8">
        <v>-0.44</v>
      </c>
      <c r="W472" s="8">
        <v>-1.83</v>
      </c>
      <c r="X472" s="5">
        <f t="shared" si="142"/>
        <v>1.3900000000000001</v>
      </c>
      <c r="Y472" s="23">
        <f t="shared" si="143"/>
        <v>0.19533237410071944</v>
      </c>
      <c r="Z472" s="23">
        <f t="shared" si="134"/>
        <v>4746.5766906474819</v>
      </c>
      <c r="AA472" s="11">
        <f t="shared" si="135"/>
        <v>3.0118317786765125</v>
      </c>
      <c r="AB472" s="11">
        <f t="shared" si="136"/>
        <v>73187.51222183925</v>
      </c>
    </row>
    <row r="473" spans="1:28" ht="17.25" customHeight="1" x14ac:dyDescent="0.2">
      <c r="A473" t="s">
        <v>10</v>
      </c>
      <c r="B473" s="20">
        <v>1212</v>
      </c>
      <c r="C473" s="20">
        <v>3</v>
      </c>
      <c r="D473" s="20">
        <v>31</v>
      </c>
      <c r="E473" t="s">
        <v>77</v>
      </c>
      <c r="F473" s="26">
        <v>45162</v>
      </c>
      <c r="G473" t="s">
        <v>76</v>
      </c>
      <c r="H473" s="5">
        <v>19.41</v>
      </c>
      <c r="I473" s="5">
        <v>42.86</v>
      </c>
      <c r="J473" s="5">
        <v>39.01</v>
      </c>
      <c r="K473" s="5">
        <v>5.34</v>
      </c>
      <c r="L473" s="5">
        <v>0.11</v>
      </c>
      <c r="M473" s="3">
        <f t="shared" si="133"/>
        <v>110</v>
      </c>
      <c r="N473" s="5">
        <v>5.54</v>
      </c>
      <c r="O473" s="23">
        <f t="shared" si="137"/>
        <v>5.5399999999999998E-3</v>
      </c>
      <c r="P473" s="23">
        <f t="shared" si="138"/>
        <v>9.9720000000000003E-2</v>
      </c>
      <c r="Q473" s="7">
        <f t="shared" si="139"/>
        <v>9.9720000000000001E-5</v>
      </c>
      <c r="R473" s="23">
        <f t="shared" si="140"/>
        <v>0.35899199999999998</v>
      </c>
      <c r="S473" s="5">
        <v>6.14</v>
      </c>
      <c r="T473" s="5">
        <v>1.8</v>
      </c>
      <c r="U473" s="3">
        <f t="shared" si="141"/>
        <v>18000</v>
      </c>
      <c r="V473" s="8">
        <v>-0.41</v>
      </c>
      <c r="W473" s="8">
        <v>-1.81</v>
      </c>
      <c r="X473" s="5">
        <f t="shared" si="142"/>
        <v>1.4000000000000001</v>
      </c>
      <c r="Y473" s="23">
        <f t="shared" si="143"/>
        <v>0.25642285714285712</v>
      </c>
      <c r="Z473" s="23">
        <f t="shared" si="134"/>
        <v>4615.6114285714284</v>
      </c>
      <c r="AA473" s="11">
        <f t="shared" si="135"/>
        <v>3.9537865316870695</v>
      </c>
      <c r="AB473" s="11">
        <f t="shared" si="136"/>
        <v>71168.157570367257</v>
      </c>
    </row>
    <row r="474" spans="1:28" ht="17.25" customHeight="1" x14ac:dyDescent="0.2">
      <c r="A474" t="s">
        <v>10</v>
      </c>
      <c r="B474" s="20">
        <v>1212</v>
      </c>
      <c r="C474" s="20">
        <v>4</v>
      </c>
      <c r="D474" s="20">
        <v>32</v>
      </c>
      <c r="E474" t="s">
        <v>77</v>
      </c>
      <c r="F474" s="26">
        <v>45161</v>
      </c>
      <c r="G474" t="s">
        <v>76</v>
      </c>
      <c r="H474" s="5">
        <v>16.97</v>
      </c>
      <c r="I474" s="5">
        <v>41.99</v>
      </c>
      <c r="J474" s="5">
        <v>39.75</v>
      </c>
      <c r="K474" s="5">
        <v>5.9</v>
      </c>
      <c r="L474" s="5">
        <v>0.05</v>
      </c>
      <c r="M474" s="3">
        <f t="shared" si="133"/>
        <v>50</v>
      </c>
      <c r="N474" s="5">
        <v>2.5</v>
      </c>
      <c r="O474" s="23">
        <f t="shared" si="137"/>
        <v>2.5000000000000001E-3</v>
      </c>
      <c r="P474" s="23">
        <f t="shared" si="138"/>
        <v>4.4999999999999998E-2</v>
      </c>
      <c r="Q474" s="7">
        <f t="shared" si="139"/>
        <v>4.4999999999999996E-5</v>
      </c>
      <c r="R474" s="23">
        <f t="shared" si="140"/>
        <v>0.16199999999999998</v>
      </c>
      <c r="S474" s="5">
        <v>6.68</v>
      </c>
      <c r="T474" s="5">
        <v>1.44</v>
      </c>
      <c r="U474" s="3">
        <f t="shared" si="141"/>
        <v>14400</v>
      </c>
      <c r="V474" s="8">
        <v>-0.36</v>
      </c>
      <c r="W474" s="8">
        <v>-1.68</v>
      </c>
      <c r="X474" s="5">
        <f t="shared" si="142"/>
        <v>1.3199999999999998</v>
      </c>
      <c r="Y474" s="23">
        <f t="shared" si="143"/>
        <v>0.12272727272727273</v>
      </c>
      <c r="Z474" s="23">
        <f t="shared" si="134"/>
        <v>1767.2727272727273</v>
      </c>
      <c r="AA474" s="11">
        <f t="shared" si="135"/>
        <v>1.8923330134701815</v>
      </c>
      <c r="AB474" s="11">
        <f t="shared" si="136"/>
        <v>27249.595393970612</v>
      </c>
    </row>
    <row r="475" spans="1:28" ht="17.25" customHeight="1" x14ac:dyDescent="0.2">
      <c r="A475" t="s">
        <v>10</v>
      </c>
      <c r="B475" s="20">
        <v>1212</v>
      </c>
      <c r="C475" s="20">
        <v>4</v>
      </c>
      <c r="D475" s="20">
        <v>33</v>
      </c>
      <c r="E475" t="s">
        <v>77</v>
      </c>
      <c r="F475" s="26">
        <v>45162</v>
      </c>
      <c r="G475" t="s">
        <v>76</v>
      </c>
      <c r="H475" s="5">
        <v>20.65</v>
      </c>
      <c r="I475" s="5">
        <v>42.61</v>
      </c>
      <c r="J475" s="5">
        <v>38.07</v>
      </c>
      <c r="K475" s="5">
        <v>4.91</v>
      </c>
      <c r="L475" s="5">
        <v>0.12</v>
      </c>
      <c r="M475" s="3">
        <f t="shared" si="133"/>
        <v>120</v>
      </c>
      <c r="N475" s="5">
        <v>5.49</v>
      </c>
      <c r="O475" s="23">
        <f t="shared" si="137"/>
        <v>5.4900000000000001E-3</v>
      </c>
      <c r="P475" s="23">
        <f t="shared" si="138"/>
        <v>9.8820000000000005E-2</v>
      </c>
      <c r="Q475" s="7">
        <f t="shared" si="139"/>
        <v>9.8820000000000006E-5</v>
      </c>
      <c r="R475" s="23">
        <f t="shared" si="140"/>
        <v>0.35575200000000001</v>
      </c>
      <c r="S475" s="5">
        <v>14.08</v>
      </c>
      <c r="T475" s="5">
        <v>4.13</v>
      </c>
      <c r="U475" s="3">
        <f t="shared" si="141"/>
        <v>41300</v>
      </c>
      <c r="V475" s="8">
        <v>-0.51</v>
      </c>
      <c r="W475" s="8">
        <v>-1.92</v>
      </c>
      <c r="X475" s="5">
        <f t="shared" si="142"/>
        <v>1.41</v>
      </c>
      <c r="Y475" s="23">
        <f t="shared" si="143"/>
        <v>0.25230638297872343</v>
      </c>
      <c r="Z475" s="23">
        <f t="shared" si="134"/>
        <v>10420.253617021277</v>
      </c>
      <c r="AA475" s="11">
        <f t="shared" si="135"/>
        <v>3.8903145764583584</v>
      </c>
      <c r="AB475" s="11">
        <f t="shared" si="136"/>
        <v>160669.99200773021</v>
      </c>
    </row>
    <row r="476" spans="1:28" ht="17.25" customHeight="1" x14ac:dyDescent="0.2">
      <c r="A476" t="s">
        <v>10</v>
      </c>
      <c r="B476" s="20">
        <v>1212</v>
      </c>
      <c r="C476" s="20">
        <v>4</v>
      </c>
      <c r="D476" s="20">
        <v>34</v>
      </c>
      <c r="E476" t="s">
        <v>77</v>
      </c>
      <c r="F476" s="26">
        <v>45161</v>
      </c>
      <c r="G476" t="s">
        <v>76</v>
      </c>
      <c r="H476" s="5">
        <v>18.920000000000002</v>
      </c>
      <c r="I476" s="5">
        <v>40.4</v>
      </c>
      <c r="J476" s="5">
        <v>36.19</v>
      </c>
      <c r="K476" s="5">
        <v>4.58</v>
      </c>
      <c r="L476" s="5">
        <v>0.12</v>
      </c>
      <c r="M476" s="3">
        <f t="shared" si="133"/>
        <v>120</v>
      </c>
      <c r="N476" s="5">
        <v>5.27</v>
      </c>
      <c r="O476" s="23">
        <f t="shared" si="137"/>
        <v>5.2699999999999995E-3</v>
      </c>
      <c r="P476" s="23">
        <f t="shared" si="138"/>
        <v>9.4859999999999986E-2</v>
      </c>
      <c r="Q476" s="7">
        <f t="shared" si="139"/>
        <v>9.4859999999999983E-5</v>
      </c>
      <c r="R476" s="23">
        <f t="shared" si="140"/>
        <v>0.34149599999999991</v>
      </c>
      <c r="S476" s="5">
        <v>4.71</v>
      </c>
      <c r="T476" s="5">
        <v>1.38</v>
      </c>
      <c r="U476" s="5">
        <f t="shared" si="141"/>
        <v>13799.999999999998</v>
      </c>
      <c r="V476" s="8">
        <v>-0.55000000000000004</v>
      </c>
      <c r="W476" s="27">
        <v>-2</v>
      </c>
      <c r="X476" s="5">
        <f t="shared" si="142"/>
        <v>1.45</v>
      </c>
      <c r="Y476" s="23">
        <f t="shared" si="143"/>
        <v>0.23551448275862064</v>
      </c>
      <c r="Z476" s="23">
        <f t="shared" si="134"/>
        <v>3250.0998620689643</v>
      </c>
      <c r="AA476" s="11">
        <f t="shared" si="135"/>
        <v>3.6314001034217842</v>
      </c>
      <c r="AB476" s="11">
        <f t="shared" si="136"/>
        <v>50113.321427220617</v>
      </c>
    </row>
    <row r="477" spans="1:28" ht="17.25" customHeight="1" x14ac:dyDescent="0.2">
      <c r="A477" t="s">
        <v>10</v>
      </c>
      <c r="B477" s="20">
        <v>1212</v>
      </c>
      <c r="C477" s="20">
        <v>7</v>
      </c>
      <c r="D477" s="20">
        <v>36</v>
      </c>
      <c r="E477" t="s">
        <v>77</v>
      </c>
      <c r="F477" s="26">
        <v>45161</v>
      </c>
      <c r="G477" t="s">
        <v>76</v>
      </c>
      <c r="H477" s="5">
        <v>18.62</v>
      </c>
      <c r="I477" s="5">
        <v>40.07</v>
      </c>
      <c r="J477" s="5">
        <v>36.659999999999997</v>
      </c>
      <c r="K477" s="5">
        <v>4.78</v>
      </c>
      <c r="L477" s="5">
        <v>0.09</v>
      </c>
      <c r="M477" s="3">
        <f t="shared" si="133"/>
        <v>90</v>
      </c>
      <c r="N477" s="5">
        <v>4.26</v>
      </c>
      <c r="O477" s="23">
        <f t="shared" si="137"/>
        <v>4.2599999999999999E-3</v>
      </c>
      <c r="P477" s="23">
        <f t="shared" si="138"/>
        <v>7.6679999999999998E-2</v>
      </c>
      <c r="Q477" s="7">
        <f t="shared" si="139"/>
        <v>7.6680000000000004E-5</v>
      </c>
      <c r="R477" s="23">
        <f t="shared" si="140"/>
        <v>0.27604800000000002</v>
      </c>
      <c r="S477" s="5">
        <v>6.11</v>
      </c>
      <c r="T477" s="5">
        <v>0.97</v>
      </c>
      <c r="U477" s="3">
        <f t="shared" si="141"/>
        <v>9700</v>
      </c>
      <c r="V477" s="8">
        <v>-0.49</v>
      </c>
      <c r="W477" s="8">
        <v>-1.95</v>
      </c>
      <c r="X477" s="5">
        <f t="shared" si="142"/>
        <v>1.46</v>
      </c>
      <c r="Y477" s="23">
        <f t="shared" si="143"/>
        <v>0.18907397260273975</v>
      </c>
      <c r="Z477" s="23">
        <f t="shared" si="134"/>
        <v>1834.0175342465757</v>
      </c>
      <c r="AA477" s="11">
        <f t="shared" si="135"/>
        <v>2.9153334250261715</v>
      </c>
      <c r="AB477" s="11">
        <f t="shared" si="136"/>
        <v>28278.734222753865</v>
      </c>
    </row>
    <row r="478" spans="1:28" ht="17.25" customHeight="1" x14ac:dyDescent="0.2">
      <c r="A478" t="s">
        <v>10</v>
      </c>
      <c r="B478" s="20">
        <v>1212</v>
      </c>
      <c r="C478" s="20">
        <v>7</v>
      </c>
      <c r="D478" s="20">
        <v>37</v>
      </c>
      <c r="E478" t="s">
        <v>77</v>
      </c>
      <c r="F478" s="26">
        <v>45161</v>
      </c>
      <c r="G478" t="s">
        <v>76</v>
      </c>
      <c r="H478" s="5">
        <v>18.84</v>
      </c>
      <c r="I478" s="5">
        <v>40.659999999999997</v>
      </c>
      <c r="J478" s="5">
        <v>36.200000000000003</v>
      </c>
      <c r="K478" s="5">
        <v>4.58</v>
      </c>
      <c r="L478" s="5">
        <v>0.16</v>
      </c>
      <c r="M478" s="3">
        <f t="shared" si="133"/>
        <v>160</v>
      </c>
      <c r="N478" s="5">
        <v>6.52</v>
      </c>
      <c r="O478" s="23">
        <f t="shared" si="137"/>
        <v>6.5199999999999998E-3</v>
      </c>
      <c r="P478" s="23">
        <f t="shared" si="138"/>
        <v>0.11735999999999999</v>
      </c>
      <c r="Q478" s="7">
        <f t="shared" si="139"/>
        <v>1.1735999999999999E-4</v>
      </c>
      <c r="R478" s="23">
        <f t="shared" si="140"/>
        <v>0.42249599999999998</v>
      </c>
      <c r="S478" s="5">
        <v>3.68</v>
      </c>
      <c r="T478" s="5">
        <v>0.9</v>
      </c>
      <c r="U478" s="3">
        <f t="shared" si="141"/>
        <v>9000</v>
      </c>
      <c r="V478" s="8">
        <v>-0.37</v>
      </c>
      <c r="W478" s="8">
        <v>-2.04</v>
      </c>
      <c r="X478" s="5">
        <f t="shared" si="142"/>
        <v>1.67</v>
      </c>
      <c r="Y478" s="23">
        <f t="shared" si="143"/>
        <v>0.25299161676646709</v>
      </c>
      <c r="Z478" s="23">
        <f t="shared" si="134"/>
        <v>2276.924550898204</v>
      </c>
      <c r="AA478" s="11">
        <f t="shared" si="135"/>
        <v>3.9008802029053342</v>
      </c>
      <c r="AB478" s="11">
        <f t="shared" si="136"/>
        <v>35107.921826148005</v>
      </c>
    </row>
    <row r="479" spans="1:28" ht="17.25" customHeight="1" x14ac:dyDescent="0.2">
      <c r="A479" t="s">
        <v>10</v>
      </c>
      <c r="B479" s="20">
        <v>1212</v>
      </c>
      <c r="C479" s="20">
        <v>7</v>
      </c>
      <c r="D479" s="20">
        <v>83</v>
      </c>
      <c r="E479" t="s">
        <v>77</v>
      </c>
      <c r="F479" s="26">
        <v>45161</v>
      </c>
      <c r="G479" t="s">
        <v>76</v>
      </c>
      <c r="H479" s="5">
        <v>18.670000000000002</v>
      </c>
      <c r="I479" s="5">
        <v>41.67</v>
      </c>
      <c r="J479" s="5">
        <v>38.590000000000003</v>
      </c>
      <c r="K479" s="5">
        <v>5.34</v>
      </c>
      <c r="L479" s="5">
        <v>0.14000000000000001</v>
      </c>
      <c r="M479" s="3">
        <f t="shared" si="133"/>
        <v>140</v>
      </c>
      <c r="N479" s="5">
        <v>6.95</v>
      </c>
      <c r="O479" s="23">
        <f t="shared" si="137"/>
        <v>6.9500000000000004E-3</v>
      </c>
      <c r="P479" s="23">
        <f t="shared" si="138"/>
        <v>0.12510000000000002</v>
      </c>
      <c r="Q479" s="7">
        <f t="shared" si="139"/>
        <v>1.2510000000000001E-4</v>
      </c>
      <c r="R479" s="23">
        <f t="shared" si="140"/>
        <v>0.45036000000000004</v>
      </c>
      <c r="S479" s="5">
        <v>7.91</v>
      </c>
      <c r="T479" s="5">
        <v>2.14</v>
      </c>
      <c r="U479" s="3">
        <f t="shared" si="141"/>
        <v>21400</v>
      </c>
      <c r="V479" s="8">
        <v>-0.37</v>
      </c>
      <c r="W479" s="8">
        <v>-1.77</v>
      </c>
      <c r="X479" s="5">
        <f t="shared" si="142"/>
        <v>1.4</v>
      </c>
      <c r="Y479" s="23">
        <f t="shared" si="143"/>
        <v>0.32168571428571435</v>
      </c>
      <c r="Z479" s="23">
        <f t="shared" si="134"/>
        <v>6884.0742857142868</v>
      </c>
      <c r="AA479" s="11">
        <f t="shared" si="135"/>
        <v>4.9600751615929859</v>
      </c>
      <c r="AB479" s="11">
        <f t="shared" si="136"/>
        <v>106145.6084580899</v>
      </c>
    </row>
    <row r="480" spans="1:28" ht="17.25" customHeight="1" x14ac:dyDescent="0.2">
      <c r="A480" t="s">
        <v>10</v>
      </c>
      <c r="B480" s="20">
        <v>1212</v>
      </c>
      <c r="C480" s="20">
        <v>8</v>
      </c>
      <c r="D480" s="20">
        <v>38</v>
      </c>
      <c r="E480" t="s">
        <v>77</v>
      </c>
      <c r="F480" s="26">
        <v>45161</v>
      </c>
      <c r="G480" t="s">
        <v>76</v>
      </c>
      <c r="H480" s="5">
        <v>18.13</v>
      </c>
      <c r="I480" s="5">
        <v>40.92</v>
      </c>
      <c r="J480" s="5">
        <v>37.75</v>
      </c>
      <c r="K480" s="5">
        <v>5.13</v>
      </c>
      <c r="L480" s="5">
        <v>0.11</v>
      </c>
      <c r="M480" s="3">
        <f t="shared" si="133"/>
        <v>110</v>
      </c>
      <c r="N480" s="5">
        <v>5.05</v>
      </c>
      <c r="O480" s="23">
        <f t="shared" si="137"/>
        <v>5.0499999999999998E-3</v>
      </c>
      <c r="P480" s="23">
        <f t="shared" si="138"/>
        <v>9.0899999999999995E-2</v>
      </c>
      <c r="Q480" s="7">
        <f t="shared" si="139"/>
        <v>9.09E-5</v>
      </c>
      <c r="R480" s="23">
        <f t="shared" si="140"/>
        <v>0.32723999999999998</v>
      </c>
      <c r="S480" s="5">
        <v>13.38</v>
      </c>
      <c r="T480" s="5">
        <v>3.28</v>
      </c>
      <c r="U480" s="3">
        <f t="shared" si="141"/>
        <v>32800</v>
      </c>
      <c r="V480" s="8">
        <v>-0.31</v>
      </c>
      <c r="W480" s="8">
        <v>-1.83</v>
      </c>
      <c r="X480" s="5">
        <f t="shared" si="142"/>
        <v>1.52</v>
      </c>
      <c r="Y480" s="23">
        <f t="shared" si="143"/>
        <v>0.2152894736842105</v>
      </c>
      <c r="Z480" s="23">
        <f t="shared" si="134"/>
        <v>7061.4947368421044</v>
      </c>
      <c r="AA480" s="11">
        <f t="shared" si="135"/>
        <v>3.3195504915242706</v>
      </c>
      <c r="AB480" s="11">
        <f t="shared" si="136"/>
        <v>108881.25612199608</v>
      </c>
    </row>
    <row r="481" spans="1:28" ht="17.25" customHeight="1" x14ac:dyDescent="0.2">
      <c r="A481" t="s">
        <v>10</v>
      </c>
      <c r="B481" s="20">
        <v>1212</v>
      </c>
      <c r="C481" s="20">
        <v>8</v>
      </c>
      <c r="D481" s="20">
        <v>39</v>
      </c>
      <c r="E481" t="s">
        <v>77</v>
      </c>
      <c r="F481" s="26">
        <v>45162</v>
      </c>
      <c r="G481" t="s">
        <v>76</v>
      </c>
      <c r="H481" s="5">
        <v>22.12</v>
      </c>
      <c r="I481" s="5">
        <v>41.41</v>
      </c>
      <c r="J481" s="5">
        <v>38.53</v>
      </c>
      <c r="K481" s="5">
        <v>5.0599999999999996</v>
      </c>
      <c r="L481" s="5">
        <v>0.13</v>
      </c>
      <c r="M481" s="3">
        <f t="shared" si="133"/>
        <v>130</v>
      </c>
      <c r="N481" s="5">
        <v>6.17</v>
      </c>
      <c r="O481" s="23">
        <f t="shared" si="137"/>
        <v>6.1700000000000001E-3</v>
      </c>
      <c r="P481" s="23">
        <f t="shared" si="138"/>
        <v>0.11106000000000001</v>
      </c>
      <c r="Q481" s="7">
        <f t="shared" si="139"/>
        <v>1.1106000000000001E-4</v>
      </c>
      <c r="R481" s="23">
        <f t="shared" si="140"/>
        <v>0.39981600000000006</v>
      </c>
      <c r="S481" s="5">
        <v>3.71</v>
      </c>
      <c r="T481" s="5">
        <v>1.36</v>
      </c>
      <c r="U481" s="5">
        <f t="shared" si="141"/>
        <v>13600.000000000002</v>
      </c>
      <c r="V481" s="8">
        <v>-0.31</v>
      </c>
      <c r="W481" s="8">
        <v>-1.65</v>
      </c>
      <c r="X481" s="5">
        <f t="shared" si="142"/>
        <v>1.3399999999999999</v>
      </c>
      <c r="Y481" s="23">
        <f t="shared" si="143"/>
        <v>0.2983701492537314</v>
      </c>
      <c r="Z481" s="23">
        <f t="shared" si="134"/>
        <v>4057.8340298507474</v>
      </c>
      <c r="AA481" s="11">
        <f t="shared" si="135"/>
        <v>4.6005722372855367</v>
      </c>
      <c r="AB481" s="11">
        <f t="shared" si="136"/>
        <v>62567.782427083308</v>
      </c>
    </row>
    <row r="482" spans="1:28" ht="17.25" customHeight="1" x14ac:dyDescent="0.2">
      <c r="A482" t="s">
        <v>10</v>
      </c>
      <c r="B482" s="20">
        <v>1212</v>
      </c>
      <c r="C482" s="20">
        <v>8</v>
      </c>
      <c r="D482" s="20">
        <v>40</v>
      </c>
      <c r="E482" t="s">
        <v>77</v>
      </c>
      <c r="F482" s="26">
        <v>45162</v>
      </c>
      <c r="G482" t="s">
        <v>76</v>
      </c>
      <c r="H482" s="5">
        <v>20.34</v>
      </c>
      <c r="I482" s="5">
        <v>42.85</v>
      </c>
      <c r="J482" s="5">
        <v>40.22</v>
      </c>
      <c r="K482" s="5">
        <v>5.72</v>
      </c>
      <c r="L482" s="5">
        <v>7.0000000000000007E-2</v>
      </c>
      <c r="M482" s="3">
        <f t="shared" si="133"/>
        <v>70</v>
      </c>
      <c r="N482" s="5">
        <v>3.93</v>
      </c>
      <c r="O482" s="23">
        <f t="shared" si="137"/>
        <v>3.9300000000000003E-3</v>
      </c>
      <c r="P482" s="23">
        <f t="shared" si="138"/>
        <v>7.0740000000000011E-2</v>
      </c>
      <c r="Q482" s="7">
        <f t="shared" si="139"/>
        <v>7.0740000000000017E-5</v>
      </c>
      <c r="R482" s="23">
        <f t="shared" si="140"/>
        <v>0.25466400000000006</v>
      </c>
      <c r="S482" s="5">
        <v>4.62</v>
      </c>
      <c r="T482" s="5">
        <v>1.66</v>
      </c>
      <c r="U482" s="3">
        <f t="shared" si="141"/>
        <v>16600</v>
      </c>
      <c r="V482" s="8">
        <v>-0.33</v>
      </c>
      <c r="W482" s="8">
        <v>-1.88</v>
      </c>
      <c r="X482" s="5">
        <f t="shared" si="142"/>
        <v>1.5499999999999998</v>
      </c>
      <c r="Y482" s="23">
        <f t="shared" si="143"/>
        <v>0.16429935483870972</v>
      </c>
      <c r="Z482" s="23">
        <f t="shared" si="134"/>
        <v>2727.3692903225815</v>
      </c>
      <c r="AA482" s="11">
        <f t="shared" si="135"/>
        <v>2.5333333524330106</v>
      </c>
      <c r="AB482" s="11">
        <f t="shared" si="136"/>
        <v>42053.333650387976</v>
      </c>
    </row>
    <row r="483" spans="1:28" ht="17.25" customHeight="1" x14ac:dyDescent="0.2">
      <c r="A483" t="s">
        <v>10</v>
      </c>
      <c r="B483" s="20">
        <v>1212</v>
      </c>
      <c r="C483" s="20">
        <v>10</v>
      </c>
      <c r="D483" s="20">
        <v>21</v>
      </c>
      <c r="E483" t="s">
        <v>77</v>
      </c>
      <c r="F483" s="26">
        <v>45161</v>
      </c>
      <c r="G483" t="s">
        <v>76</v>
      </c>
      <c r="H483" s="5">
        <v>19.329999999999998</v>
      </c>
      <c r="I483" s="5">
        <v>40.75</v>
      </c>
      <c r="J483" s="5">
        <v>36.11</v>
      </c>
      <c r="K483" s="5">
        <v>4.5</v>
      </c>
      <c r="L483" s="5">
        <v>0.15</v>
      </c>
      <c r="M483" s="3">
        <f t="shared" si="133"/>
        <v>150</v>
      </c>
      <c r="N483" s="5">
        <v>6.31</v>
      </c>
      <c r="O483" s="23">
        <f t="shared" si="137"/>
        <v>6.3099999999999996E-3</v>
      </c>
      <c r="P483" s="23">
        <f t="shared" si="138"/>
        <v>0.11357999999999999</v>
      </c>
      <c r="Q483" s="7">
        <f t="shared" si="139"/>
        <v>1.1357999999999998E-4</v>
      </c>
      <c r="R483" s="23">
        <f t="shared" si="140"/>
        <v>0.40888799999999992</v>
      </c>
      <c r="S483" s="5">
        <v>4.78</v>
      </c>
      <c r="T483" s="5">
        <v>1.38</v>
      </c>
      <c r="U483" s="5">
        <f t="shared" si="141"/>
        <v>13799.999999999998</v>
      </c>
      <c r="V483" s="8">
        <v>-0.34</v>
      </c>
      <c r="W483" s="8">
        <v>-2.2599999999999998</v>
      </c>
      <c r="X483" s="5">
        <f t="shared" si="142"/>
        <v>1.9199999999999997</v>
      </c>
      <c r="Y483" s="23">
        <f t="shared" si="143"/>
        <v>0.2129625</v>
      </c>
      <c r="Z483" s="23">
        <f t="shared" si="134"/>
        <v>2938.8824999999997</v>
      </c>
      <c r="AA483" s="11">
        <f t="shared" si="135"/>
        <v>3.2836708616241324</v>
      </c>
      <c r="AB483" s="11">
        <f t="shared" si="136"/>
        <v>45314.657890413022</v>
      </c>
    </row>
    <row r="484" spans="1:28" ht="17.25" customHeight="1" x14ac:dyDescent="0.2">
      <c r="A484" t="s">
        <v>10</v>
      </c>
      <c r="B484" s="20">
        <v>1212</v>
      </c>
      <c r="C484" s="20">
        <v>10</v>
      </c>
      <c r="D484" s="20">
        <v>41</v>
      </c>
      <c r="E484" t="s">
        <v>77</v>
      </c>
      <c r="F484" s="26">
        <v>45162</v>
      </c>
      <c r="G484" t="s">
        <v>76</v>
      </c>
      <c r="H484" s="5">
        <v>20.41</v>
      </c>
      <c r="I484" s="5">
        <v>42.3</v>
      </c>
      <c r="J484" s="5">
        <v>37.090000000000003</v>
      </c>
      <c r="K484" s="5">
        <v>4.6100000000000003</v>
      </c>
      <c r="L484" s="5">
        <v>0.12</v>
      </c>
      <c r="M484" s="3">
        <f t="shared" si="133"/>
        <v>120</v>
      </c>
      <c r="N484" s="5">
        <v>4.99</v>
      </c>
      <c r="O484" s="23">
        <f t="shared" si="137"/>
        <v>4.9900000000000005E-3</v>
      </c>
      <c r="P484" s="23">
        <f t="shared" si="138"/>
        <v>8.9820000000000011E-2</v>
      </c>
      <c r="Q484" s="7">
        <f t="shared" si="139"/>
        <v>8.9820000000000018E-5</v>
      </c>
      <c r="R484" s="23">
        <f t="shared" si="140"/>
        <v>0.32335200000000008</v>
      </c>
      <c r="S484" s="5">
        <v>15.53</v>
      </c>
      <c r="T484" s="5">
        <v>3.35</v>
      </c>
      <c r="U484" s="3">
        <f t="shared" si="141"/>
        <v>33500</v>
      </c>
      <c r="V484" s="8">
        <v>-0.28999999999999998</v>
      </c>
      <c r="W484" s="8">
        <v>-1.95</v>
      </c>
      <c r="X484" s="5">
        <f t="shared" si="142"/>
        <v>1.66</v>
      </c>
      <c r="Y484" s="23">
        <f t="shared" si="143"/>
        <v>0.19479036144578318</v>
      </c>
      <c r="Z484" s="23">
        <f t="shared" si="134"/>
        <v>6525.4771084337362</v>
      </c>
      <c r="AA484" s="11">
        <f t="shared" si="135"/>
        <v>3.0034744802711795</v>
      </c>
      <c r="AB484" s="11">
        <f t="shared" si="136"/>
        <v>100616.39508908452</v>
      </c>
    </row>
    <row r="485" spans="1:28" ht="17.25" customHeight="1" x14ac:dyDescent="0.2">
      <c r="A485" t="s">
        <v>10</v>
      </c>
      <c r="B485" s="20">
        <v>1212</v>
      </c>
      <c r="C485" s="20">
        <v>10</v>
      </c>
      <c r="D485" s="20">
        <v>42</v>
      </c>
      <c r="E485" t="s">
        <v>77</v>
      </c>
      <c r="F485" s="26">
        <v>45162</v>
      </c>
      <c r="G485" t="s">
        <v>76</v>
      </c>
      <c r="H485" s="5">
        <v>20.13</v>
      </c>
      <c r="I485" s="5">
        <v>42.68</v>
      </c>
      <c r="J485" s="5">
        <v>38.07</v>
      </c>
      <c r="K485" s="5">
        <v>4.9400000000000004</v>
      </c>
      <c r="L485" s="5">
        <v>0.16</v>
      </c>
      <c r="M485" s="3">
        <f t="shared" si="133"/>
        <v>160</v>
      </c>
      <c r="N485" s="5">
        <v>7.47</v>
      </c>
      <c r="O485" s="23">
        <f t="shared" si="137"/>
        <v>7.4700000000000001E-3</v>
      </c>
      <c r="P485" s="23">
        <f t="shared" si="138"/>
        <v>0.13446</v>
      </c>
      <c r="Q485" s="7">
        <f t="shared" si="139"/>
        <v>1.3445999999999998E-4</v>
      </c>
      <c r="R485" s="23">
        <f t="shared" si="140"/>
        <v>0.48405599999999993</v>
      </c>
      <c r="S485" s="5">
        <v>14.52</v>
      </c>
      <c r="T485" s="5">
        <v>3.06</v>
      </c>
      <c r="U485" s="3">
        <f t="shared" si="141"/>
        <v>30600</v>
      </c>
      <c r="V485" s="8">
        <v>-0.42</v>
      </c>
      <c r="W485" s="8">
        <v>-1.72</v>
      </c>
      <c r="X485" s="5">
        <f t="shared" si="142"/>
        <v>1.3</v>
      </c>
      <c r="Y485" s="23">
        <f t="shared" si="143"/>
        <v>0.37235076923076915</v>
      </c>
      <c r="Z485" s="23">
        <f t="shared" si="134"/>
        <v>11393.933538461537</v>
      </c>
      <c r="AA485" s="11">
        <f t="shared" si="135"/>
        <v>5.7412801372373465</v>
      </c>
      <c r="AB485" s="11">
        <f t="shared" si="136"/>
        <v>175683.1721994628</v>
      </c>
    </row>
    <row r="486" spans="1:28" ht="17.25" customHeight="1" x14ac:dyDescent="0.2">
      <c r="F486" s="26"/>
      <c r="M486" s="3">
        <f t="shared" si="133"/>
        <v>0</v>
      </c>
      <c r="O486" s="23"/>
      <c r="P486" s="23"/>
      <c r="Q486" s="7"/>
      <c r="R486" s="23"/>
      <c r="W486" s="8"/>
      <c r="Y486" s="23"/>
      <c r="Z486" s="23">
        <f t="shared" si="134"/>
        <v>0</v>
      </c>
      <c r="AA486" s="20">
        <f t="shared" si="135"/>
        <v>0</v>
      </c>
      <c r="AB486" s="20">
        <f t="shared" si="136"/>
        <v>0</v>
      </c>
    </row>
    <row r="487" spans="1:28" ht="17.25" customHeight="1" x14ac:dyDescent="0.2">
      <c r="A487" t="s">
        <v>7</v>
      </c>
      <c r="B487" s="20">
        <v>72</v>
      </c>
      <c r="C487" s="20">
        <v>156</v>
      </c>
      <c r="D487" s="20">
        <v>43</v>
      </c>
      <c r="E487" t="s">
        <v>77</v>
      </c>
      <c r="F487" s="26">
        <v>45166</v>
      </c>
      <c r="G487" t="s">
        <v>78</v>
      </c>
      <c r="H487" s="5">
        <v>12.35</v>
      </c>
      <c r="I487" s="5">
        <v>49.19</v>
      </c>
      <c r="J487" s="5">
        <v>47.69</v>
      </c>
      <c r="K487" s="5">
        <v>9.5299999999999994</v>
      </c>
      <c r="L487" s="5">
        <v>0.01</v>
      </c>
      <c r="M487" s="3">
        <f t="shared" si="133"/>
        <v>10</v>
      </c>
      <c r="N487" s="5">
        <v>1.27</v>
      </c>
      <c r="O487" s="23">
        <f t="shared" ref="O487:O518" si="144">N487/1000</f>
        <v>1.2700000000000001E-3</v>
      </c>
      <c r="P487" s="23">
        <f t="shared" ref="P487:P518" si="145">O487*18</f>
        <v>2.2860000000000002E-2</v>
      </c>
      <c r="Q487" s="7">
        <f t="shared" ref="Q487:Q518" si="146">P487/1000</f>
        <v>2.2860000000000001E-5</v>
      </c>
      <c r="R487" s="23">
        <f t="shared" ref="R487:R518" si="147">Q487*3600</f>
        <v>8.2296000000000008E-2</v>
      </c>
      <c r="S487" s="5">
        <v>18.53</v>
      </c>
      <c r="T487" s="5">
        <v>3.87</v>
      </c>
      <c r="U487" s="3">
        <f t="shared" ref="U487:U518" si="148">T487*10000</f>
        <v>38700</v>
      </c>
      <c r="V487" s="8">
        <v>-0.68</v>
      </c>
      <c r="W487" s="8">
        <v>-2.0499999999999998</v>
      </c>
      <c r="X487" s="5">
        <f t="shared" ref="X487:X518" si="149">V487-W487</f>
        <v>1.3699999999999997</v>
      </c>
      <c r="Y487" s="23">
        <f t="shared" ref="Y487:Y518" si="150">R487/X487</f>
        <v>6.007007299270075E-2</v>
      </c>
      <c r="Z487" s="23">
        <f t="shared" si="134"/>
        <v>2324.7118248175188</v>
      </c>
      <c r="AA487" s="11">
        <f t="shared" si="135"/>
        <v>0.92622104052012066</v>
      </c>
      <c r="AB487" s="11">
        <f t="shared" si="136"/>
        <v>35844.754268128672</v>
      </c>
    </row>
    <row r="488" spans="1:28" ht="17.25" customHeight="1" x14ac:dyDescent="0.2">
      <c r="A488" t="s">
        <v>7</v>
      </c>
      <c r="B488" s="20">
        <v>72</v>
      </c>
      <c r="C488" s="20">
        <v>156</v>
      </c>
      <c r="D488" s="20">
        <v>44</v>
      </c>
      <c r="E488" t="s">
        <v>77</v>
      </c>
      <c r="F488" s="26">
        <v>45166</v>
      </c>
      <c r="G488" t="s">
        <v>78</v>
      </c>
      <c r="H488" s="5">
        <v>13.39</v>
      </c>
      <c r="I488" s="5">
        <v>46.52</v>
      </c>
      <c r="J488" s="5">
        <v>45.91</v>
      </c>
      <c r="K488" s="5">
        <v>8.66</v>
      </c>
      <c r="L488" s="3">
        <v>0</v>
      </c>
      <c r="M488" s="3">
        <f t="shared" si="133"/>
        <v>0</v>
      </c>
      <c r="N488" s="5">
        <v>0.4</v>
      </c>
      <c r="O488" s="23">
        <f t="shared" si="144"/>
        <v>4.0000000000000002E-4</v>
      </c>
      <c r="P488" s="23">
        <f t="shared" si="145"/>
        <v>7.2000000000000007E-3</v>
      </c>
      <c r="Q488" s="7">
        <f t="shared" si="146"/>
        <v>7.2000000000000005E-6</v>
      </c>
      <c r="R488" s="23">
        <f t="shared" si="147"/>
        <v>2.5920000000000002E-2</v>
      </c>
      <c r="S488" s="5">
        <v>5.08</v>
      </c>
      <c r="T488" s="5">
        <v>1.59</v>
      </c>
      <c r="U488" s="3">
        <f t="shared" si="148"/>
        <v>15900</v>
      </c>
      <c r="V488" s="8">
        <v>-0.56999999999999995</v>
      </c>
      <c r="W488" s="8">
        <v>-2.46</v>
      </c>
      <c r="X488" s="5">
        <f t="shared" si="149"/>
        <v>1.8900000000000001</v>
      </c>
      <c r="Y488" s="23">
        <f t="shared" si="150"/>
        <v>1.3714285714285715E-2</v>
      </c>
      <c r="Z488" s="23">
        <f t="shared" si="134"/>
        <v>218.05714285714288</v>
      </c>
      <c r="AA488" s="11">
        <f t="shared" si="135"/>
        <v>0.21146070499730282</v>
      </c>
      <c r="AB488" s="11">
        <f t="shared" si="136"/>
        <v>3362.2252094571149</v>
      </c>
    </row>
    <row r="489" spans="1:28" ht="17.25" customHeight="1" x14ac:dyDescent="0.2">
      <c r="A489" t="s">
        <v>7</v>
      </c>
      <c r="B489" s="20">
        <v>72</v>
      </c>
      <c r="C489" s="20">
        <v>156</v>
      </c>
      <c r="D489" s="20">
        <v>45</v>
      </c>
      <c r="E489" t="s">
        <v>77</v>
      </c>
      <c r="F489" s="26">
        <v>45166</v>
      </c>
      <c r="G489" t="s">
        <v>78</v>
      </c>
      <c r="H489" s="5">
        <v>12.8</v>
      </c>
      <c r="I489" s="5">
        <v>48.31</v>
      </c>
      <c r="J489" s="5">
        <v>47.07</v>
      </c>
      <c r="K489" s="5">
        <v>9.23</v>
      </c>
      <c r="L489" s="5">
        <v>0.03</v>
      </c>
      <c r="M489" s="3">
        <f t="shared" si="133"/>
        <v>30</v>
      </c>
      <c r="N489" s="5">
        <v>2.13</v>
      </c>
      <c r="O489" s="23">
        <f t="shared" si="144"/>
        <v>2.1299999999999999E-3</v>
      </c>
      <c r="P489" s="23">
        <f t="shared" si="145"/>
        <v>3.8339999999999999E-2</v>
      </c>
      <c r="Q489" s="7">
        <f t="shared" si="146"/>
        <v>3.8340000000000002E-5</v>
      </c>
      <c r="R489" s="23">
        <f t="shared" si="147"/>
        <v>0.13802400000000001</v>
      </c>
      <c r="S489" s="5">
        <v>13.38</v>
      </c>
      <c r="T489" s="5">
        <v>3.64</v>
      </c>
      <c r="U489" s="3">
        <f t="shared" si="148"/>
        <v>36400</v>
      </c>
      <c r="V489" s="8">
        <v>-0.56999999999999995</v>
      </c>
      <c r="W489" s="8">
        <v>-1.73</v>
      </c>
      <c r="X489" s="5">
        <f t="shared" si="149"/>
        <v>1.1600000000000001</v>
      </c>
      <c r="Y489" s="23">
        <f t="shared" si="150"/>
        <v>0.11898620689655172</v>
      </c>
      <c r="Z489" s="23">
        <f t="shared" si="134"/>
        <v>4331.0979310344828</v>
      </c>
      <c r="AA489" s="11">
        <f t="shared" si="135"/>
        <v>1.8346494829906075</v>
      </c>
      <c r="AB489" s="11">
        <f t="shared" si="136"/>
        <v>66781.241180858109</v>
      </c>
    </row>
    <row r="490" spans="1:28" ht="17.25" customHeight="1" x14ac:dyDescent="0.2">
      <c r="A490" t="s">
        <v>7</v>
      </c>
      <c r="B490" s="20">
        <v>72</v>
      </c>
      <c r="C490" s="20">
        <v>149</v>
      </c>
      <c r="D490" s="20">
        <v>46</v>
      </c>
      <c r="E490" t="s">
        <v>77</v>
      </c>
      <c r="F490" s="26">
        <v>45166</v>
      </c>
      <c r="G490" t="s">
        <v>78</v>
      </c>
      <c r="H490" s="5">
        <v>12.87</v>
      </c>
      <c r="I490" s="5">
        <v>49.12</v>
      </c>
      <c r="J490" s="5">
        <v>48.46</v>
      </c>
      <c r="K490" s="5">
        <v>9.91</v>
      </c>
      <c r="L490" s="5">
        <v>0.02</v>
      </c>
      <c r="M490" s="3">
        <f t="shared" si="133"/>
        <v>20</v>
      </c>
      <c r="N490" s="5">
        <v>1.69</v>
      </c>
      <c r="O490" s="23">
        <f t="shared" si="144"/>
        <v>1.6899999999999999E-3</v>
      </c>
      <c r="P490" s="23">
        <f t="shared" si="145"/>
        <v>3.0419999999999999E-2</v>
      </c>
      <c r="Q490" s="7">
        <f t="shared" si="146"/>
        <v>3.042E-5</v>
      </c>
      <c r="R490" s="23">
        <f t="shared" si="147"/>
        <v>0.109512</v>
      </c>
      <c r="S490" s="5">
        <v>10.99</v>
      </c>
      <c r="T490" s="5">
        <v>2.0499999999999998</v>
      </c>
      <c r="U490" s="3">
        <f t="shared" si="148"/>
        <v>20500</v>
      </c>
      <c r="V490" s="8">
        <v>-0.76</v>
      </c>
      <c r="W490" s="8">
        <v>-2.12</v>
      </c>
      <c r="X490" s="5">
        <f t="shared" si="149"/>
        <v>1.36</v>
      </c>
      <c r="Y490" s="23">
        <f t="shared" si="150"/>
        <v>8.0523529411764702E-2</v>
      </c>
      <c r="Z490" s="23">
        <f t="shared" si="134"/>
        <v>1650.7323529411765</v>
      </c>
      <c r="AA490" s="11">
        <f t="shared" si="135"/>
        <v>1.2415930842497884</v>
      </c>
      <c r="AB490" s="11">
        <f t="shared" si="136"/>
        <v>25452.658227120664</v>
      </c>
    </row>
    <row r="491" spans="1:28" ht="17.25" customHeight="1" x14ac:dyDescent="0.2">
      <c r="A491" t="s">
        <v>7</v>
      </c>
      <c r="B491" s="20">
        <v>72</v>
      </c>
      <c r="C491" s="20">
        <v>149</v>
      </c>
      <c r="D491" s="20">
        <v>47</v>
      </c>
      <c r="E491" t="s">
        <v>77</v>
      </c>
      <c r="F491" s="26">
        <v>45166</v>
      </c>
      <c r="G491" t="s">
        <v>78</v>
      </c>
      <c r="H491" s="5">
        <v>12.7</v>
      </c>
      <c r="I491" s="5">
        <v>47.99</v>
      </c>
      <c r="J491" s="5">
        <v>47.24</v>
      </c>
      <c r="K491" s="5">
        <v>9.33</v>
      </c>
      <c r="L491" s="5">
        <v>0.01</v>
      </c>
      <c r="M491" s="3">
        <f t="shared" si="133"/>
        <v>10</v>
      </c>
      <c r="N491" s="5">
        <v>1.07</v>
      </c>
      <c r="O491" s="23">
        <f t="shared" si="144"/>
        <v>1.07E-3</v>
      </c>
      <c r="P491" s="23">
        <f t="shared" si="145"/>
        <v>1.9259999999999999E-2</v>
      </c>
      <c r="Q491" s="7">
        <f t="shared" si="146"/>
        <v>1.9259999999999999E-5</v>
      </c>
      <c r="R491" s="23">
        <f t="shared" si="147"/>
        <v>6.9335999999999995E-2</v>
      </c>
      <c r="S491" s="5">
        <v>10.98</v>
      </c>
      <c r="T491" s="5">
        <v>2.5099999999999998</v>
      </c>
      <c r="U491" s="5">
        <f t="shared" si="148"/>
        <v>25099.999999999996</v>
      </c>
      <c r="V491" s="8">
        <v>-0.83</v>
      </c>
      <c r="W491" s="8">
        <v>-1.86</v>
      </c>
      <c r="X491" s="5">
        <f t="shared" si="149"/>
        <v>1.0300000000000002</v>
      </c>
      <c r="Y491" s="23">
        <f t="shared" si="150"/>
        <v>6.7316504854368908E-2</v>
      </c>
      <c r="Z491" s="23">
        <f t="shared" si="134"/>
        <v>1689.6442718446594</v>
      </c>
      <c r="AA491" s="11">
        <f t="shared" si="135"/>
        <v>1.0379538439709837</v>
      </c>
      <c r="AB491" s="11">
        <f t="shared" si="136"/>
        <v>26052.641483671687</v>
      </c>
    </row>
    <row r="492" spans="1:28" ht="17.25" customHeight="1" x14ac:dyDescent="0.2">
      <c r="A492" t="s">
        <v>7</v>
      </c>
      <c r="B492" s="20">
        <v>72</v>
      </c>
      <c r="C492" s="20">
        <v>149</v>
      </c>
      <c r="D492" s="20">
        <v>48</v>
      </c>
      <c r="E492" t="s">
        <v>77</v>
      </c>
      <c r="F492" s="26">
        <v>45166</v>
      </c>
      <c r="G492" t="s">
        <v>78</v>
      </c>
      <c r="H492" s="5">
        <v>13.64</v>
      </c>
      <c r="I492" s="3">
        <v>47</v>
      </c>
      <c r="J492" s="5">
        <v>45.37</v>
      </c>
      <c r="K492" s="5">
        <v>8.32</v>
      </c>
      <c r="L492" s="5">
        <v>0.02</v>
      </c>
      <c r="M492" s="3">
        <f t="shared" si="133"/>
        <v>20</v>
      </c>
      <c r="N492" s="5">
        <v>1.64</v>
      </c>
      <c r="O492" s="23">
        <f t="shared" si="144"/>
        <v>1.64E-3</v>
      </c>
      <c r="P492" s="23">
        <f t="shared" si="145"/>
        <v>2.9519999999999998E-2</v>
      </c>
      <c r="Q492" s="7">
        <f t="shared" si="146"/>
        <v>2.9519999999999999E-5</v>
      </c>
      <c r="R492" s="23">
        <f t="shared" si="147"/>
        <v>0.10627199999999999</v>
      </c>
      <c r="S492" s="5">
        <v>17.25</v>
      </c>
      <c r="T492" s="5">
        <v>2.85</v>
      </c>
      <c r="U492" s="3">
        <f t="shared" si="148"/>
        <v>28500</v>
      </c>
      <c r="V492" s="8">
        <v>-1.1000000000000001</v>
      </c>
      <c r="W492" s="8">
        <v>-2.09</v>
      </c>
      <c r="X492" s="5">
        <f t="shared" si="149"/>
        <v>0.98999999999999977</v>
      </c>
      <c r="Y492" s="23">
        <f t="shared" si="150"/>
        <v>0.10734545454545456</v>
      </c>
      <c r="Z492" s="23">
        <f t="shared" si="134"/>
        <v>3059.3454545454551</v>
      </c>
      <c r="AA492" s="11">
        <f t="shared" si="135"/>
        <v>1.6551606091152522</v>
      </c>
      <c r="AB492" s="11">
        <f t="shared" si="136"/>
        <v>47172.077359784686</v>
      </c>
    </row>
    <row r="493" spans="1:28" ht="17.25" customHeight="1" x14ac:dyDescent="0.2">
      <c r="A493" t="s">
        <v>7</v>
      </c>
      <c r="B493" s="20">
        <v>72</v>
      </c>
      <c r="C493" s="20">
        <v>152</v>
      </c>
      <c r="D493" s="20">
        <v>49</v>
      </c>
      <c r="E493" t="s">
        <v>77</v>
      </c>
      <c r="F493" s="26">
        <v>45166</v>
      </c>
      <c r="G493" t="s">
        <v>78</v>
      </c>
      <c r="H493" s="5">
        <v>15.23</v>
      </c>
      <c r="I493" s="5">
        <v>46.49</v>
      </c>
      <c r="J493" s="5">
        <v>44.79</v>
      </c>
      <c r="K493" s="5">
        <v>7.91</v>
      </c>
      <c r="L493" s="5">
        <v>0.04</v>
      </c>
      <c r="M493" s="3">
        <f t="shared" si="133"/>
        <v>40</v>
      </c>
      <c r="N493" s="5">
        <v>3.05</v>
      </c>
      <c r="O493" s="23">
        <f t="shared" si="144"/>
        <v>3.0499999999999998E-3</v>
      </c>
      <c r="P493" s="23">
        <f t="shared" si="145"/>
        <v>5.4899999999999997E-2</v>
      </c>
      <c r="Q493" s="7">
        <f t="shared" si="146"/>
        <v>5.49E-5</v>
      </c>
      <c r="R493" s="23">
        <f t="shared" si="147"/>
        <v>0.19764000000000001</v>
      </c>
      <c r="S493" s="5">
        <v>16.68</v>
      </c>
      <c r="T493" s="5">
        <v>2.78</v>
      </c>
      <c r="U493" s="5">
        <f t="shared" si="148"/>
        <v>27799.999999999996</v>
      </c>
      <c r="V493" s="8">
        <v>-0.72</v>
      </c>
      <c r="W493" s="8">
        <v>-1.77</v>
      </c>
      <c r="X493" s="5">
        <f t="shared" si="149"/>
        <v>1.05</v>
      </c>
      <c r="Y493" s="23">
        <f t="shared" si="150"/>
        <v>0.18822857142857144</v>
      </c>
      <c r="Z493" s="23">
        <f t="shared" si="134"/>
        <v>5232.7542857142853</v>
      </c>
      <c r="AA493" s="11">
        <f t="shared" si="135"/>
        <v>2.9022981760879807</v>
      </c>
      <c r="AB493" s="11">
        <f t="shared" si="136"/>
        <v>80683.889295245855</v>
      </c>
    </row>
    <row r="494" spans="1:28" ht="17.25" customHeight="1" x14ac:dyDescent="0.2">
      <c r="A494" t="s">
        <v>7</v>
      </c>
      <c r="B494" s="20">
        <v>72</v>
      </c>
      <c r="C494" s="20">
        <v>152</v>
      </c>
      <c r="D494" s="20">
        <v>50</v>
      </c>
      <c r="E494" t="s">
        <v>77</v>
      </c>
      <c r="F494" s="26">
        <v>45166</v>
      </c>
      <c r="G494" t="s">
        <v>78</v>
      </c>
      <c r="H494" s="5">
        <v>13.01</v>
      </c>
      <c r="I494" s="5">
        <v>47.59</v>
      </c>
      <c r="J494" s="5">
        <v>45.27</v>
      </c>
      <c r="K494" s="5">
        <v>8.31</v>
      </c>
      <c r="L494" s="5">
        <v>0.03</v>
      </c>
      <c r="M494" s="3">
        <f t="shared" si="133"/>
        <v>30</v>
      </c>
      <c r="N494" s="5">
        <v>2.2999999999999998</v>
      </c>
      <c r="O494" s="23">
        <f t="shared" si="144"/>
        <v>2.3E-3</v>
      </c>
      <c r="P494" s="23">
        <f t="shared" si="145"/>
        <v>4.1399999999999999E-2</v>
      </c>
      <c r="Q494" s="7">
        <f t="shared" si="146"/>
        <v>4.1399999999999997E-5</v>
      </c>
      <c r="R494" s="23">
        <f t="shared" si="147"/>
        <v>0.14903999999999998</v>
      </c>
      <c r="S494" s="5">
        <v>29.47</v>
      </c>
      <c r="T494" s="5">
        <v>3.96</v>
      </c>
      <c r="U494" s="3">
        <f t="shared" si="148"/>
        <v>39600</v>
      </c>
      <c r="V494" s="8">
        <v>-0.74</v>
      </c>
      <c r="W494" s="8">
        <v>-2.0299999999999998</v>
      </c>
      <c r="X494" s="5">
        <f t="shared" si="149"/>
        <v>1.2899999999999998</v>
      </c>
      <c r="Y494" s="23">
        <f t="shared" si="150"/>
        <v>0.11553488372093024</v>
      </c>
      <c r="Z494" s="23">
        <f t="shared" si="134"/>
        <v>4575.1813953488372</v>
      </c>
      <c r="AA494" s="11">
        <f t="shared" si="135"/>
        <v>1.781433497331929</v>
      </c>
      <c r="AB494" s="11">
        <f t="shared" si="136"/>
        <v>70544.766494344396</v>
      </c>
    </row>
    <row r="495" spans="1:28" ht="17.25" customHeight="1" x14ac:dyDescent="0.2">
      <c r="A495" t="s">
        <v>7</v>
      </c>
      <c r="B495" s="20">
        <v>72</v>
      </c>
      <c r="C495" s="20">
        <v>152</v>
      </c>
      <c r="D495" s="20">
        <v>51</v>
      </c>
      <c r="E495" t="s">
        <v>77</v>
      </c>
      <c r="F495" s="26">
        <v>45166</v>
      </c>
      <c r="G495" t="s">
        <v>78</v>
      </c>
      <c r="H495" s="5">
        <v>14.41</v>
      </c>
      <c r="I495" s="5">
        <v>46.52</v>
      </c>
      <c r="J495" s="5">
        <v>42.39</v>
      </c>
      <c r="K495" s="5">
        <v>6.91</v>
      </c>
      <c r="L495" s="5">
        <v>7.0000000000000007E-2</v>
      </c>
      <c r="M495" s="3">
        <f t="shared" si="133"/>
        <v>70</v>
      </c>
      <c r="N495" s="5">
        <v>4.12</v>
      </c>
      <c r="O495" s="23">
        <f t="shared" si="144"/>
        <v>4.1200000000000004E-3</v>
      </c>
      <c r="P495" s="23">
        <f t="shared" si="145"/>
        <v>7.4160000000000004E-2</v>
      </c>
      <c r="Q495" s="7">
        <f t="shared" si="146"/>
        <v>7.4160000000000008E-5</v>
      </c>
      <c r="R495" s="23">
        <f t="shared" si="147"/>
        <v>0.26697600000000005</v>
      </c>
      <c r="S495" s="5">
        <v>11.56</v>
      </c>
      <c r="T495" s="5">
        <v>1.91</v>
      </c>
      <c r="U495" s="3">
        <f t="shared" si="148"/>
        <v>19100</v>
      </c>
      <c r="V495" s="8">
        <v>-0.5</v>
      </c>
      <c r="W495" s="8">
        <v>-2.2000000000000002</v>
      </c>
      <c r="X495" s="5">
        <f t="shared" si="149"/>
        <v>1.7000000000000002</v>
      </c>
      <c r="Y495" s="23">
        <f t="shared" si="150"/>
        <v>0.15704470588235295</v>
      </c>
      <c r="Z495" s="23">
        <f t="shared" si="134"/>
        <v>2999.5538823529414</v>
      </c>
      <c r="AA495" s="11">
        <f t="shared" si="135"/>
        <v>2.4214738495191144</v>
      </c>
      <c r="AB495" s="11">
        <f t="shared" si="136"/>
        <v>46250.150525815086</v>
      </c>
    </row>
    <row r="496" spans="1:28" ht="17.25" customHeight="1" x14ac:dyDescent="0.2">
      <c r="A496" t="s">
        <v>7</v>
      </c>
      <c r="B496" s="20">
        <v>72</v>
      </c>
      <c r="C496" s="20">
        <v>155</v>
      </c>
      <c r="D496" s="20">
        <v>58</v>
      </c>
      <c r="E496" t="s">
        <v>77</v>
      </c>
      <c r="F496" s="26">
        <v>45166</v>
      </c>
      <c r="G496" t="s">
        <v>78</v>
      </c>
      <c r="H496" s="5">
        <v>13.13</v>
      </c>
      <c r="I496" s="5">
        <v>47.96</v>
      </c>
      <c r="J496" s="5">
        <v>46.37</v>
      </c>
      <c r="K496" s="5">
        <v>8.82</v>
      </c>
      <c r="L496" s="5">
        <v>0.03</v>
      </c>
      <c r="M496" s="3">
        <f t="shared" si="133"/>
        <v>30</v>
      </c>
      <c r="N496" s="5">
        <v>2.4300000000000002</v>
      </c>
      <c r="O496" s="23">
        <f t="shared" si="144"/>
        <v>2.4300000000000003E-3</v>
      </c>
      <c r="P496" s="23">
        <f t="shared" si="145"/>
        <v>4.3740000000000008E-2</v>
      </c>
      <c r="Q496" s="7">
        <f t="shared" si="146"/>
        <v>4.3740000000000005E-5</v>
      </c>
      <c r="R496" s="23">
        <f t="shared" si="147"/>
        <v>0.15746400000000002</v>
      </c>
      <c r="S496" s="5">
        <v>25.14</v>
      </c>
      <c r="T496" s="5">
        <v>4.53</v>
      </c>
      <c r="U496" s="3">
        <f t="shared" si="148"/>
        <v>45300</v>
      </c>
      <c r="V496" s="8">
        <v>-0.82</v>
      </c>
      <c r="W496" s="8">
        <v>-1.98</v>
      </c>
      <c r="X496" s="5">
        <f t="shared" si="149"/>
        <v>1.1600000000000001</v>
      </c>
      <c r="Y496" s="23">
        <f t="shared" si="150"/>
        <v>0.1357448275862069</v>
      </c>
      <c r="Z496" s="23">
        <f t="shared" si="134"/>
        <v>6149.2406896551729</v>
      </c>
      <c r="AA496" s="11">
        <f t="shared" si="135"/>
        <v>2.0930508186230874</v>
      </c>
      <c r="AB496" s="11">
        <f t="shared" si="136"/>
        <v>94815.20208362586</v>
      </c>
    </row>
    <row r="497" spans="1:28" ht="17.25" customHeight="1" x14ac:dyDescent="0.2">
      <c r="A497" t="s">
        <v>7</v>
      </c>
      <c r="B497" s="20">
        <v>72</v>
      </c>
      <c r="C497" s="20">
        <v>155</v>
      </c>
      <c r="D497" s="20">
        <v>59</v>
      </c>
      <c r="E497" t="s">
        <v>77</v>
      </c>
      <c r="F497" s="26">
        <v>45166</v>
      </c>
      <c r="G497" t="s">
        <v>78</v>
      </c>
      <c r="H497" s="5">
        <v>14.47</v>
      </c>
      <c r="I497" s="5">
        <v>47.36</v>
      </c>
      <c r="J497" s="5">
        <v>46.85</v>
      </c>
      <c r="K497" s="5">
        <v>8.9700000000000006</v>
      </c>
      <c r="L497" s="5">
        <v>0.02</v>
      </c>
      <c r="M497" s="3">
        <f t="shared" si="133"/>
        <v>20</v>
      </c>
      <c r="N497" s="5">
        <v>1.82</v>
      </c>
      <c r="O497" s="23">
        <f t="shared" si="144"/>
        <v>1.82E-3</v>
      </c>
      <c r="P497" s="23">
        <f t="shared" si="145"/>
        <v>3.2759999999999997E-2</v>
      </c>
      <c r="Q497" s="7">
        <f t="shared" si="146"/>
        <v>3.2759999999999998E-5</v>
      </c>
      <c r="R497" s="23">
        <f t="shared" si="147"/>
        <v>0.117936</v>
      </c>
      <c r="S497" s="5">
        <v>16.940000000000001</v>
      </c>
      <c r="T497" s="5">
        <v>3.17</v>
      </c>
      <c r="U497" s="3">
        <f t="shared" si="148"/>
        <v>31700</v>
      </c>
      <c r="V497" s="8">
        <v>-0.73</v>
      </c>
      <c r="W497" s="8">
        <v>-1.89</v>
      </c>
      <c r="X497" s="5">
        <f t="shared" si="149"/>
        <v>1.1599999999999999</v>
      </c>
      <c r="Y497" s="23">
        <f t="shared" si="150"/>
        <v>0.10166896551724139</v>
      </c>
      <c r="Z497" s="23">
        <f t="shared" si="134"/>
        <v>3222.9062068965518</v>
      </c>
      <c r="AA497" s="11">
        <f t="shared" si="135"/>
        <v>1.5676347695037118</v>
      </c>
      <c r="AB497" s="11">
        <f t="shared" si="136"/>
        <v>49694.022193267665</v>
      </c>
    </row>
    <row r="498" spans="1:28" ht="17.25" customHeight="1" x14ac:dyDescent="0.2">
      <c r="A498" t="s">
        <v>7</v>
      </c>
      <c r="B498" s="20">
        <v>72</v>
      </c>
      <c r="C498" s="20">
        <v>155</v>
      </c>
      <c r="D498" s="20">
        <v>60</v>
      </c>
      <c r="E498" t="s">
        <v>77</v>
      </c>
      <c r="F498" s="26">
        <v>45166</v>
      </c>
      <c r="G498" t="s">
        <v>78</v>
      </c>
      <c r="H498" s="5">
        <v>13.05</v>
      </c>
      <c r="I498" s="5">
        <v>47.82</v>
      </c>
      <c r="J498" s="5">
        <v>45.93</v>
      </c>
      <c r="K498" s="5">
        <v>8.6199999999999992</v>
      </c>
      <c r="L498" s="5">
        <v>0.01</v>
      </c>
      <c r="M498" s="3">
        <f t="shared" si="133"/>
        <v>10</v>
      </c>
      <c r="N498" s="5">
        <v>1.07</v>
      </c>
      <c r="O498" s="23">
        <f t="shared" si="144"/>
        <v>1.07E-3</v>
      </c>
      <c r="P498" s="23">
        <f t="shared" si="145"/>
        <v>1.9259999999999999E-2</v>
      </c>
      <c r="Q498" s="7">
        <f t="shared" si="146"/>
        <v>1.9259999999999999E-5</v>
      </c>
      <c r="R498" s="23">
        <f t="shared" si="147"/>
        <v>6.9335999999999995E-2</v>
      </c>
      <c r="S498" s="5">
        <v>22.24</v>
      </c>
      <c r="T498" s="5">
        <v>4.22</v>
      </c>
      <c r="U498" s="3">
        <f t="shared" si="148"/>
        <v>42200</v>
      </c>
      <c r="V498" s="8">
        <v>-0.64</v>
      </c>
      <c r="W498" s="27">
        <v>-2</v>
      </c>
      <c r="X498" s="5">
        <f t="shared" si="149"/>
        <v>1.3599999999999999</v>
      </c>
      <c r="Y498" s="23">
        <f t="shared" si="150"/>
        <v>5.0982352941176472E-2</v>
      </c>
      <c r="Z498" s="23">
        <f t="shared" si="134"/>
        <v>2151.4552941176471</v>
      </c>
      <c r="AA498" s="11">
        <f t="shared" si="135"/>
        <v>0.7860973965368484</v>
      </c>
      <c r="AB498" s="11">
        <f t="shared" si="136"/>
        <v>33173.310133855004</v>
      </c>
    </row>
    <row r="499" spans="1:28" ht="17.25" customHeight="1" x14ac:dyDescent="0.2">
      <c r="A499" t="s">
        <v>7</v>
      </c>
      <c r="B499" s="20">
        <v>72</v>
      </c>
      <c r="C499" s="20">
        <v>5</v>
      </c>
      <c r="D499" s="20">
        <v>61</v>
      </c>
      <c r="E499" t="s">
        <v>77</v>
      </c>
      <c r="F499" s="26">
        <v>45166</v>
      </c>
      <c r="G499" t="s">
        <v>78</v>
      </c>
      <c r="H499" s="5">
        <v>13.63</v>
      </c>
      <c r="I499" s="5">
        <v>46.87</v>
      </c>
      <c r="J499" s="5">
        <v>45.9</v>
      </c>
      <c r="K499" s="5">
        <v>8.6</v>
      </c>
      <c r="L499" s="5">
        <v>0.01</v>
      </c>
      <c r="M499" s="3">
        <f t="shared" si="133"/>
        <v>10</v>
      </c>
      <c r="N499" s="5">
        <v>0.69</v>
      </c>
      <c r="O499" s="23">
        <f t="shared" si="144"/>
        <v>6.8999999999999997E-4</v>
      </c>
      <c r="P499" s="23">
        <f t="shared" si="145"/>
        <v>1.2419999999999999E-2</v>
      </c>
      <c r="Q499" s="7">
        <f t="shared" si="146"/>
        <v>1.2419999999999998E-5</v>
      </c>
      <c r="R499" s="23">
        <f t="shared" si="147"/>
        <v>4.4711999999999995E-2</v>
      </c>
      <c r="S499" s="5">
        <v>5.59</v>
      </c>
      <c r="T499" s="5">
        <v>1.83</v>
      </c>
      <c r="U499" s="3">
        <f t="shared" si="148"/>
        <v>18300</v>
      </c>
      <c r="V499" s="8">
        <v>-0.5</v>
      </c>
      <c r="W499" s="8">
        <v>-2.0099999999999998</v>
      </c>
      <c r="X499" s="5">
        <f t="shared" si="149"/>
        <v>1.5099999999999998</v>
      </c>
      <c r="Y499" s="23">
        <f t="shared" si="150"/>
        <v>2.9610596026490067E-2</v>
      </c>
      <c r="Z499" s="23">
        <f t="shared" si="134"/>
        <v>541.87390728476817</v>
      </c>
      <c r="AA499" s="11">
        <f t="shared" si="135"/>
        <v>0.45656606852149434</v>
      </c>
      <c r="AB499" s="11">
        <f t="shared" si="136"/>
        <v>8355.1590539433473</v>
      </c>
    </row>
    <row r="500" spans="1:28" ht="17.25" customHeight="1" x14ac:dyDescent="0.2">
      <c r="A500" t="s">
        <v>7</v>
      </c>
      <c r="B500" s="20">
        <v>72</v>
      </c>
      <c r="C500" s="20">
        <v>5</v>
      </c>
      <c r="D500" s="20">
        <v>63</v>
      </c>
      <c r="E500" t="s">
        <v>77</v>
      </c>
      <c r="F500" s="26">
        <v>45166</v>
      </c>
      <c r="G500" t="s">
        <v>78</v>
      </c>
      <c r="H500" s="5">
        <v>14.92</v>
      </c>
      <c r="I500" s="5">
        <v>46.75</v>
      </c>
      <c r="J500" s="5">
        <v>45.48</v>
      </c>
      <c r="K500" s="5">
        <v>8.26</v>
      </c>
      <c r="L500" s="5">
        <v>0.04</v>
      </c>
      <c r="M500" s="3">
        <f t="shared" si="133"/>
        <v>40</v>
      </c>
      <c r="N500" s="5">
        <v>2.8</v>
      </c>
      <c r="O500" s="23">
        <f t="shared" si="144"/>
        <v>2.8E-3</v>
      </c>
      <c r="P500" s="23">
        <f t="shared" si="145"/>
        <v>5.04E-2</v>
      </c>
      <c r="Q500" s="7">
        <f t="shared" si="146"/>
        <v>5.0399999999999999E-5</v>
      </c>
      <c r="R500" s="23">
        <f t="shared" si="147"/>
        <v>0.18143999999999999</v>
      </c>
      <c r="S500" s="5">
        <v>13.53</v>
      </c>
      <c r="T500" s="5">
        <v>2.78</v>
      </c>
      <c r="U500" s="5">
        <f t="shared" si="148"/>
        <v>27799.999999999996</v>
      </c>
      <c r="V500" s="8">
        <v>-0.66</v>
      </c>
      <c r="W500" s="8">
        <v>-1.75</v>
      </c>
      <c r="X500" s="5">
        <f t="shared" si="149"/>
        <v>1.0899999999999999</v>
      </c>
      <c r="Y500" s="23">
        <f t="shared" si="150"/>
        <v>0.1664587155963303</v>
      </c>
      <c r="Z500" s="23">
        <f t="shared" si="134"/>
        <v>4627.5522935779818</v>
      </c>
      <c r="AA500" s="11">
        <f t="shared" si="135"/>
        <v>2.5666285569856115</v>
      </c>
      <c r="AB500" s="11">
        <f t="shared" si="136"/>
        <v>71352.273884199996</v>
      </c>
    </row>
    <row r="501" spans="1:28" ht="17.25" customHeight="1" x14ac:dyDescent="0.2">
      <c r="A501" t="s">
        <v>7</v>
      </c>
      <c r="B501" s="20">
        <v>72</v>
      </c>
      <c r="C501" s="20">
        <v>5</v>
      </c>
      <c r="D501" s="20">
        <v>85</v>
      </c>
      <c r="E501" t="s">
        <v>77</v>
      </c>
      <c r="F501" s="26">
        <v>45166</v>
      </c>
      <c r="G501" t="s">
        <v>78</v>
      </c>
      <c r="H501" s="5">
        <v>13.56</v>
      </c>
      <c r="I501" s="5">
        <v>47.72</v>
      </c>
      <c r="J501" s="5">
        <v>46.8</v>
      </c>
      <c r="K501" s="5">
        <v>9.02</v>
      </c>
      <c r="L501" s="5">
        <v>0.01</v>
      </c>
      <c r="M501" s="3">
        <f t="shared" si="133"/>
        <v>10</v>
      </c>
      <c r="N501" s="5">
        <v>0.48</v>
      </c>
      <c r="O501" s="23">
        <f t="shared" si="144"/>
        <v>4.7999999999999996E-4</v>
      </c>
      <c r="P501" s="23">
        <f t="shared" si="145"/>
        <v>8.6399999999999984E-3</v>
      </c>
      <c r="Q501" s="7">
        <f t="shared" si="146"/>
        <v>8.6399999999999986E-6</v>
      </c>
      <c r="R501" s="23">
        <f t="shared" si="147"/>
        <v>3.1103999999999996E-2</v>
      </c>
      <c r="S501" s="5">
        <v>8.26</v>
      </c>
      <c r="T501" s="5">
        <v>2.33</v>
      </c>
      <c r="U501" s="3">
        <f t="shared" si="148"/>
        <v>23300</v>
      </c>
      <c r="V501" s="27">
        <v>-1</v>
      </c>
      <c r="W501" s="8">
        <v>-2.36</v>
      </c>
      <c r="X501" s="5">
        <f t="shared" si="149"/>
        <v>1.3599999999999999</v>
      </c>
      <c r="Y501" s="23">
        <f t="shared" si="150"/>
        <v>2.2870588235294118E-2</v>
      </c>
      <c r="Z501" s="23">
        <f t="shared" si="134"/>
        <v>532.88470588235293</v>
      </c>
      <c r="AA501" s="11">
        <f t="shared" si="135"/>
        <v>0.35264182274550204</v>
      </c>
      <c r="AB501" s="11">
        <f t="shared" si="136"/>
        <v>8216.5544699701968</v>
      </c>
    </row>
    <row r="502" spans="1:28" ht="17.25" customHeight="1" x14ac:dyDescent="0.2">
      <c r="A502" t="s">
        <v>8</v>
      </c>
      <c r="B502" s="20">
        <v>1521</v>
      </c>
      <c r="C502" s="20">
        <v>153</v>
      </c>
      <c r="D502" s="20">
        <v>69</v>
      </c>
      <c r="E502" t="s">
        <v>77</v>
      </c>
      <c r="F502" s="26">
        <v>45166</v>
      </c>
      <c r="G502" t="s">
        <v>78</v>
      </c>
      <c r="H502" s="5">
        <v>13.81</v>
      </c>
      <c r="I502" s="5">
        <v>46.94</v>
      </c>
      <c r="J502" s="5">
        <v>45.32</v>
      </c>
      <c r="K502" s="5">
        <v>8.2899999999999991</v>
      </c>
      <c r="L502" s="5">
        <v>0.03</v>
      </c>
      <c r="M502" s="3">
        <f t="shared" si="133"/>
        <v>30</v>
      </c>
      <c r="N502" s="5">
        <v>2.2200000000000002</v>
      </c>
      <c r="O502" s="23">
        <f t="shared" si="144"/>
        <v>2.2200000000000002E-3</v>
      </c>
      <c r="P502" s="23">
        <f t="shared" si="145"/>
        <v>3.9960000000000002E-2</v>
      </c>
      <c r="Q502" s="7">
        <f t="shared" si="146"/>
        <v>3.9960000000000004E-5</v>
      </c>
      <c r="R502" s="23">
        <f t="shared" si="147"/>
        <v>0.14385600000000001</v>
      </c>
      <c r="S502" s="5">
        <v>1.89</v>
      </c>
      <c r="T502" s="5">
        <v>0.42</v>
      </c>
      <c r="U502" s="3">
        <f t="shared" si="148"/>
        <v>4200</v>
      </c>
      <c r="V502" s="8">
        <v>-0.56000000000000005</v>
      </c>
      <c r="W502" s="8">
        <v>-1.84</v>
      </c>
      <c r="X502" s="5">
        <f t="shared" si="149"/>
        <v>1.28</v>
      </c>
      <c r="Y502" s="23">
        <f t="shared" si="150"/>
        <v>0.1123875</v>
      </c>
      <c r="Z502" s="23">
        <f t="shared" si="134"/>
        <v>472.02750000000003</v>
      </c>
      <c r="AA502" s="11">
        <f t="shared" si="135"/>
        <v>1.7329039570853186</v>
      </c>
      <c r="AB502" s="11">
        <f t="shared" si="136"/>
        <v>7278.1966197583379</v>
      </c>
    </row>
    <row r="503" spans="1:28" ht="17.25" customHeight="1" x14ac:dyDescent="0.2">
      <c r="A503" t="s">
        <v>8</v>
      </c>
      <c r="B503" s="20">
        <v>1521</v>
      </c>
      <c r="C503" s="20">
        <v>153</v>
      </c>
      <c r="D503" s="20">
        <v>76</v>
      </c>
      <c r="E503" t="s">
        <v>77</v>
      </c>
      <c r="F503" s="26">
        <v>45166</v>
      </c>
      <c r="G503" t="s">
        <v>78</v>
      </c>
      <c r="H503" s="5">
        <v>14.59</v>
      </c>
      <c r="I503" s="5">
        <v>47.13</v>
      </c>
      <c r="J503" s="5">
        <v>47.08</v>
      </c>
      <c r="K503" s="5">
        <v>9.11</v>
      </c>
      <c r="L503" s="5">
        <v>0.01</v>
      </c>
      <c r="M503" s="3">
        <f t="shared" si="133"/>
        <v>10</v>
      </c>
      <c r="N503" s="5">
        <v>0.51</v>
      </c>
      <c r="O503" s="23">
        <f t="shared" si="144"/>
        <v>5.1000000000000004E-4</v>
      </c>
      <c r="P503" s="23">
        <f t="shared" si="145"/>
        <v>9.1800000000000007E-3</v>
      </c>
      <c r="Q503" s="7">
        <f t="shared" si="146"/>
        <v>9.1800000000000002E-6</v>
      </c>
      <c r="R503" s="23">
        <f t="shared" si="147"/>
        <v>3.3048000000000001E-2</v>
      </c>
      <c r="S503" s="5">
        <v>1.63</v>
      </c>
      <c r="T503" s="5">
        <v>0.4</v>
      </c>
      <c r="U503" s="3">
        <f t="shared" si="148"/>
        <v>4000</v>
      </c>
      <c r="V503" s="8">
        <v>-0.89</v>
      </c>
      <c r="W503" s="8">
        <v>-2.14</v>
      </c>
      <c r="X503" s="5">
        <f t="shared" si="149"/>
        <v>1.25</v>
      </c>
      <c r="Y503" s="23">
        <f t="shared" si="150"/>
        <v>2.6438400000000001E-2</v>
      </c>
      <c r="Z503" s="23">
        <f t="shared" si="134"/>
        <v>105.75360000000001</v>
      </c>
      <c r="AA503" s="11">
        <f t="shared" si="135"/>
        <v>0.40765394709380037</v>
      </c>
      <c r="AB503" s="11">
        <f t="shared" si="136"/>
        <v>1630.6157883752014</v>
      </c>
    </row>
    <row r="504" spans="1:28" ht="17.25" customHeight="1" x14ac:dyDescent="0.2">
      <c r="A504" t="s">
        <v>8</v>
      </c>
      <c r="B504" s="20">
        <v>1521</v>
      </c>
      <c r="C504" s="20">
        <v>153</v>
      </c>
      <c r="D504" s="20">
        <v>90</v>
      </c>
      <c r="E504" t="s">
        <v>77</v>
      </c>
      <c r="F504" s="26">
        <v>45166</v>
      </c>
      <c r="G504" t="s">
        <v>78</v>
      </c>
      <c r="H504" s="5">
        <v>12.11</v>
      </c>
      <c r="I504" s="5">
        <v>48.79</v>
      </c>
      <c r="J504" s="5">
        <v>48.19</v>
      </c>
      <c r="K504" s="5">
        <v>9.86</v>
      </c>
      <c r="L504" s="5">
        <v>0.02</v>
      </c>
      <c r="M504" s="3">
        <f t="shared" si="133"/>
        <v>20</v>
      </c>
      <c r="N504" s="5">
        <v>1.5</v>
      </c>
      <c r="O504" s="23">
        <f t="shared" si="144"/>
        <v>1.5E-3</v>
      </c>
      <c r="P504" s="23">
        <f t="shared" si="145"/>
        <v>2.7E-2</v>
      </c>
      <c r="Q504" s="7">
        <f t="shared" si="146"/>
        <v>2.6999999999999999E-5</v>
      </c>
      <c r="R504" s="23">
        <f t="shared" si="147"/>
        <v>9.7199999999999995E-2</v>
      </c>
      <c r="S504" s="5">
        <v>3.81</v>
      </c>
      <c r="T504" s="5">
        <v>0.53</v>
      </c>
      <c r="U504" s="3">
        <f t="shared" si="148"/>
        <v>5300</v>
      </c>
      <c r="V504" s="8">
        <v>-1.1000000000000001</v>
      </c>
      <c r="W504" s="8">
        <v>-2.2000000000000002</v>
      </c>
      <c r="X504" s="5">
        <f t="shared" si="149"/>
        <v>1.1000000000000001</v>
      </c>
      <c r="Y504" s="23">
        <f t="shared" si="150"/>
        <v>8.8363636363636353E-2</v>
      </c>
      <c r="Z504" s="23">
        <f t="shared" si="134"/>
        <v>468.32727272727266</v>
      </c>
      <c r="AA504" s="11">
        <f t="shared" si="135"/>
        <v>1.3624797696985302</v>
      </c>
      <c r="AB504" s="11">
        <f t="shared" si="136"/>
        <v>7221.1427794022102</v>
      </c>
    </row>
    <row r="505" spans="1:28" ht="17.25" customHeight="1" x14ac:dyDescent="0.2">
      <c r="A505" t="s">
        <v>8</v>
      </c>
      <c r="B505" s="20">
        <v>1521</v>
      </c>
      <c r="C505" s="20">
        <v>155</v>
      </c>
      <c r="D505" s="20">
        <v>62</v>
      </c>
      <c r="E505" t="s">
        <v>77</v>
      </c>
      <c r="F505" s="26">
        <v>45166</v>
      </c>
      <c r="G505" t="s">
        <v>78</v>
      </c>
      <c r="H505" s="5">
        <v>12.52</v>
      </c>
      <c r="I505" s="5">
        <v>49.06</v>
      </c>
      <c r="J505" s="5">
        <v>45.98</v>
      </c>
      <c r="K505" s="5">
        <v>8.6</v>
      </c>
      <c r="L505" s="5">
        <v>0.04</v>
      </c>
      <c r="M505" s="3">
        <f t="shared" si="133"/>
        <v>40</v>
      </c>
      <c r="N505" s="5">
        <v>3.43</v>
      </c>
      <c r="O505" s="23">
        <f t="shared" si="144"/>
        <v>3.4300000000000003E-3</v>
      </c>
      <c r="P505" s="23">
        <f t="shared" si="145"/>
        <v>6.1740000000000003E-2</v>
      </c>
      <c r="Q505" s="7">
        <f t="shared" si="146"/>
        <v>6.1740000000000002E-5</v>
      </c>
      <c r="R505" s="23">
        <f t="shared" si="147"/>
        <v>0.22226400000000002</v>
      </c>
      <c r="S505" s="5">
        <v>1.17</v>
      </c>
      <c r="T505" s="5">
        <v>0.44</v>
      </c>
      <c r="U505" s="3">
        <f t="shared" si="148"/>
        <v>4400</v>
      </c>
      <c r="V505" s="8">
        <v>-0.71</v>
      </c>
      <c r="W505" s="8">
        <v>-2.12</v>
      </c>
      <c r="X505" s="5">
        <f t="shared" si="149"/>
        <v>1.4100000000000001</v>
      </c>
      <c r="Y505" s="23">
        <f t="shared" si="150"/>
        <v>0.15763404255319149</v>
      </c>
      <c r="Z505" s="23">
        <f t="shared" si="134"/>
        <v>693.58978723404255</v>
      </c>
      <c r="AA505" s="11">
        <f t="shared" si="135"/>
        <v>2.4305608373865515</v>
      </c>
      <c r="AB505" s="11">
        <f t="shared" si="136"/>
        <v>10694.467684500827</v>
      </c>
    </row>
    <row r="506" spans="1:28" ht="17.25" customHeight="1" x14ac:dyDescent="0.2">
      <c r="A506" t="s">
        <v>8</v>
      </c>
      <c r="B506" s="20">
        <v>1521</v>
      </c>
      <c r="C506" s="20">
        <v>155</v>
      </c>
      <c r="D506" s="20">
        <v>64</v>
      </c>
      <c r="E506" t="s">
        <v>77</v>
      </c>
      <c r="F506" s="26">
        <v>45166</v>
      </c>
      <c r="G506" t="s">
        <v>78</v>
      </c>
      <c r="H506" s="5">
        <v>16.510000000000002</v>
      </c>
      <c r="I506" s="5">
        <v>45.43</v>
      </c>
      <c r="J506" s="5">
        <v>42.74</v>
      </c>
      <c r="K506" s="5">
        <v>6.91</v>
      </c>
      <c r="L506" s="5">
        <v>0.1</v>
      </c>
      <c r="M506" s="3">
        <f t="shared" si="133"/>
        <v>100</v>
      </c>
      <c r="N506" s="5">
        <v>6.34</v>
      </c>
      <c r="O506" s="23">
        <f t="shared" si="144"/>
        <v>6.3400000000000001E-3</v>
      </c>
      <c r="P506" s="23">
        <f t="shared" si="145"/>
        <v>0.11412</v>
      </c>
      <c r="Q506" s="7">
        <f t="shared" si="146"/>
        <v>1.1412E-4</v>
      </c>
      <c r="R506" s="23">
        <f t="shared" si="147"/>
        <v>0.41083199999999997</v>
      </c>
      <c r="S506" s="5">
        <v>1.37</v>
      </c>
      <c r="T506" s="5">
        <v>0.45</v>
      </c>
      <c r="U506" s="3">
        <f t="shared" si="148"/>
        <v>4500</v>
      </c>
      <c r="V506" s="8">
        <v>-0.55000000000000004</v>
      </c>
      <c r="W506" s="8">
        <v>-2.25</v>
      </c>
      <c r="X506" s="5">
        <f t="shared" si="149"/>
        <v>1.7</v>
      </c>
      <c r="Y506" s="23">
        <f t="shared" si="150"/>
        <v>0.24166588235294117</v>
      </c>
      <c r="Z506" s="23">
        <f t="shared" si="134"/>
        <v>1087.4964705882353</v>
      </c>
      <c r="AA506" s="11">
        <f t="shared" si="135"/>
        <v>3.7262485936774716</v>
      </c>
      <c r="AB506" s="11">
        <f t="shared" si="136"/>
        <v>16768.118671548622</v>
      </c>
    </row>
    <row r="507" spans="1:28" ht="17.25" customHeight="1" x14ac:dyDescent="0.2">
      <c r="A507" t="s">
        <v>8</v>
      </c>
      <c r="B507" s="20">
        <v>1521</v>
      </c>
      <c r="C507" s="20">
        <v>155</v>
      </c>
      <c r="D507" s="20">
        <v>66</v>
      </c>
      <c r="E507" t="s">
        <v>77</v>
      </c>
      <c r="F507" s="26">
        <v>45166</v>
      </c>
      <c r="G507" t="s">
        <v>78</v>
      </c>
      <c r="H507" s="5">
        <v>13.68</v>
      </c>
      <c r="I507" s="5">
        <v>46.62</v>
      </c>
      <c r="J507" s="5">
        <v>45.15</v>
      </c>
      <c r="K507" s="5">
        <v>8.23</v>
      </c>
      <c r="L507" s="5">
        <v>0.02</v>
      </c>
      <c r="M507" s="3">
        <f t="shared" si="133"/>
        <v>20</v>
      </c>
      <c r="N507" s="5">
        <v>1.83</v>
      </c>
      <c r="O507" s="23">
        <f t="shared" si="144"/>
        <v>1.83E-3</v>
      </c>
      <c r="P507" s="23">
        <f t="shared" si="145"/>
        <v>3.2939999999999997E-2</v>
      </c>
      <c r="Q507" s="7">
        <f t="shared" si="146"/>
        <v>3.294E-5</v>
      </c>
      <c r="R507" s="23">
        <f t="shared" si="147"/>
        <v>0.11858399999999999</v>
      </c>
      <c r="S507" s="5">
        <v>3.21</v>
      </c>
      <c r="T507" s="5">
        <v>0.68</v>
      </c>
      <c r="U507" s="5">
        <f t="shared" si="148"/>
        <v>6800.0000000000009</v>
      </c>
      <c r="V507" s="8">
        <v>-0.85</v>
      </c>
      <c r="W507" s="8">
        <v>-2.23</v>
      </c>
      <c r="X507" s="5">
        <f t="shared" si="149"/>
        <v>1.38</v>
      </c>
      <c r="Y507" s="23">
        <f t="shared" si="150"/>
        <v>8.59304347826087E-2</v>
      </c>
      <c r="Z507" s="23">
        <f t="shared" si="134"/>
        <v>584.32695652173925</v>
      </c>
      <c r="AA507" s="11">
        <f t="shared" si="135"/>
        <v>1.3249622108227741</v>
      </c>
      <c r="AB507" s="11">
        <f t="shared" si="136"/>
        <v>9009.7430335948648</v>
      </c>
    </row>
    <row r="508" spans="1:28" ht="17.25" customHeight="1" x14ac:dyDescent="0.2">
      <c r="A508" t="s">
        <v>8</v>
      </c>
      <c r="B508" s="20">
        <v>1521</v>
      </c>
      <c r="C508" s="20">
        <v>156</v>
      </c>
      <c r="D508" s="20">
        <v>71</v>
      </c>
      <c r="E508" t="s">
        <v>77</v>
      </c>
      <c r="F508" s="26">
        <v>45166</v>
      </c>
      <c r="G508" t="s">
        <v>78</v>
      </c>
      <c r="H508" s="5">
        <v>12.33</v>
      </c>
      <c r="I508" s="5">
        <v>48.95</v>
      </c>
      <c r="J508" s="5">
        <v>46.2</v>
      </c>
      <c r="K508" s="5">
        <v>8.76</v>
      </c>
      <c r="L508" s="5">
        <v>0.04</v>
      </c>
      <c r="M508" s="3">
        <f t="shared" si="133"/>
        <v>40</v>
      </c>
      <c r="N508" s="5">
        <v>3.63</v>
      </c>
      <c r="O508" s="23">
        <f t="shared" si="144"/>
        <v>3.63E-3</v>
      </c>
      <c r="P508" s="23">
        <f t="shared" si="145"/>
        <v>6.5339999999999995E-2</v>
      </c>
      <c r="Q508" s="7">
        <f t="shared" si="146"/>
        <v>6.5339999999999994E-5</v>
      </c>
      <c r="R508" s="23">
        <f t="shared" si="147"/>
        <v>0.23522399999999999</v>
      </c>
      <c r="S508" s="5">
        <v>3.35</v>
      </c>
      <c r="T508" s="5">
        <v>0.65</v>
      </c>
      <c r="U508" s="3">
        <f t="shared" si="148"/>
        <v>6500</v>
      </c>
      <c r="V508" s="8">
        <v>-0.68</v>
      </c>
      <c r="W508" s="8">
        <v>-1.55</v>
      </c>
      <c r="X508" s="5">
        <f t="shared" si="149"/>
        <v>0.87</v>
      </c>
      <c r="Y508" s="23">
        <f t="shared" si="150"/>
        <v>0.27037241379310345</v>
      </c>
      <c r="Z508" s="23">
        <f t="shared" si="134"/>
        <v>1757.4206896551725</v>
      </c>
      <c r="AA508" s="11">
        <f t="shared" si="135"/>
        <v>4.1688748815373433</v>
      </c>
      <c r="AB508" s="11">
        <f t="shared" si="136"/>
        <v>27097.686729992733</v>
      </c>
    </row>
    <row r="509" spans="1:28" ht="17.25" customHeight="1" x14ac:dyDescent="0.2">
      <c r="A509" t="s">
        <v>8</v>
      </c>
      <c r="B509" s="20">
        <v>1521</v>
      </c>
      <c r="C509" s="20">
        <v>156</v>
      </c>
      <c r="D509" s="20">
        <v>74</v>
      </c>
      <c r="E509" t="s">
        <v>77</v>
      </c>
      <c r="F509" s="26">
        <v>45166</v>
      </c>
      <c r="G509" t="s">
        <v>78</v>
      </c>
      <c r="H509" s="5">
        <v>13.65</v>
      </c>
      <c r="I509" s="5">
        <v>47.27</v>
      </c>
      <c r="J509" s="5">
        <v>46.24</v>
      </c>
      <c r="K509" s="5">
        <v>8.76</v>
      </c>
      <c r="L509" s="5">
        <v>0.01</v>
      </c>
      <c r="M509" s="3">
        <f t="shared" si="133"/>
        <v>10</v>
      </c>
      <c r="N509" s="5">
        <v>1.08</v>
      </c>
      <c r="O509" s="23">
        <f t="shared" si="144"/>
        <v>1.08E-3</v>
      </c>
      <c r="P509" s="23">
        <f t="shared" si="145"/>
        <v>1.9439999999999999E-2</v>
      </c>
      <c r="Q509" s="7">
        <f t="shared" si="146"/>
        <v>1.944E-5</v>
      </c>
      <c r="R509" s="23">
        <f t="shared" si="147"/>
        <v>6.9984000000000005E-2</v>
      </c>
      <c r="S509" s="5">
        <v>2.92</v>
      </c>
      <c r="T509" s="5">
        <v>0.64</v>
      </c>
      <c r="U509" s="3">
        <f t="shared" si="148"/>
        <v>6400</v>
      </c>
      <c r="V509" s="27">
        <v>-1</v>
      </c>
      <c r="W509" s="8">
        <v>-1.97</v>
      </c>
      <c r="X509" s="5">
        <f t="shared" si="149"/>
        <v>0.97</v>
      </c>
      <c r="Y509" s="23">
        <f t="shared" si="150"/>
        <v>7.2148453608247426E-2</v>
      </c>
      <c r="Z509" s="23">
        <f t="shared" si="134"/>
        <v>461.75010309278355</v>
      </c>
      <c r="AA509" s="11">
        <f t="shared" si="135"/>
        <v>1.1124577088672538</v>
      </c>
      <c r="AB509" s="11">
        <f t="shared" si="136"/>
        <v>7119.7293367504244</v>
      </c>
    </row>
    <row r="510" spans="1:28" ht="17.25" customHeight="1" x14ac:dyDescent="0.2">
      <c r="A510" t="s">
        <v>8</v>
      </c>
      <c r="B510" s="20">
        <v>1521</v>
      </c>
      <c r="C510" s="20">
        <v>156</v>
      </c>
      <c r="D510" s="20">
        <v>75</v>
      </c>
      <c r="E510" t="s">
        <v>77</v>
      </c>
      <c r="F510" s="26">
        <v>45166</v>
      </c>
      <c r="G510" t="s">
        <v>78</v>
      </c>
      <c r="H510" s="5">
        <v>13.44</v>
      </c>
      <c r="I510" s="5">
        <v>46.72</v>
      </c>
      <c r="J510" s="5">
        <v>45.62</v>
      </c>
      <c r="K510" s="5">
        <v>8.49</v>
      </c>
      <c r="L510" s="5">
        <v>0.02</v>
      </c>
      <c r="M510" s="3">
        <f t="shared" si="133"/>
        <v>20</v>
      </c>
      <c r="N510" s="5">
        <v>1.27</v>
      </c>
      <c r="O510" s="23">
        <f t="shared" si="144"/>
        <v>1.2700000000000001E-3</v>
      </c>
      <c r="P510" s="23">
        <f t="shared" si="145"/>
        <v>2.2860000000000002E-2</v>
      </c>
      <c r="Q510" s="7">
        <f t="shared" si="146"/>
        <v>2.2860000000000001E-5</v>
      </c>
      <c r="R510" s="23">
        <f t="shared" si="147"/>
        <v>8.2296000000000008E-2</v>
      </c>
      <c r="S510" s="5">
        <v>2.78</v>
      </c>
      <c r="T510" s="5">
        <v>0.57999999999999996</v>
      </c>
      <c r="U510" s="3">
        <f t="shared" si="148"/>
        <v>5800</v>
      </c>
      <c r="V510" s="8">
        <v>-1.3</v>
      </c>
      <c r="W510" s="8">
        <v>-2.14</v>
      </c>
      <c r="X510" s="5">
        <f t="shared" si="149"/>
        <v>0.84000000000000008</v>
      </c>
      <c r="Y510" s="23">
        <f t="shared" si="150"/>
        <v>9.797142857142857E-2</v>
      </c>
      <c r="Z510" s="23">
        <f t="shared" si="134"/>
        <v>568.23428571428576</v>
      </c>
      <c r="AA510" s="11">
        <f t="shared" si="135"/>
        <v>1.5106224113244822</v>
      </c>
      <c r="AB510" s="11">
        <f t="shared" si="136"/>
        <v>8761.6099856819965</v>
      </c>
    </row>
    <row r="511" spans="1:28" ht="17.25" customHeight="1" x14ac:dyDescent="0.2">
      <c r="A511" t="s">
        <v>8</v>
      </c>
      <c r="B511" s="20">
        <v>1521</v>
      </c>
      <c r="C511" s="20">
        <v>157</v>
      </c>
      <c r="D511" s="20">
        <v>67</v>
      </c>
      <c r="E511" t="s">
        <v>77</v>
      </c>
      <c r="F511" s="26">
        <v>45166</v>
      </c>
      <c r="G511" t="s">
        <v>78</v>
      </c>
      <c r="H511" s="5">
        <v>13.3</v>
      </c>
      <c r="I511" s="5">
        <v>47.69</v>
      </c>
      <c r="J511" s="5">
        <v>46.63</v>
      </c>
      <c r="K511" s="5">
        <v>8.9600000000000009</v>
      </c>
      <c r="L511" s="5">
        <v>0.02</v>
      </c>
      <c r="M511" s="3">
        <f t="shared" si="133"/>
        <v>20</v>
      </c>
      <c r="N511" s="5">
        <v>2.02</v>
      </c>
      <c r="O511" s="23">
        <f t="shared" si="144"/>
        <v>2.0200000000000001E-3</v>
      </c>
      <c r="P511" s="23">
        <f t="shared" si="145"/>
        <v>3.6360000000000003E-2</v>
      </c>
      <c r="Q511" s="7">
        <f t="shared" si="146"/>
        <v>3.6360000000000004E-5</v>
      </c>
      <c r="R511" s="23">
        <f t="shared" si="147"/>
        <v>0.13089600000000001</v>
      </c>
      <c r="S511" s="5">
        <v>2.46</v>
      </c>
      <c r="T511" s="5">
        <v>0.65</v>
      </c>
      <c r="U511" s="3">
        <f t="shared" si="148"/>
        <v>6500</v>
      </c>
      <c r="V511" s="8">
        <v>-0.99</v>
      </c>
      <c r="W511" s="8">
        <v>-2.1</v>
      </c>
      <c r="X511" s="5">
        <f t="shared" si="149"/>
        <v>1.1100000000000001</v>
      </c>
      <c r="Y511" s="23">
        <f t="shared" si="150"/>
        <v>0.11792432432432433</v>
      </c>
      <c r="Z511" s="23">
        <f t="shared" si="134"/>
        <v>766.5081081081081</v>
      </c>
      <c r="AA511" s="11">
        <f t="shared" si="135"/>
        <v>1.8182763052673485</v>
      </c>
      <c r="AB511" s="11">
        <f t="shared" si="136"/>
        <v>11818.795984237766</v>
      </c>
    </row>
    <row r="512" spans="1:28" ht="17.25" customHeight="1" x14ac:dyDescent="0.2">
      <c r="A512" t="s">
        <v>8</v>
      </c>
      <c r="B512" s="20">
        <v>1521</v>
      </c>
      <c r="C512" s="20">
        <v>157</v>
      </c>
      <c r="D512" s="20">
        <v>68</v>
      </c>
      <c r="E512" t="s">
        <v>77</v>
      </c>
      <c r="F512" s="26">
        <v>45166</v>
      </c>
      <c r="G512" t="s">
        <v>78</v>
      </c>
      <c r="H512" s="5">
        <v>13.13</v>
      </c>
      <c r="I512" s="5">
        <v>47.96</v>
      </c>
      <c r="J512" s="5">
        <v>47.17</v>
      </c>
      <c r="K512" s="5">
        <v>9.25</v>
      </c>
      <c r="L512" s="5">
        <v>0.01</v>
      </c>
      <c r="M512" s="3">
        <f t="shared" si="133"/>
        <v>10</v>
      </c>
      <c r="N512" s="5">
        <v>1.18</v>
      </c>
      <c r="O512" s="23">
        <f t="shared" si="144"/>
        <v>1.1799999999999998E-3</v>
      </c>
      <c r="P512" s="23">
        <f t="shared" si="145"/>
        <v>2.1239999999999998E-2</v>
      </c>
      <c r="Q512" s="7">
        <f t="shared" si="146"/>
        <v>2.124E-5</v>
      </c>
      <c r="R512" s="23">
        <f t="shared" si="147"/>
        <v>7.6464000000000004E-2</v>
      </c>
      <c r="S512" s="5">
        <v>2.9</v>
      </c>
      <c r="T512" s="5">
        <v>0.85</v>
      </c>
      <c r="U512" s="3">
        <f t="shared" si="148"/>
        <v>8500</v>
      </c>
      <c r="V512" s="8">
        <v>-1.8</v>
      </c>
      <c r="W512" s="8">
        <v>-2.52</v>
      </c>
      <c r="X512" s="5">
        <f t="shared" si="149"/>
        <v>0.72</v>
      </c>
      <c r="Y512" s="23">
        <f t="shared" si="150"/>
        <v>0.10620000000000002</v>
      </c>
      <c r="Z512" s="23">
        <f t="shared" si="134"/>
        <v>902.70000000000016</v>
      </c>
      <c r="AA512" s="11">
        <f t="shared" si="135"/>
        <v>1.637498834322864</v>
      </c>
      <c r="AB512" s="11">
        <f t="shared" si="136"/>
        <v>13918.740091744345</v>
      </c>
    </row>
    <row r="513" spans="1:28" ht="17.25" customHeight="1" x14ac:dyDescent="0.2">
      <c r="A513" t="s">
        <v>8</v>
      </c>
      <c r="B513" s="20">
        <v>1521</v>
      </c>
      <c r="C513" s="20">
        <v>157</v>
      </c>
      <c r="D513" s="20">
        <v>72</v>
      </c>
      <c r="E513" t="s">
        <v>77</v>
      </c>
      <c r="F513" s="26">
        <v>45166</v>
      </c>
      <c r="G513" t="s">
        <v>78</v>
      </c>
      <c r="H513" s="5">
        <v>13.74</v>
      </c>
      <c r="I513" s="5">
        <v>47.65</v>
      </c>
      <c r="J513" s="5">
        <v>46.98</v>
      </c>
      <c r="K513" s="5">
        <v>9.11</v>
      </c>
      <c r="L513" s="5">
        <v>0.01</v>
      </c>
      <c r="M513" s="3">
        <f t="shared" si="133"/>
        <v>10</v>
      </c>
      <c r="N513" s="5">
        <v>0.94</v>
      </c>
      <c r="O513" s="23">
        <f t="shared" si="144"/>
        <v>9.3999999999999997E-4</v>
      </c>
      <c r="P513" s="23">
        <f t="shared" si="145"/>
        <v>1.6920000000000001E-2</v>
      </c>
      <c r="Q513" s="7">
        <f t="shared" si="146"/>
        <v>1.6920000000000001E-5</v>
      </c>
      <c r="R513" s="23">
        <f t="shared" si="147"/>
        <v>6.0912000000000001E-2</v>
      </c>
      <c r="S513" s="5">
        <v>1.89</v>
      </c>
      <c r="T513" s="5">
        <v>1.52</v>
      </c>
      <c r="U513" s="3">
        <f t="shared" si="148"/>
        <v>15200</v>
      </c>
      <c r="V513" s="8">
        <v>-1.74</v>
      </c>
      <c r="W513" s="8">
        <v>-2.2599999999999998</v>
      </c>
      <c r="X513" s="5">
        <f t="shared" si="149"/>
        <v>0.5199999999999998</v>
      </c>
      <c r="Y513" s="23">
        <f t="shared" si="150"/>
        <v>0.11713846153846158</v>
      </c>
      <c r="Z513" s="23">
        <f t="shared" si="134"/>
        <v>1780.504615384616</v>
      </c>
      <c r="AA513" s="11">
        <f t="shared" si="135"/>
        <v>1.8061590793183093</v>
      </c>
      <c r="AB513" s="11">
        <f t="shared" si="136"/>
        <v>27453.618005638302</v>
      </c>
    </row>
    <row r="514" spans="1:28" ht="17.25" customHeight="1" x14ac:dyDescent="0.2">
      <c r="A514" t="s">
        <v>8</v>
      </c>
      <c r="B514" s="20">
        <v>1521</v>
      </c>
      <c r="C514" s="20">
        <v>158</v>
      </c>
      <c r="D514" s="20">
        <v>70</v>
      </c>
      <c r="E514" t="s">
        <v>77</v>
      </c>
      <c r="F514" s="26">
        <v>45166</v>
      </c>
      <c r="G514" t="s">
        <v>78</v>
      </c>
      <c r="H514" s="5">
        <v>13.9</v>
      </c>
      <c r="I514" s="5">
        <v>46.43</v>
      </c>
      <c r="J514" s="5">
        <v>45.02</v>
      </c>
      <c r="K514" s="5">
        <v>8.16</v>
      </c>
      <c r="L514" s="5">
        <v>0.02</v>
      </c>
      <c r="M514" s="3">
        <f t="shared" si="133"/>
        <v>20</v>
      </c>
      <c r="N514" s="5">
        <v>1.44</v>
      </c>
      <c r="O514" s="23">
        <f t="shared" si="144"/>
        <v>1.4399999999999999E-3</v>
      </c>
      <c r="P514" s="23">
        <f t="shared" si="145"/>
        <v>2.5919999999999999E-2</v>
      </c>
      <c r="Q514" s="7">
        <f t="shared" si="146"/>
        <v>2.5919999999999999E-5</v>
      </c>
      <c r="R514" s="23">
        <f t="shared" si="147"/>
        <v>9.3311999999999992E-2</v>
      </c>
      <c r="S514" s="5">
        <v>1.25</v>
      </c>
      <c r="T514" s="5">
        <v>0.24</v>
      </c>
      <c r="U514" s="3">
        <f t="shared" si="148"/>
        <v>2400</v>
      </c>
      <c r="V514" s="8">
        <v>-1.06</v>
      </c>
      <c r="W514" s="8">
        <v>-2.06</v>
      </c>
      <c r="X514" s="3">
        <f t="shared" si="149"/>
        <v>1</v>
      </c>
      <c r="Y514" s="23">
        <f t="shared" si="150"/>
        <v>9.3311999999999992E-2</v>
      </c>
      <c r="Z514" s="23">
        <f t="shared" si="134"/>
        <v>223.94879999999998</v>
      </c>
      <c r="AA514" s="11">
        <f t="shared" si="135"/>
        <v>1.4387786368016484</v>
      </c>
      <c r="AB514" s="11">
        <f t="shared" si="136"/>
        <v>3453.0687283239563</v>
      </c>
    </row>
    <row r="515" spans="1:28" ht="17.25" customHeight="1" x14ac:dyDescent="0.2">
      <c r="A515" t="s">
        <v>8</v>
      </c>
      <c r="B515" s="20">
        <v>1521</v>
      </c>
      <c r="C515" s="20">
        <v>158</v>
      </c>
      <c r="D515" s="20">
        <v>73</v>
      </c>
      <c r="E515" t="s">
        <v>77</v>
      </c>
      <c r="F515" s="26">
        <v>45166</v>
      </c>
      <c r="G515" t="s">
        <v>78</v>
      </c>
      <c r="H515" s="5">
        <v>14.04</v>
      </c>
      <c r="I515" s="5">
        <v>47.19</v>
      </c>
      <c r="J515" s="5">
        <v>46.08</v>
      </c>
      <c r="K515" s="5">
        <v>8.6300000000000008</v>
      </c>
      <c r="L515" s="5">
        <v>0.02</v>
      </c>
      <c r="M515" s="3">
        <f t="shared" ref="M515:M578" si="151">L515*1000</f>
        <v>20</v>
      </c>
      <c r="N515" s="5">
        <v>1.54</v>
      </c>
      <c r="O515" s="23">
        <f t="shared" si="144"/>
        <v>1.5400000000000001E-3</v>
      </c>
      <c r="P515" s="23">
        <f t="shared" si="145"/>
        <v>2.7720000000000002E-2</v>
      </c>
      <c r="Q515" s="7">
        <f t="shared" si="146"/>
        <v>2.7720000000000002E-5</v>
      </c>
      <c r="R515" s="23">
        <f t="shared" si="147"/>
        <v>9.9792000000000006E-2</v>
      </c>
      <c r="S515" s="5">
        <v>1.75</v>
      </c>
      <c r="T515" s="5">
        <v>0.39</v>
      </c>
      <c r="U515" s="3">
        <f t="shared" si="148"/>
        <v>3900</v>
      </c>
      <c r="V515" s="8">
        <v>-0.96</v>
      </c>
      <c r="W515" s="8">
        <v>-1.93</v>
      </c>
      <c r="X515" s="5">
        <f t="shared" si="149"/>
        <v>0.97</v>
      </c>
      <c r="Y515" s="23">
        <f t="shared" si="150"/>
        <v>0.10287835051546393</v>
      </c>
      <c r="Z515" s="23">
        <f t="shared" ref="Z515:Z578" si="152">Y515*U515</f>
        <v>401.22556701030931</v>
      </c>
      <c r="AA515" s="11">
        <f t="shared" ref="AA515:AA578" si="153">Y515 * 1000 * 1000 / 18.01528 / 3600</f>
        <v>1.5862822885699734</v>
      </c>
      <c r="AB515" s="11">
        <f t="shared" ref="AB515:AB578" si="154">AA515*U515</f>
        <v>6186.5009254228962</v>
      </c>
    </row>
    <row r="516" spans="1:28" ht="17.25" customHeight="1" x14ac:dyDescent="0.2">
      <c r="A516" t="s">
        <v>8</v>
      </c>
      <c r="B516" s="20">
        <v>1521</v>
      </c>
      <c r="C516" s="20">
        <v>158</v>
      </c>
      <c r="D516" s="20">
        <v>81</v>
      </c>
      <c r="E516" t="s">
        <v>77</v>
      </c>
      <c r="F516" s="26">
        <v>45166</v>
      </c>
      <c r="G516" t="s">
        <v>78</v>
      </c>
      <c r="H516" s="5">
        <v>14.86</v>
      </c>
      <c r="I516" s="5">
        <v>46.48</v>
      </c>
      <c r="J516" s="5">
        <v>45.57</v>
      </c>
      <c r="K516" s="5">
        <v>8.34</v>
      </c>
      <c r="L516" s="5">
        <v>0.02</v>
      </c>
      <c r="M516" s="3">
        <f t="shared" si="151"/>
        <v>20</v>
      </c>
      <c r="N516" s="5">
        <v>1.26</v>
      </c>
      <c r="O516" s="23">
        <f t="shared" si="144"/>
        <v>1.2600000000000001E-3</v>
      </c>
      <c r="P516" s="23">
        <f t="shared" si="145"/>
        <v>2.2680000000000002E-2</v>
      </c>
      <c r="Q516" s="7">
        <f t="shared" si="146"/>
        <v>2.2680000000000003E-5</v>
      </c>
      <c r="R516" s="23">
        <f t="shared" si="147"/>
        <v>8.1648000000000012E-2</v>
      </c>
      <c r="S516" s="5">
        <v>0.53</v>
      </c>
      <c r="T516" s="5">
        <v>0.2</v>
      </c>
      <c r="U516" s="3">
        <f t="shared" si="148"/>
        <v>2000</v>
      </c>
      <c r="V516" s="8">
        <v>-1.1499999999999999</v>
      </c>
      <c r="W516" s="8">
        <v>-2.16</v>
      </c>
      <c r="X516" s="5">
        <f t="shared" si="149"/>
        <v>1.0100000000000002</v>
      </c>
      <c r="Y516" s="23">
        <f t="shared" si="150"/>
        <v>8.0839603960396036E-2</v>
      </c>
      <c r="Z516" s="23">
        <f t="shared" si="152"/>
        <v>161.67920792079207</v>
      </c>
      <c r="AA516" s="11">
        <f t="shared" si="153"/>
        <v>1.246466640793507</v>
      </c>
      <c r="AB516" s="11">
        <f t="shared" si="154"/>
        <v>2492.9332815870139</v>
      </c>
    </row>
    <row r="517" spans="1:28" ht="17.25" customHeight="1" x14ac:dyDescent="0.2">
      <c r="A517" t="s">
        <v>9</v>
      </c>
      <c r="B517" s="20">
        <v>666</v>
      </c>
      <c r="C517" s="20">
        <v>101</v>
      </c>
      <c r="D517" s="20">
        <v>1</v>
      </c>
      <c r="E517" t="s">
        <v>77</v>
      </c>
      <c r="F517" s="26">
        <v>45166</v>
      </c>
      <c r="G517" t="s">
        <v>78</v>
      </c>
      <c r="H517" s="5">
        <v>13.44</v>
      </c>
      <c r="I517" s="5">
        <v>48.45</v>
      </c>
      <c r="J517" s="5">
        <v>47.12</v>
      </c>
      <c r="K517" s="5">
        <v>9.14</v>
      </c>
      <c r="L517" s="5">
        <v>0.01</v>
      </c>
      <c r="M517" s="3">
        <f t="shared" si="151"/>
        <v>10</v>
      </c>
      <c r="N517" s="5">
        <v>0.46</v>
      </c>
      <c r="O517" s="23">
        <f t="shared" si="144"/>
        <v>4.6000000000000001E-4</v>
      </c>
      <c r="P517" s="23">
        <f t="shared" si="145"/>
        <v>8.2800000000000009E-3</v>
      </c>
      <c r="Q517" s="7">
        <f t="shared" si="146"/>
        <v>8.2800000000000003E-6</v>
      </c>
      <c r="R517" s="23">
        <f t="shared" si="147"/>
        <v>2.9808000000000001E-2</v>
      </c>
      <c r="S517" s="5">
        <v>5.47</v>
      </c>
      <c r="T517" s="5">
        <v>1.21</v>
      </c>
      <c r="U517" s="3">
        <f t="shared" si="148"/>
        <v>12100</v>
      </c>
      <c r="V517" s="8">
        <v>-0.42</v>
      </c>
      <c r="W517" s="8">
        <v>-2.08</v>
      </c>
      <c r="X517" s="5">
        <f t="shared" si="149"/>
        <v>1.6600000000000001</v>
      </c>
      <c r="Y517" s="23">
        <f t="shared" si="150"/>
        <v>1.7956626506024094E-2</v>
      </c>
      <c r="Z517" s="23">
        <f t="shared" si="152"/>
        <v>217.27518072289155</v>
      </c>
      <c r="AA517" s="11">
        <f t="shared" si="153"/>
        <v>0.27687339898291424</v>
      </c>
      <c r="AB517" s="11">
        <f t="shared" si="154"/>
        <v>3350.1681276932622</v>
      </c>
    </row>
    <row r="518" spans="1:28" ht="17.25" customHeight="1" x14ac:dyDescent="0.2">
      <c r="A518" t="s">
        <v>9</v>
      </c>
      <c r="B518" s="20">
        <v>666</v>
      </c>
      <c r="C518" s="20">
        <v>101</v>
      </c>
      <c r="D518" s="20">
        <v>2</v>
      </c>
      <c r="E518" t="s">
        <v>77</v>
      </c>
      <c r="F518" s="26">
        <v>45166</v>
      </c>
      <c r="G518" t="s">
        <v>78</v>
      </c>
      <c r="H518" s="5">
        <v>12.56</v>
      </c>
      <c r="I518" s="5">
        <v>48.43</v>
      </c>
      <c r="J518" s="5">
        <v>48.45</v>
      </c>
      <c r="K518" s="5">
        <v>9.99</v>
      </c>
      <c r="L518" s="5">
        <v>0.01</v>
      </c>
      <c r="M518" s="3">
        <f t="shared" si="151"/>
        <v>10</v>
      </c>
      <c r="N518" s="5">
        <v>0.94</v>
      </c>
      <c r="O518" s="23">
        <f t="shared" si="144"/>
        <v>9.3999999999999997E-4</v>
      </c>
      <c r="P518" s="23">
        <f t="shared" si="145"/>
        <v>1.6920000000000001E-2</v>
      </c>
      <c r="Q518" s="7">
        <f t="shared" si="146"/>
        <v>1.6920000000000001E-5</v>
      </c>
      <c r="R518" s="23">
        <f t="shared" si="147"/>
        <v>6.0912000000000001E-2</v>
      </c>
      <c r="S518" s="5">
        <v>6.42</v>
      </c>
      <c r="T518" s="5">
        <v>1.41</v>
      </c>
      <c r="U518" s="3">
        <f t="shared" si="148"/>
        <v>14100</v>
      </c>
      <c r="V518" s="8">
        <v>-0.72</v>
      </c>
      <c r="W518" s="8">
        <v>-1.82</v>
      </c>
      <c r="X518" s="5">
        <f t="shared" si="149"/>
        <v>1.1000000000000001</v>
      </c>
      <c r="Y518" s="23">
        <f t="shared" si="150"/>
        <v>5.5374545454545454E-2</v>
      </c>
      <c r="Z518" s="23">
        <f t="shared" si="152"/>
        <v>780.78109090909095</v>
      </c>
      <c r="AA518" s="11">
        <f t="shared" si="153"/>
        <v>0.8538206556777459</v>
      </c>
      <c r="AB518" s="11">
        <f t="shared" si="154"/>
        <v>12038.871245056218</v>
      </c>
    </row>
    <row r="519" spans="1:28" ht="17.25" customHeight="1" x14ac:dyDescent="0.2">
      <c r="A519" t="s">
        <v>9</v>
      </c>
      <c r="B519" s="20">
        <v>666</v>
      </c>
      <c r="C519" s="20">
        <v>101</v>
      </c>
      <c r="D519" s="20">
        <v>3</v>
      </c>
      <c r="E519" t="s">
        <v>77</v>
      </c>
      <c r="F519" s="26">
        <v>45166</v>
      </c>
      <c r="G519" t="s">
        <v>78</v>
      </c>
      <c r="H519" s="5">
        <v>12.53</v>
      </c>
      <c r="I519" s="5">
        <v>48.72</v>
      </c>
      <c r="J519" s="5">
        <v>48.57</v>
      </c>
      <c r="K519" s="5">
        <v>10.039999999999999</v>
      </c>
      <c r="L519" s="5">
        <v>0.01</v>
      </c>
      <c r="M519" s="3">
        <f t="shared" si="151"/>
        <v>10</v>
      </c>
      <c r="N519" s="5">
        <v>0.73</v>
      </c>
      <c r="O519" s="23">
        <f t="shared" ref="O519:O546" si="155">N519/1000</f>
        <v>7.2999999999999996E-4</v>
      </c>
      <c r="P519" s="23">
        <f t="shared" ref="P519:P546" si="156">O519*18</f>
        <v>1.3139999999999999E-2</v>
      </c>
      <c r="Q519" s="7">
        <f t="shared" ref="Q519:Q546" si="157">P519/1000</f>
        <v>1.314E-5</v>
      </c>
      <c r="R519" s="23">
        <f t="shared" ref="R519:R546" si="158">Q519*3600</f>
        <v>4.7303999999999999E-2</v>
      </c>
      <c r="S519" s="5">
        <v>5.07</v>
      </c>
      <c r="T519" s="5">
        <v>1.03</v>
      </c>
      <c r="U519" s="3">
        <f t="shared" ref="U519:U546" si="159">T519*10000</f>
        <v>10300</v>
      </c>
      <c r="V519" s="8">
        <v>-0.67</v>
      </c>
      <c r="W519" s="8">
        <v>-1.86</v>
      </c>
      <c r="X519" s="5">
        <f t="shared" ref="X519:X546" si="160">V519-W519</f>
        <v>1.19</v>
      </c>
      <c r="Y519" s="23">
        <f t="shared" ref="Y519:Y546" si="161">R519/X519</f>
        <v>3.9751260504201684E-2</v>
      </c>
      <c r="Z519" s="23">
        <f t="shared" si="152"/>
        <v>409.43798319327732</v>
      </c>
      <c r="AA519" s="11">
        <f t="shared" si="153"/>
        <v>0.61292507286718201</v>
      </c>
      <c r="AB519" s="11">
        <f t="shared" si="154"/>
        <v>6313.128250531975</v>
      </c>
    </row>
    <row r="520" spans="1:28" ht="17.25" customHeight="1" x14ac:dyDescent="0.2">
      <c r="A520" t="s">
        <v>9</v>
      </c>
      <c r="B520" s="20">
        <v>666</v>
      </c>
      <c r="C520" s="20">
        <v>105</v>
      </c>
      <c r="D520" s="20">
        <v>7</v>
      </c>
      <c r="E520" t="s">
        <v>77</v>
      </c>
      <c r="F520" s="26">
        <v>45166</v>
      </c>
      <c r="G520" t="s">
        <v>78</v>
      </c>
      <c r="H520" s="5">
        <v>12.54</v>
      </c>
      <c r="I520" s="5">
        <v>48.79</v>
      </c>
      <c r="J520" s="5">
        <v>47.16</v>
      </c>
      <c r="K520" s="5">
        <v>9.25</v>
      </c>
      <c r="L520" s="5">
        <v>0.02</v>
      </c>
      <c r="M520" s="3">
        <f t="shared" si="151"/>
        <v>20</v>
      </c>
      <c r="N520" s="5">
        <v>1.78</v>
      </c>
      <c r="O520" s="23">
        <f t="shared" si="155"/>
        <v>1.7800000000000001E-3</v>
      </c>
      <c r="P520" s="23">
        <f t="shared" si="156"/>
        <v>3.2039999999999999E-2</v>
      </c>
      <c r="Q520" s="7">
        <f t="shared" si="157"/>
        <v>3.2039999999999998E-5</v>
      </c>
      <c r="R520" s="23">
        <f t="shared" si="158"/>
        <v>0.11534399999999999</v>
      </c>
      <c r="S520" s="5">
        <v>3.34</v>
      </c>
      <c r="T520" s="5">
        <v>0.91</v>
      </c>
      <c r="U520" s="3">
        <f t="shared" si="159"/>
        <v>9100</v>
      </c>
      <c r="V520" s="8">
        <v>-1.28</v>
      </c>
      <c r="W520" s="8">
        <v>-2.2400000000000002</v>
      </c>
      <c r="X520" s="5">
        <f t="shared" si="160"/>
        <v>0.96000000000000019</v>
      </c>
      <c r="Y520" s="23">
        <f t="shared" si="161"/>
        <v>0.12014999999999997</v>
      </c>
      <c r="Z520" s="23">
        <f t="shared" si="152"/>
        <v>1093.3649999999998</v>
      </c>
      <c r="AA520" s="11">
        <f t="shared" si="153"/>
        <v>1.852594020187307</v>
      </c>
      <c r="AB520" s="11">
        <f t="shared" si="154"/>
        <v>16858.605583704495</v>
      </c>
    </row>
    <row r="521" spans="1:28" ht="17.25" customHeight="1" x14ac:dyDescent="0.2">
      <c r="A521" t="s">
        <v>9</v>
      </c>
      <c r="B521" s="20">
        <v>666</v>
      </c>
      <c r="C521" s="20">
        <v>105</v>
      </c>
      <c r="D521" s="20">
        <v>8</v>
      </c>
      <c r="E521" t="s">
        <v>77</v>
      </c>
      <c r="F521" s="26">
        <v>45166</v>
      </c>
      <c r="G521" t="s">
        <v>78</v>
      </c>
      <c r="H521" s="5">
        <v>13.34</v>
      </c>
      <c r="I521" s="5">
        <v>48.47</v>
      </c>
      <c r="J521" s="5">
        <v>45.33</v>
      </c>
      <c r="K521" s="5">
        <v>8.2200000000000006</v>
      </c>
      <c r="L521" s="5">
        <v>0.05</v>
      </c>
      <c r="M521" s="3">
        <f t="shared" si="151"/>
        <v>50</v>
      </c>
      <c r="N521" s="5">
        <v>3.96</v>
      </c>
      <c r="O521" s="23">
        <f t="shared" si="155"/>
        <v>3.96E-3</v>
      </c>
      <c r="P521" s="23">
        <f t="shared" si="156"/>
        <v>7.1279999999999996E-2</v>
      </c>
      <c r="Q521" s="7">
        <f t="shared" si="157"/>
        <v>7.1279999999999995E-5</v>
      </c>
      <c r="R521" s="23">
        <f t="shared" si="158"/>
        <v>0.256608</v>
      </c>
      <c r="S521" s="5">
        <v>2.64</v>
      </c>
      <c r="T521" s="5">
        <v>0.69</v>
      </c>
      <c r="U521" s="5">
        <f t="shared" si="159"/>
        <v>6899.9999999999991</v>
      </c>
      <c r="V521" s="8">
        <v>-0.96</v>
      </c>
      <c r="W521" s="8">
        <v>-1.73</v>
      </c>
      <c r="X521" s="5">
        <f t="shared" si="160"/>
        <v>0.77</v>
      </c>
      <c r="Y521" s="23">
        <f t="shared" si="161"/>
        <v>0.33325714285714286</v>
      </c>
      <c r="Z521" s="23">
        <f t="shared" si="152"/>
        <v>2299.4742857142855</v>
      </c>
      <c r="AA521" s="11">
        <f t="shared" si="153"/>
        <v>5.1384951314344578</v>
      </c>
      <c r="AB521" s="11">
        <f t="shared" si="154"/>
        <v>35455.616406897752</v>
      </c>
    </row>
    <row r="522" spans="1:28" ht="17.25" customHeight="1" x14ac:dyDescent="0.2">
      <c r="A522" t="s">
        <v>9</v>
      </c>
      <c r="B522" s="20">
        <v>666</v>
      </c>
      <c r="C522" s="20">
        <v>105</v>
      </c>
      <c r="D522" s="20">
        <v>9</v>
      </c>
      <c r="E522" t="s">
        <v>77</v>
      </c>
      <c r="F522" s="26">
        <v>45166</v>
      </c>
      <c r="G522" t="s">
        <v>78</v>
      </c>
      <c r="H522" s="5">
        <v>13.87</v>
      </c>
      <c r="I522" s="5">
        <v>47.79</v>
      </c>
      <c r="J522" s="5">
        <v>46.73</v>
      </c>
      <c r="K522" s="5">
        <v>8.94</v>
      </c>
      <c r="L522" s="5">
        <v>0.01</v>
      </c>
      <c r="M522" s="3">
        <f t="shared" si="151"/>
        <v>10</v>
      </c>
      <c r="N522" s="5">
        <v>1.1599999999999999</v>
      </c>
      <c r="O522" s="23">
        <f t="shared" si="155"/>
        <v>1.16E-3</v>
      </c>
      <c r="P522" s="23">
        <f t="shared" si="156"/>
        <v>2.0879999999999999E-2</v>
      </c>
      <c r="Q522" s="7">
        <f t="shared" si="157"/>
        <v>2.088E-5</v>
      </c>
      <c r="R522" s="23">
        <f t="shared" si="158"/>
        <v>7.5167999999999999E-2</v>
      </c>
      <c r="S522" s="5">
        <v>5.01</v>
      </c>
      <c r="T522" s="5">
        <v>1.0900000000000001</v>
      </c>
      <c r="U522" s="3">
        <f t="shared" si="159"/>
        <v>10900</v>
      </c>
      <c r="V522" s="8">
        <v>-0.9</v>
      </c>
      <c r="W522" s="8">
        <v>-2.34</v>
      </c>
      <c r="X522" s="5">
        <f t="shared" si="160"/>
        <v>1.44</v>
      </c>
      <c r="Y522" s="23">
        <f t="shared" si="161"/>
        <v>5.2200000000000003E-2</v>
      </c>
      <c r="Z522" s="23">
        <f t="shared" si="152"/>
        <v>568.98</v>
      </c>
      <c r="AA522" s="11">
        <f t="shared" si="153"/>
        <v>0.80487230839598389</v>
      </c>
      <c r="AB522" s="11">
        <f t="shared" si="154"/>
        <v>8773.1081615162238</v>
      </c>
    </row>
    <row r="523" spans="1:28" ht="17.25" customHeight="1" x14ac:dyDescent="0.2">
      <c r="A523" t="s">
        <v>9</v>
      </c>
      <c r="B523" s="20">
        <v>666</v>
      </c>
      <c r="C523" s="20">
        <v>118</v>
      </c>
      <c r="D523" s="20">
        <v>10</v>
      </c>
      <c r="E523" t="s">
        <v>77</v>
      </c>
      <c r="F523" s="26">
        <v>45166</v>
      </c>
      <c r="G523" t="s">
        <v>78</v>
      </c>
      <c r="H523" s="5">
        <v>14.32</v>
      </c>
      <c r="I523" s="5">
        <v>46.42</v>
      </c>
      <c r="J523" s="5">
        <v>44.79</v>
      </c>
      <c r="K523" s="5">
        <v>8.01</v>
      </c>
      <c r="L523" s="5">
        <v>0.01</v>
      </c>
      <c r="M523" s="3">
        <f t="shared" si="151"/>
        <v>10</v>
      </c>
      <c r="N523" s="5">
        <v>0.46</v>
      </c>
      <c r="O523" s="23">
        <f t="shared" si="155"/>
        <v>4.6000000000000001E-4</v>
      </c>
      <c r="P523" s="23">
        <f t="shared" si="156"/>
        <v>8.2800000000000009E-3</v>
      </c>
      <c r="Q523" s="7">
        <f t="shared" si="157"/>
        <v>8.2800000000000003E-6</v>
      </c>
      <c r="R523" s="23">
        <f t="shared" si="158"/>
        <v>2.9808000000000001E-2</v>
      </c>
      <c r="S523" s="5">
        <v>3.56</v>
      </c>
      <c r="T523" s="5">
        <v>1</v>
      </c>
      <c r="U523" s="3">
        <f t="shared" si="159"/>
        <v>10000</v>
      </c>
      <c r="V523" s="8">
        <v>-1.25</v>
      </c>
      <c r="W523" s="8">
        <v>-2.5299999999999998</v>
      </c>
      <c r="X523" s="5">
        <f t="shared" si="160"/>
        <v>1.2799999999999998</v>
      </c>
      <c r="Y523" s="23">
        <f t="shared" si="161"/>
        <v>2.3287500000000006E-2</v>
      </c>
      <c r="Z523" s="23">
        <f t="shared" si="152"/>
        <v>232.87500000000006</v>
      </c>
      <c r="AA523" s="11">
        <f t="shared" si="153"/>
        <v>0.35907018930596696</v>
      </c>
      <c r="AB523" s="11">
        <f t="shared" si="154"/>
        <v>3590.7018930596696</v>
      </c>
    </row>
    <row r="524" spans="1:28" ht="17.25" customHeight="1" x14ac:dyDescent="0.2">
      <c r="A524" t="s">
        <v>9</v>
      </c>
      <c r="B524" s="20">
        <v>666</v>
      </c>
      <c r="C524" s="20">
        <v>118</v>
      </c>
      <c r="D524" s="20">
        <v>11</v>
      </c>
      <c r="E524" t="s">
        <v>77</v>
      </c>
      <c r="F524" s="26">
        <v>45166</v>
      </c>
      <c r="G524" t="s">
        <v>78</v>
      </c>
      <c r="H524" s="5">
        <v>13.73</v>
      </c>
      <c r="I524" s="5">
        <v>47.41</v>
      </c>
      <c r="J524" s="5">
        <v>46.05</v>
      </c>
      <c r="K524" s="5">
        <v>8.6300000000000008</v>
      </c>
      <c r="L524" s="5">
        <v>0.01</v>
      </c>
      <c r="M524" s="3">
        <f t="shared" si="151"/>
        <v>10</v>
      </c>
      <c r="N524" s="5">
        <v>0.5</v>
      </c>
      <c r="O524" s="23">
        <f t="shared" si="155"/>
        <v>5.0000000000000001E-4</v>
      </c>
      <c r="P524" s="23">
        <f t="shared" si="156"/>
        <v>9.0000000000000011E-3</v>
      </c>
      <c r="Q524" s="7">
        <f t="shared" si="157"/>
        <v>9.0000000000000002E-6</v>
      </c>
      <c r="R524" s="23">
        <f t="shared" si="158"/>
        <v>3.2399999999999998E-2</v>
      </c>
      <c r="S524" s="5">
        <v>3.32</v>
      </c>
      <c r="T524" s="5">
        <v>0.91</v>
      </c>
      <c r="U524" s="3">
        <f t="shared" si="159"/>
        <v>9100</v>
      </c>
      <c r="V524" s="8">
        <v>-0.61</v>
      </c>
      <c r="W524" s="8">
        <v>-2.62</v>
      </c>
      <c r="X524" s="5">
        <f t="shared" si="160"/>
        <v>2.0100000000000002</v>
      </c>
      <c r="Y524" s="23">
        <f t="shared" si="161"/>
        <v>1.6119402985074624E-2</v>
      </c>
      <c r="Z524" s="23">
        <f t="shared" si="152"/>
        <v>146.68656716417908</v>
      </c>
      <c r="AA524" s="11">
        <f t="shared" si="153"/>
        <v>0.24854523161996409</v>
      </c>
      <c r="AB524" s="11">
        <f t="shared" si="154"/>
        <v>2261.7616077416733</v>
      </c>
    </row>
    <row r="525" spans="1:28" ht="17.25" customHeight="1" x14ac:dyDescent="0.2">
      <c r="A525" t="s">
        <v>9</v>
      </c>
      <c r="B525" s="20">
        <v>666</v>
      </c>
      <c r="C525" s="20">
        <v>118</v>
      </c>
      <c r="D525" s="20">
        <v>12</v>
      </c>
      <c r="E525" t="s">
        <v>77</v>
      </c>
      <c r="F525" s="26">
        <v>45166</v>
      </c>
      <c r="G525" t="s">
        <v>78</v>
      </c>
      <c r="H525" s="5">
        <v>12.1</v>
      </c>
      <c r="I525" s="5">
        <v>49.19</v>
      </c>
      <c r="J525" s="5">
        <v>47.92</v>
      </c>
      <c r="K525" s="5">
        <v>9.69</v>
      </c>
      <c r="L525" s="5">
        <v>0.01</v>
      </c>
      <c r="M525" s="3">
        <f t="shared" si="151"/>
        <v>10</v>
      </c>
      <c r="N525" s="5">
        <v>0.87</v>
      </c>
      <c r="O525" s="23">
        <f t="shared" si="155"/>
        <v>8.7000000000000001E-4</v>
      </c>
      <c r="P525" s="23">
        <f t="shared" si="156"/>
        <v>1.566E-2</v>
      </c>
      <c r="Q525" s="7">
        <f t="shared" si="157"/>
        <v>1.5659999999999999E-5</v>
      </c>
      <c r="R525" s="23">
        <f t="shared" si="158"/>
        <v>5.6375999999999996E-2</v>
      </c>
      <c r="S525" s="5">
        <v>1.61</v>
      </c>
      <c r="T525" s="5">
        <v>0.5</v>
      </c>
      <c r="U525" s="3">
        <f t="shared" si="159"/>
        <v>5000</v>
      </c>
      <c r="V525" s="8">
        <v>-1.27</v>
      </c>
      <c r="W525" s="8">
        <v>-2.2400000000000002</v>
      </c>
      <c r="X525" s="5">
        <f t="shared" si="160"/>
        <v>0.9700000000000002</v>
      </c>
      <c r="Y525" s="23">
        <f t="shared" si="161"/>
        <v>5.811958762886596E-2</v>
      </c>
      <c r="Z525" s="23">
        <f t="shared" si="152"/>
        <v>290.59793814432982</v>
      </c>
      <c r="AA525" s="11">
        <f t="shared" si="153"/>
        <v>0.89614648769862082</v>
      </c>
      <c r="AB525" s="11">
        <f t="shared" si="154"/>
        <v>4480.7324384931044</v>
      </c>
    </row>
    <row r="526" spans="1:28" ht="17.25" customHeight="1" x14ac:dyDescent="0.2">
      <c r="A526" t="s">
        <v>9</v>
      </c>
      <c r="B526" s="20">
        <v>666</v>
      </c>
      <c r="C526" s="20">
        <v>122</v>
      </c>
      <c r="D526" s="20">
        <v>16</v>
      </c>
      <c r="E526" t="s">
        <v>77</v>
      </c>
      <c r="F526" s="26">
        <v>45166</v>
      </c>
      <c r="G526" t="s">
        <v>78</v>
      </c>
      <c r="H526" s="5">
        <v>14.27</v>
      </c>
      <c r="I526" s="5">
        <v>47.1</v>
      </c>
      <c r="J526" s="5">
        <v>46.56</v>
      </c>
      <c r="K526" s="5">
        <v>8.8800000000000008</v>
      </c>
      <c r="L526" s="5">
        <v>0.01</v>
      </c>
      <c r="M526" s="3">
        <f t="shared" si="151"/>
        <v>10</v>
      </c>
      <c r="N526" s="5">
        <v>0.72</v>
      </c>
      <c r="O526" s="23">
        <f t="shared" si="155"/>
        <v>7.1999999999999994E-4</v>
      </c>
      <c r="P526" s="23">
        <f t="shared" si="156"/>
        <v>1.2959999999999999E-2</v>
      </c>
      <c r="Q526" s="7">
        <f t="shared" si="157"/>
        <v>1.296E-5</v>
      </c>
      <c r="R526" s="23">
        <f t="shared" si="158"/>
        <v>4.6655999999999996E-2</v>
      </c>
      <c r="S526" s="5">
        <v>7.05</v>
      </c>
      <c r="T526" s="5">
        <v>2.21</v>
      </c>
      <c r="U526" s="3">
        <f t="shared" si="159"/>
        <v>22100</v>
      </c>
      <c r="V526" s="8">
        <v>-0.89</v>
      </c>
      <c r="W526" s="8">
        <v>-2.0299999999999998</v>
      </c>
      <c r="X526" s="5">
        <f t="shared" si="160"/>
        <v>1.1399999999999997</v>
      </c>
      <c r="Y526" s="23">
        <f t="shared" si="161"/>
        <v>4.0926315789473693E-2</v>
      </c>
      <c r="Z526" s="23">
        <f t="shared" si="152"/>
        <v>904.47157894736858</v>
      </c>
      <c r="AA526" s="11">
        <f t="shared" si="153"/>
        <v>0.63104326175510905</v>
      </c>
      <c r="AB526" s="11">
        <f t="shared" si="154"/>
        <v>13946.05608478791</v>
      </c>
    </row>
    <row r="527" spans="1:28" ht="17.25" customHeight="1" x14ac:dyDescent="0.2">
      <c r="A527" t="s">
        <v>9</v>
      </c>
      <c r="B527" s="20">
        <v>666</v>
      </c>
      <c r="C527" s="20">
        <v>122</v>
      </c>
      <c r="D527" s="20">
        <v>17</v>
      </c>
      <c r="E527" t="s">
        <v>77</v>
      </c>
      <c r="F527" s="26">
        <v>45166</v>
      </c>
      <c r="G527" t="s">
        <v>78</v>
      </c>
      <c r="H527" s="5">
        <v>13.31</v>
      </c>
      <c r="I527" s="5">
        <v>46.77</v>
      </c>
      <c r="J527" s="5">
        <v>45.58</v>
      </c>
      <c r="K527" s="5">
        <v>8.48</v>
      </c>
      <c r="L527" s="5">
        <v>0.01</v>
      </c>
      <c r="M527" s="3">
        <f t="shared" si="151"/>
        <v>10</v>
      </c>
      <c r="N527" s="5">
        <v>0.4</v>
      </c>
      <c r="O527" s="23">
        <f t="shared" si="155"/>
        <v>4.0000000000000002E-4</v>
      </c>
      <c r="P527" s="23">
        <f t="shared" si="156"/>
        <v>7.2000000000000007E-3</v>
      </c>
      <c r="Q527" s="7">
        <f t="shared" si="157"/>
        <v>7.2000000000000005E-6</v>
      </c>
      <c r="R527" s="23">
        <f t="shared" si="158"/>
        <v>2.5920000000000002E-2</v>
      </c>
      <c r="S527" s="5">
        <v>4.82</v>
      </c>
      <c r="T527" s="5">
        <v>1.19</v>
      </c>
      <c r="U527" s="3">
        <f t="shared" si="159"/>
        <v>11900</v>
      </c>
      <c r="V527" s="27">
        <v>-1</v>
      </c>
      <c r="W527" s="8">
        <v>-2.29</v>
      </c>
      <c r="X527" s="5">
        <f t="shared" si="160"/>
        <v>1.29</v>
      </c>
      <c r="Y527" s="23">
        <f t="shared" si="161"/>
        <v>2.0093023255813955E-2</v>
      </c>
      <c r="Z527" s="23">
        <f t="shared" si="152"/>
        <v>239.10697674418606</v>
      </c>
      <c r="AA527" s="11">
        <f t="shared" si="153"/>
        <v>0.3098145212751181</v>
      </c>
      <c r="AB527" s="11">
        <f t="shared" si="154"/>
        <v>3686.7928031739057</v>
      </c>
    </row>
    <row r="528" spans="1:28" ht="17.25" customHeight="1" x14ac:dyDescent="0.2">
      <c r="A528" t="s">
        <v>9</v>
      </c>
      <c r="B528" s="20">
        <v>666</v>
      </c>
      <c r="C528" s="20">
        <v>122</v>
      </c>
      <c r="D528" s="20">
        <v>18</v>
      </c>
      <c r="E528" t="s">
        <v>77</v>
      </c>
      <c r="F528" s="26">
        <v>45166</v>
      </c>
      <c r="G528" t="s">
        <v>78</v>
      </c>
      <c r="H528" s="5">
        <v>12.89</v>
      </c>
      <c r="I528" s="5">
        <v>48.59</v>
      </c>
      <c r="J528" s="5">
        <v>48.03</v>
      </c>
      <c r="K528" s="5">
        <v>9.6999999999999993</v>
      </c>
      <c r="L528" s="5">
        <v>0.01</v>
      </c>
      <c r="M528" s="3">
        <f t="shared" si="151"/>
        <v>10</v>
      </c>
      <c r="N528" s="5">
        <v>0.78</v>
      </c>
      <c r="O528" s="23">
        <f t="shared" si="155"/>
        <v>7.7999999999999999E-4</v>
      </c>
      <c r="P528" s="23">
        <f t="shared" si="156"/>
        <v>1.404E-2</v>
      </c>
      <c r="Q528" s="7">
        <f t="shared" si="157"/>
        <v>1.4040000000000001E-5</v>
      </c>
      <c r="R528" s="23">
        <f t="shared" si="158"/>
        <v>5.0544000000000006E-2</v>
      </c>
      <c r="S528" s="5">
        <v>7.37</v>
      </c>
      <c r="T528" s="5">
        <v>1.96</v>
      </c>
      <c r="U528" s="3">
        <f t="shared" si="159"/>
        <v>19600</v>
      </c>
      <c r="V528" s="8">
        <v>-0.97</v>
      </c>
      <c r="W528" s="8">
        <v>-1.85</v>
      </c>
      <c r="X528" s="5">
        <f t="shared" si="160"/>
        <v>0.88000000000000012</v>
      </c>
      <c r="Y528" s="23">
        <f t="shared" si="161"/>
        <v>5.7436363636363633E-2</v>
      </c>
      <c r="Z528" s="23">
        <f t="shared" si="152"/>
        <v>1125.7527272727273</v>
      </c>
      <c r="AA528" s="11">
        <f t="shared" si="153"/>
        <v>0.88561185030404477</v>
      </c>
      <c r="AB528" s="11">
        <f t="shared" si="154"/>
        <v>17357.992265959278</v>
      </c>
    </row>
    <row r="529" spans="1:28" ht="17.25" customHeight="1" x14ac:dyDescent="0.2">
      <c r="A529" t="s">
        <v>9</v>
      </c>
      <c r="B529" s="20">
        <v>666</v>
      </c>
      <c r="C529" s="20">
        <v>123</v>
      </c>
      <c r="D529" s="20">
        <v>19</v>
      </c>
      <c r="E529" t="s">
        <v>77</v>
      </c>
      <c r="F529" s="26">
        <v>45166</v>
      </c>
      <c r="G529" t="s">
        <v>78</v>
      </c>
      <c r="H529" s="5">
        <v>17.77</v>
      </c>
      <c r="I529" s="5">
        <v>44.33</v>
      </c>
      <c r="J529" s="5">
        <v>44.33</v>
      </c>
      <c r="K529" s="5">
        <v>7.62</v>
      </c>
      <c r="L529" s="5">
        <v>0.03</v>
      </c>
      <c r="M529" s="3">
        <f t="shared" si="151"/>
        <v>30</v>
      </c>
      <c r="N529" s="5">
        <v>2.4500000000000002</v>
      </c>
      <c r="O529" s="23">
        <f t="shared" si="155"/>
        <v>2.4500000000000004E-3</v>
      </c>
      <c r="P529" s="23">
        <f t="shared" si="156"/>
        <v>4.4100000000000007E-2</v>
      </c>
      <c r="Q529" s="7">
        <f t="shared" si="157"/>
        <v>4.4100000000000008E-5</v>
      </c>
      <c r="R529" s="23">
        <f t="shared" si="158"/>
        <v>0.15876000000000004</v>
      </c>
      <c r="S529" s="5">
        <v>6.06</v>
      </c>
      <c r="T529" s="5">
        <v>1.55</v>
      </c>
      <c r="U529" s="3">
        <f t="shared" si="159"/>
        <v>15500</v>
      </c>
      <c r="V529" s="8">
        <v>-1.37</v>
      </c>
      <c r="W529" s="8">
        <v>-1.73</v>
      </c>
      <c r="X529" s="5">
        <f t="shared" si="160"/>
        <v>0.35999999999999988</v>
      </c>
      <c r="Y529" s="23">
        <f t="shared" si="161"/>
        <v>0.44100000000000028</v>
      </c>
      <c r="Z529" s="23">
        <f t="shared" si="152"/>
        <v>6835.5000000000045</v>
      </c>
      <c r="AA529" s="11">
        <f t="shared" si="153"/>
        <v>6.7997832950695232</v>
      </c>
      <c r="AB529" s="11">
        <f t="shared" si="154"/>
        <v>105396.64107357762</v>
      </c>
    </row>
    <row r="530" spans="1:28" ht="17.25" customHeight="1" x14ac:dyDescent="0.2">
      <c r="A530" t="s">
        <v>9</v>
      </c>
      <c r="B530" s="20">
        <v>666</v>
      </c>
      <c r="C530" s="20">
        <v>123</v>
      </c>
      <c r="D530" s="20">
        <v>20</v>
      </c>
      <c r="E530" t="s">
        <v>77</v>
      </c>
      <c r="F530" s="26">
        <v>45166</v>
      </c>
      <c r="G530" t="s">
        <v>78</v>
      </c>
      <c r="H530" s="5">
        <v>15.72</v>
      </c>
      <c r="I530" s="3">
        <v>46</v>
      </c>
      <c r="J530" s="5">
        <v>46.34</v>
      </c>
      <c r="K530" s="5">
        <v>8.69</v>
      </c>
      <c r="L530" s="5">
        <v>0.02</v>
      </c>
      <c r="M530" s="3">
        <f t="shared" si="151"/>
        <v>20</v>
      </c>
      <c r="N530" s="5">
        <v>1.35</v>
      </c>
      <c r="O530" s="23">
        <f t="shared" si="155"/>
        <v>1.3500000000000001E-3</v>
      </c>
      <c r="P530" s="23">
        <f t="shared" si="156"/>
        <v>2.4300000000000002E-2</v>
      </c>
      <c r="Q530" s="7">
        <f t="shared" si="157"/>
        <v>2.4300000000000001E-5</v>
      </c>
      <c r="R530" s="23">
        <f t="shared" si="158"/>
        <v>8.7480000000000002E-2</v>
      </c>
      <c r="S530" s="5">
        <v>5.82</v>
      </c>
      <c r="T530" s="5">
        <v>2.02</v>
      </c>
      <c r="U530" s="3">
        <f t="shared" si="159"/>
        <v>20200</v>
      </c>
      <c r="V530" s="8">
        <v>-0.85</v>
      </c>
      <c r="W530" s="8">
        <v>-2.2599999999999998</v>
      </c>
      <c r="X530" s="5">
        <f t="shared" si="160"/>
        <v>1.4099999999999997</v>
      </c>
      <c r="Y530" s="23">
        <f t="shared" si="161"/>
        <v>6.2042553191489373E-2</v>
      </c>
      <c r="Z530" s="23">
        <f t="shared" si="152"/>
        <v>1253.2595744680852</v>
      </c>
      <c r="AA530" s="11">
        <f t="shared" si="153"/>
        <v>0.95663473191598969</v>
      </c>
      <c r="AB530" s="11">
        <f t="shared" si="154"/>
        <v>19324.02158470299</v>
      </c>
    </row>
    <row r="531" spans="1:28" ht="17.25" customHeight="1" x14ac:dyDescent="0.2">
      <c r="A531" t="s">
        <v>9</v>
      </c>
      <c r="B531" s="20">
        <v>666</v>
      </c>
      <c r="C531" s="20">
        <v>123</v>
      </c>
      <c r="D531" s="20">
        <v>22</v>
      </c>
      <c r="E531" t="s">
        <v>77</v>
      </c>
      <c r="F531" s="26">
        <v>45166</v>
      </c>
      <c r="G531" t="s">
        <v>78</v>
      </c>
      <c r="H531" s="5">
        <v>13.62</v>
      </c>
      <c r="I531" s="5">
        <v>48.2</v>
      </c>
      <c r="J531" s="5">
        <v>46.8</v>
      </c>
      <c r="K531" s="5">
        <v>8.9700000000000006</v>
      </c>
      <c r="L531" s="5">
        <v>0.01</v>
      </c>
      <c r="M531" s="3">
        <f t="shared" si="151"/>
        <v>10</v>
      </c>
      <c r="N531" s="5">
        <v>1.17</v>
      </c>
      <c r="O531" s="23">
        <f t="shared" si="155"/>
        <v>1.17E-3</v>
      </c>
      <c r="P531" s="23">
        <f t="shared" si="156"/>
        <v>2.1060000000000002E-2</v>
      </c>
      <c r="Q531" s="7">
        <f t="shared" si="157"/>
        <v>2.1060000000000002E-5</v>
      </c>
      <c r="R531" s="23">
        <f t="shared" si="158"/>
        <v>7.5816000000000008E-2</v>
      </c>
      <c r="S531" s="5">
        <v>4.78</v>
      </c>
      <c r="T531" s="5">
        <v>1.58</v>
      </c>
      <c r="U531" s="3">
        <f t="shared" si="159"/>
        <v>15800</v>
      </c>
      <c r="V531" s="8">
        <v>-1.19</v>
      </c>
      <c r="W531" s="8">
        <v>-2.37</v>
      </c>
      <c r="X531" s="5">
        <f t="shared" si="160"/>
        <v>1.1800000000000002</v>
      </c>
      <c r="Y531" s="23">
        <f t="shared" si="161"/>
        <v>6.4250847457627117E-2</v>
      </c>
      <c r="Z531" s="23">
        <f t="shared" si="152"/>
        <v>1015.1633898305084</v>
      </c>
      <c r="AA531" s="11">
        <f t="shared" si="153"/>
        <v>0.99068444271299927</v>
      </c>
      <c r="AB531" s="11">
        <f t="shared" si="154"/>
        <v>15652.814194865388</v>
      </c>
    </row>
    <row r="532" spans="1:28" ht="17.25" customHeight="1" x14ac:dyDescent="0.2">
      <c r="A532" t="s">
        <v>10</v>
      </c>
      <c r="B532" s="20">
        <v>1212</v>
      </c>
      <c r="C532" s="20">
        <v>3</v>
      </c>
      <c r="D532" s="20">
        <v>29</v>
      </c>
      <c r="E532" t="s">
        <v>77</v>
      </c>
      <c r="F532" s="26">
        <v>45166</v>
      </c>
      <c r="G532" t="s">
        <v>78</v>
      </c>
      <c r="H532" s="5">
        <v>12.46</v>
      </c>
      <c r="I532" s="5">
        <v>49.02</v>
      </c>
      <c r="J532" s="5">
        <v>46.83</v>
      </c>
      <c r="K532" s="5">
        <v>9.07</v>
      </c>
      <c r="L532" s="5">
        <v>0.02</v>
      </c>
      <c r="M532" s="3">
        <f t="shared" si="151"/>
        <v>20</v>
      </c>
      <c r="N532" s="5">
        <v>1.36</v>
      </c>
      <c r="O532" s="23">
        <f t="shared" si="155"/>
        <v>1.3600000000000001E-3</v>
      </c>
      <c r="P532" s="23">
        <f t="shared" si="156"/>
        <v>2.4480000000000002E-2</v>
      </c>
      <c r="Q532" s="7">
        <f t="shared" si="157"/>
        <v>2.4480000000000003E-5</v>
      </c>
      <c r="R532" s="23">
        <f t="shared" si="158"/>
        <v>8.8128000000000012E-2</v>
      </c>
      <c r="S532" s="5">
        <v>8.68</v>
      </c>
      <c r="T532" s="5">
        <v>2.3199999999999998</v>
      </c>
      <c r="U532" s="3">
        <f t="shared" si="159"/>
        <v>23200</v>
      </c>
      <c r="V532" s="8">
        <v>-1.49</v>
      </c>
      <c r="W532" s="8">
        <v>-2.54</v>
      </c>
      <c r="X532" s="5">
        <f t="shared" si="160"/>
        <v>1.05</v>
      </c>
      <c r="Y532" s="23">
        <f t="shared" si="161"/>
        <v>8.3931428571428573E-2</v>
      </c>
      <c r="Z532" s="23">
        <f t="shared" si="152"/>
        <v>1947.209142857143</v>
      </c>
      <c r="AA532" s="11">
        <f t="shared" si="153"/>
        <v>1.2941395145834931</v>
      </c>
      <c r="AB532" s="11">
        <f t="shared" si="154"/>
        <v>30024.036738337039</v>
      </c>
    </row>
    <row r="533" spans="1:28" ht="17.25" customHeight="1" x14ac:dyDescent="0.2">
      <c r="A533" t="s">
        <v>10</v>
      </c>
      <c r="B533" s="20">
        <v>1212</v>
      </c>
      <c r="C533" s="20">
        <v>3</v>
      </c>
      <c r="D533" s="20">
        <v>30</v>
      </c>
      <c r="E533" t="s">
        <v>77</v>
      </c>
      <c r="F533" s="26">
        <v>45166</v>
      </c>
      <c r="G533" t="s">
        <v>78</v>
      </c>
      <c r="H533" s="5">
        <v>13.12</v>
      </c>
      <c r="I533" s="5">
        <v>48.21</v>
      </c>
      <c r="J533" s="5">
        <v>47.12</v>
      </c>
      <c r="K533" s="5">
        <v>9.1999999999999993</v>
      </c>
      <c r="L533" s="5">
        <v>0.01</v>
      </c>
      <c r="M533" s="3">
        <f t="shared" si="151"/>
        <v>10</v>
      </c>
      <c r="N533" s="5">
        <v>0.84</v>
      </c>
      <c r="O533" s="23">
        <f t="shared" si="155"/>
        <v>8.3999999999999993E-4</v>
      </c>
      <c r="P533" s="23">
        <f t="shared" si="156"/>
        <v>1.5119999999999998E-2</v>
      </c>
      <c r="Q533" s="7">
        <f t="shared" si="157"/>
        <v>1.5119999999999998E-5</v>
      </c>
      <c r="R533" s="23">
        <f t="shared" si="158"/>
        <v>5.4431999999999994E-2</v>
      </c>
      <c r="S533" s="5">
        <v>7</v>
      </c>
      <c r="T533" s="5">
        <v>2.4300000000000002</v>
      </c>
      <c r="U533" s="3">
        <f t="shared" si="159"/>
        <v>24300</v>
      </c>
      <c r="V533" s="27">
        <v>-1</v>
      </c>
      <c r="W533" s="8">
        <v>-2.35</v>
      </c>
      <c r="X533" s="5">
        <f t="shared" si="160"/>
        <v>1.35</v>
      </c>
      <c r="Y533" s="23">
        <f t="shared" si="161"/>
        <v>4.0319999999999995E-2</v>
      </c>
      <c r="Z533" s="23">
        <f t="shared" si="152"/>
        <v>979.77599999999984</v>
      </c>
      <c r="AA533" s="11">
        <f t="shared" si="153"/>
        <v>0.62169447269207012</v>
      </c>
      <c r="AB533" s="11">
        <f t="shared" si="154"/>
        <v>15107.175686417304</v>
      </c>
    </row>
    <row r="534" spans="1:28" ht="17.25" customHeight="1" x14ac:dyDescent="0.2">
      <c r="A534" t="s">
        <v>10</v>
      </c>
      <c r="B534" s="20">
        <v>1212</v>
      </c>
      <c r="C534" s="20">
        <v>3</v>
      </c>
      <c r="D534" s="20">
        <v>31</v>
      </c>
      <c r="E534" t="s">
        <v>77</v>
      </c>
      <c r="F534" s="26">
        <v>45166</v>
      </c>
      <c r="G534" t="s">
        <v>78</v>
      </c>
      <c r="H534" s="5">
        <v>13.12</v>
      </c>
      <c r="I534" s="5">
        <v>47.74</v>
      </c>
      <c r="J534" s="5">
        <v>46.5</v>
      </c>
      <c r="K534" s="5">
        <v>8.9</v>
      </c>
      <c r="L534" s="5">
        <v>0.01</v>
      </c>
      <c r="M534" s="3">
        <f t="shared" si="151"/>
        <v>10</v>
      </c>
      <c r="N534" s="5">
        <v>1.03</v>
      </c>
      <c r="O534" s="23">
        <f t="shared" si="155"/>
        <v>1.0300000000000001E-3</v>
      </c>
      <c r="P534" s="23">
        <f t="shared" si="156"/>
        <v>1.8540000000000001E-2</v>
      </c>
      <c r="Q534" s="7">
        <f t="shared" si="157"/>
        <v>1.8540000000000002E-5</v>
      </c>
      <c r="R534" s="23">
        <f t="shared" si="158"/>
        <v>6.6744000000000012E-2</v>
      </c>
      <c r="S534" s="5">
        <v>6.14</v>
      </c>
      <c r="T534" s="5">
        <v>1.8</v>
      </c>
      <c r="U534" s="3">
        <f t="shared" si="159"/>
        <v>18000</v>
      </c>
      <c r="V534" s="27">
        <v>-1</v>
      </c>
      <c r="W534" s="8">
        <v>-2.23</v>
      </c>
      <c r="X534" s="5">
        <f t="shared" si="160"/>
        <v>1.23</v>
      </c>
      <c r="Y534" s="23">
        <f t="shared" si="161"/>
        <v>5.4263414634146349E-2</v>
      </c>
      <c r="Z534" s="23">
        <f t="shared" si="152"/>
        <v>976.74146341463427</v>
      </c>
      <c r="AA534" s="11">
        <f t="shared" si="153"/>
        <v>0.83668811873627935</v>
      </c>
      <c r="AB534" s="11">
        <f t="shared" si="154"/>
        <v>15060.386137253028</v>
      </c>
    </row>
    <row r="535" spans="1:28" ht="17.25" customHeight="1" x14ac:dyDescent="0.2">
      <c r="A535" t="s">
        <v>10</v>
      </c>
      <c r="B535" s="20">
        <v>1212</v>
      </c>
      <c r="C535" s="20">
        <v>4</v>
      </c>
      <c r="D535" s="20">
        <v>32</v>
      </c>
      <c r="E535" t="s">
        <v>77</v>
      </c>
      <c r="F535" s="26">
        <v>45166</v>
      </c>
      <c r="G535" t="s">
        <v>78</v>
      </c>
      <c r="H535" s="5">
        <v>12.19</v>
      </c>
      <c r="I535" s="5">
        <v>48.9</v>
      </c>
      <c r="J535" s="5">
        <v>48.22</v>
      </c>
      <c r="K535" s="5">
        <v>9.86</v>
      </c>
      <c r="L535" s="5">
        <v>0.01</v>
      </c>
      <c r="M535" s="3">
        <f t="shared" si="151"/>
        <v>10</v>
      </c>
      <c r="N535" s="5">
        <v>0.48</v>
      </c>
      <c r="O535" s="23">
        <f t="shared" si="155"/>
        <v>4.7999999999999996E-4</v>
      </c>
      <c r="P535" s="23">
        <f t="shared" si="156"/>
        <v>8.6399999999999984E-3</v>
      </c>
      <c r="Q535" s="7">
        <f t="shared" si="157"/>
        <v>8.6399999999999986E-6</v>
      </c>
      <c r="R535" s="23">
        <f t="shared" si="158"/>
        <v>3.1103999999999996E-2</v>
      </c>
      <c r="S535" s="5">
        <v>6.68</v>
      </c>
      <c r="T535" s="5">
        <v>1.44</v>
      </c>
      <c r="U535" s="3">
        <f t="shared" si="159"/>
        <v>14400</v>
      </c>
      <c r="V535" s="8">
        <v>-0.91</v>
      </c>
      <c r="W535" s="8">
        <v>-2.4900000000000002</v>
      </c>
      <c r="X535" s="5">
        <f t="shared" si="160"/>
        <v>1.58</v>
      </c>
      <c r="Y535" s="23">
        <f t="shared" si="161"/>
        <v>1.9686075949367086E-2</v>
      </c>
      <c r="Z535" s="23">
        <f t="shared" si="152"/>
        <v>283.47949367088603</v>
      </c>
      <c r="AA535" s="11">
        <f t="shared" si="153"/>
        <v>0.30353979679359666</v>
      </c>
      <c r="AB535" s="11">
        <f t="shared" si="154"/>
        <v>4370.9730738277922</v>
      </c>
    </row>
    <row r="536" spans="1:28" ht="17.25" customHeight="1" x14ac:dyDescent="0.2">
      <c r="A536" t="s">
        <v>10</v>
      </c>
      <c r="B536" s="20">
        <v>1212</v>
      </c>
      <c r="C536" s="20">
        <v>4</v>
      </c>
      <c r="D536" s="20">
        <v>33</v>
      </c>
      <c r="E536" t="s">
        <v>77</v>
      </c>
      <c r="F536" s="26">
        <v>45166</v>
      </c>
      <c r="G536" t="s">
        <v>78</v>
      </c>
      <c r="H536" s="5">
        <v>14.08</v>
      </c>
      <c r="I536" s="5">
        <v>46.77</v>
      </c>
      <c r="J536" s="5">
        <v>45.41</v>
      </c>
      <c r="K536" s="5">
        <v>8.31</v>
      </c>
      <c r="L536" s="5">
        <v>0.01</v>
      </c>
      <c r="M536" s="3">
        <f t="shared" si="151"/>
        <v>10</v>
      </c>
      <c r="N536" s="5">
        <v>0.94</v>
      </c>
      <c r="O536" s="23">
        <f t="shared" si="155"/>
        <v>9.3999999999999997E-4</v>
      </c>
      <c r="P536" s="23">
        <f t="shared" si="156"/>
        <v>1.6920000000000001E-2</v>
      </c>
      <c r="Q536" s="7">
        <f t="shared" si="157"/>
        <v>1.6920000000000001E-5</v>
      </c>
      <c r="R536" s="23">
        <f t="shared" si="158"/>
        <v>6.0912000000000001E-2</v>
      </c>
      <c r="S536" s="5">
        <v>14.08</v>
      </c>
      <c r="T536" s="5">
        <v>4.13</v>
      </c>
      <c r="U536" s="3">
        <f t="shared" si="159"/>
        <v>41300</v>
      </c>
      <c r="V536" s="8">
        <v>-0.99</v>
      </c>
      <c r="W536" s="8">
        <v>-2.41</v>
      </c>
      <c r="X536" s="5">
        <f t="shared" si="160"/>
        <v>1.4200000000000002</v>
      </c>
      <c r="Y536" s="23">
        <f t="shared" si="161"/>
        <v>4.2895774647887318E-2</v>
      </c>
      <c r="Z536" s="23">
        <f t="shared" si="152"/>
        <v>1771.5954929577463</v>
      </c>
      <c r="AA536" s="11">
        <f t="shared" si="153"/>
        <v>0.66141036707431</v>
      </c>
      <c r="AB536" s="11">
        <f t="shared" si="154"/>
        <v>27316.248160169001</v>
      </c>
    </row>
    <row r="537" spans="1:28" ht="17.25" customHeight="1" x14ac:dyDescent="0.2">
      <c r="A537" t="s">
        <v>10</v>
      </c>
      <c r="B537" s="20">
        <v>1212</v>
      </c>
      <c r="C537" s="20">
        <v>4</v>
      </c>
      <c r="D537" s="20">
        <v>34</v>
      </c>
      <c r="E537" t="s">
        <v>77</v>
      </c>
      <c r="F537" s="26">
        <v>45166</v>
      </c>
      <c r="G537" t="s">
        <v>78</v>
      </c>
      <c r="H537" s="5">
        <v>13.46</v>
      </c>
      <c r="I537" s="5">
        <v>48.35</v>
      </c>
      <c r="J537" s="5">
        <v>48.41</v>
      </c>
      <c r="K537" s="5">
        <v>9.8699999999999992</v>
      </c>
      <c r="L537" s="5">
        <v>0.01</v>
      </c>
      <c r="M537" s="3">
        <f t="shared" si="151"/>
        <v>10</v>
      </c>
      <c r="N537" s="5">
        <v>0.54</v>
      </c>
      <c r="O537" s="23">
        <f t="shared" si="155"/>
        <v>5.4000000000000001E-4</v>
      </c>
      <c r="P537" s="23">
        <f t="shared" si="156"/>
        <v>9.7199999999999995E-3</v>
      </c>
      <c r="Q537" s="7">
        <f t="shared" si="157"/>
        <v>9.7200000000000001E-6</v>
      </c>
      <c r="R537" s="23">
        <f t="shared" si="158"/>
        <v>3.4992000000000002E-2</v>
      </c>
      <c r="S537" s="5">
        <v>4.71</v>
      </c>
      <c r="T537" s="5">
        <v>1.38</v>
      </c>
      <c r="U537" s="5">
        <f t="shared" si="159"/>
        <v>13799.999999999998</v>
      </c>
      <c r="V537" s="8">
        <v>-0.62</v>
      </c>
      <c r="W537" s="8">
        <v>-2.4500000000000002</v>
      </c>
      <c r="X537" s="5">
        <f t="shared" si="160"/>
        <v>1.83</v>
      </c>
      <c r="Y537" s="23">
        <f t="shared" si="161"/>
        <v>1.9121311475409835E-2</v>
      </c>
      <c r="Z537" s="23">
        <f t="shared" si="152"/>
        <v>263.87409836065569</v>
      </c>
      <c r="AA537" s="11">
        <f t="shared" si="153"/>
        <v>0.29483168786919023</v>
      </c>
      <c r="AB537" s="11">
        <f t="shared" si="154"/>
        <v>4068.6772925948244</v>
      </c>
    </row>
    <row r="538" spans="1:28" ht="17.25" customHeight="1" x14ac:dyDescent="0.2">
      <c r="A538" t="s">
        <v>10</v>
      </c>
      <c r="B538" s="20">
        <v>1212</v>
      </c>
      <c r="C538" s="20">
        <v>7</v>
      </c>
      <c r="D538" s="20">
        <v>36</v>
      </c>
      <c r="E538" t="s">
        <v>77</v>
      </c>
      <c r="F538" s="26">
        <v>45166</v>
      </c>
      <c r="G538" t="s">
        <v>78</v>
      </c>
      <c r="H538" s="5">
        <v>12.7</v>
      </c>
      <c r="I538" s="3">
        <v>48</v>
      </c>
      <c r="J538" s="5">
        <v>47.98</v>
      </c>
      <c r="K538" s="5">
        <v>9.74</v>
      </c>
      <c r="L538" s="5">
        <v>0.02</v>
      </c>
      <c r="M538" s="3">
        <f t="shared" si="151"/>
        <v>20</v>
      </c>
      <c r="N538" s="5">
        <v>1.52</v>
      </c>
      <c r="O538" s="23">
        <f t="shared" si="155"/>
        <v>1.5200000000000001E-3</v>
      </c>
      <c r="P538" s="23">
        <f t="shared" si="156"/>
        <v>2.7360000000000002E-2</v>
      </c>
      <c r="Q538" s="7">
        <f t="shared" si="157"/>
        <v>2.7360000000000002E-5</v>
      </c>
      <c r="R538" s="23">
        <f t="shared" si="158"/>
        <v>9.8496000000000014E-2</v>
      </c>
      <c r="S538" s="5">
        <v>6.11</v>
      </c>
      <c r="T538" s="5">
        <v>0.97</v>
      </c>
      <c r="U538" s="3">
        <f t="shared" si="159"/>
        <v>9700</v>
      </c>
      <c r="V538" s="8">
        <v>-0.67</v>
      </c>
      <c r="W538" s="8">
        <v>-2.04</v>
      </c>
      <c r="X538" s="5">
        <f t="shared" si="160"/>
        <v>1.37</v>
      </c>
      <c r="Y538" s="23">
        <f t="shared" si="161"/>
        <v>7.1894890510948911E-2</v>
      </c>
      <c r="Z538" s="23">
        <f t="shared" si="152"/>
        <v>697.38043795620445</v>
      </c>
      <c r="AA538" s="11">
        <f t="shared" si="153"/>
        <v>1.1085480170004591</v>
      </c>
      <c r="AB538" s="11">
        <f t="shared" si="154"/>
        <v>10752.915764904454</v>
      </c>
    </row>
    <row r="539" spans="1:28" ht="17.25" customHeight="1" x14ac:dyDescent="0.2">
      <c r="A539" t="s">
        <v>10</v>
      </c>
      <c r="B539" s="20">
        <v>1212</v>
      </c>
      <c r="C539" s="20">
        <v>7</v>
      </c>
      <c r="D539" s="20">
        <v>37</v>
      </c>
      <c r="E539" t="s">
        <v>77</v>
      </c>
      <c r="F539" s="26">
        <v>45166</v>
      </c>
      <c r="G539" t="s">
        <v>78</v>
      </c>
      <c r="H539" s="5">
        <v>12.78</v>
      </c>
      <c r="I539" s="5">
        <v>48.45</v>
      </c>
      <c r="J539" s="5">
        <v>47.76</v>
      </c>
      <c r="K539" s="5">
        <v>9.58</v>
      </c>
      <c r="L539" s="5">
        <v>0.01</v>
      </c>
      <c r="M539" s="3">
        <f t="shared" si="151"/>
        <v>10</v>
      </c>
      <c r="N539" s="5">
        <v>1.1399999999999999</v>
      </c>
      <c r="O539" s="23">
        <f t="shared" si="155"/>
        <v>1.14E-3</v>
      </c>
      <c r="P539" s="23">
        <f t="shared" si="156"/>
        <v>2.052E-2</v>
      </c>
      <c r="Q539" s="7">
        <f t="shared" si="157"/>
        <v>2.052E-5</v>
      </c>
      <c r="R539" s="23">
        <f t="shared" si="158"/>
        <v>7.3871999999999993E-2</v>
      </c>
      <c r="S539" s="5">
        <v>3.68</v>
      </c>
      <c r="T539" s="5">
        <v>0.9</v>
      </c>
      <c r="U539" s="3">
        <f t="shared" si="159"/>
        <v>9000</v>
      </c>
      <c r="V539" s="8">
        <v>-0.67</v>
      </c>
      <c r="W539" s="8">
        <v>-2.06</v>
      </c>
      <c r="X539" s="5">
        <f t="shared" si="160"/>
        <v>1.3900000000000001</v>
      </c>
      <c r="Y539" s="23">
        <f t="shared" si="161"/>
        <v>5.3145323741007187E-2</v>
      </c>
      <c r="Z539" s="23">
        <f t="shared" si="152"/>
        <v>478.3079136690647</v>
      </c>
      <c r="AA539" s="11">
        <f t="shared" si="153"/>
        <v>0.81944826436544704</v>
      </c>
      <c r="AB539" s="11">
        <f t="shared" si="154"/>
        <v>7375.0343792890235</v>
      </c>
    </row>
    <row r="540" spans="1:28" ht="17.25" customHeight="1" x14ac:dyDescent="0.2">
      <c r="A540" t="s">
        <v>10</v>
      </c>
      <c r="B540" s="20">
        <v>1212</v>
      </c>
      <c r="C540" s="20">
        <v>7</v>
      </c>
      <c r="D540" s="20">
        <v>83</v>
      </c>
      <c r="E540" t="s">
        <v>77</v>
      </c>
      <c r="F540" s="26">
        <v>45166</v>
      </c>
      <c r="G540" t="s">
        <v>78</v>
      </c>
      <c r="H540" s="5">
        <v>11.93</v>
      </c>
      <c r="I540" s="5">
        <v>49.26</v>
      </c>
      <c r="J540" s="5">
        <v>48.89</v>
      </c>
      <c r="K540" s="5">
        <v>10.26</v>
      </c>
      <c r="L540" s="5">
        <v>0.01</v>
      </c>
      <c r="M540" s="3">
        <f t="shared" si="151"/>
        <v>10</v>
      </c>
      <c r="N540" s="5">
        <v>0.93</v>
      </c>
      <c r="O540" s="23">
        <f t="shared" si="155"/>
        <v>9.3000000000000005E-4</v>
      </c>
      <c r="P540" s="23">
        <f t="shared" si="156"/>
        <v>1.6740000000000001E-2</v>
      </c>
      <c r="Q540" s="7">
        <f t="shared" si="157"/>
        <v>1.6740000000000002E-5</v>
      </c>
      <c r="R540" s="23">
        <f t="shared" si="158"/>
        <v>6.0264000000000005E-2</v>
      </c>
      <c r="S540" s="5">
        <v>7.91</v>
      </c>
      <c r="T540" s="5">
        <v>2.14</v>
      </c>
      <c r="U540" s="3">
        <f t="shared" si="159"/>
        <v>21400</v>
      </c>
      <c r="V540" s="8">
        <v>-0.54</v>
      </c>
      <c r="W540" s="8">
        <v>-2.16</v>
      </c>
      <c r="X540" s="5">
        <f t="shared" si="160"/>
        <v>1.62</v>
      </c>
      <c r="Y540" s="23">
        <f t="shared" si="161"/>
        <v>3.7200000000000004E-2</v>
      </c>
      <c r="Z540" s="23">
        <f t="shared" si="152"/>
        <v>796.08</v>
      </c>
      <c r="AA540" s="11">
        <f t="shared" si="153"/>
        <v>0.57358716230518392</v>
      </c>
      <c r="AB540" s="11">
        <f t="shared" si="154"/>
        <v>12274.765273330935</v>
      </c>
    </row>
    <row r="541" spans="1:28" ht="17.25" customHeight="1" x14ac:dyDescent="0.2">
      <c r="A541" t="s">
        <v>10</v>
      </c>
      <c r="B541" s="20">
        <v>1212</v>
      </c>
      <c r="C541" s="20">
        <v>8</v>
      </c>
      <c r="D541" s="20">
        <v>38</v>
      </c>
      <c r="E541" t="s">
        <v>77</v>
      </c>
      <c r="F541" s="26">
        <v>45166</v>
      </c>
      <c r="G541" t="s">
        <v>78</v>
      </c>
      <c r="H541" s="5">
        <v>12.77</v>
      </c>
      <c r="I541" s="5">
        <v>49.07</v>
      </c>
      <c r="J541" s="5">
        <v>49.78</v>
      </c>
      <c r="K541" s="5">
        <v>10.7</v>
      </c>
      <c r="L541" s="3">
        <v>0</v>
      </c>
      <c r="M541" s="3">
        <f t="shared" si="151"/>
        <v>0</v>
      </c>
      <c r="N541" s="5">
        <v>0.49</v>
      </c>
      <c r="O541" s="23">
        <f t="shared" si="155"/>
        <v>4.8999999999999998E-4</v>
      </c>
      <c r="P541" s="23">
        <f t="shared" si="156"/>
        <v>8.8199999999999997E-3</v>
      </c>
      <c r="Q541" s="7">
        <f t="shared" si="157"/>
        <v>8.8200000000000003E-6</v>
      </c>
      <c r="R541" s="23">
        <f t="shared" si="158"/>
        <v>3.1752000000000002E-2</v>
      </c>
      <c r="S541" s="5">
        <v>13.38</v>
      </c>
      <c r="T541" s="5">
        <v>3.28</v>
      </c>
      <c r="U541" s="3">
        <f t="shared" si="159"/>
        <v>32800</v>
      </c>
      <c r="V541" s="8">
        <v>-0.88</v>
      </c>
      <c r="W541" s="8">
        <v>-2.08</v>
      </c>
      <c r="X541" s="5">
        <f t="shared" si="160"/>
        <v>1.2000000000000002</v>
      </c>
      <c r="Y541" s="23">
        <f t="shared" si="161"/>
        <v>2.6459999999999997E-2</v>
      </c>
      <c r="Z541" s="23">
        <f t="shared" si="152"/>
        <v>867.88799999999992</v>
      </c>
      <c r="AA541" s="11">
        <f t="shared" si="153"/>
        <v>0.40798699770417107</v>
      </c>
      <c r="AB541" s="11">
        <f t="shared" si="154"/>
        <v>13381.973524696812</v>
      </c>
    </row>
    <row r="542" spans="1:28" ht="17.25" customHeight="1" x14ac:dyDescent="0.2">
      <c r="A542" t="s">
        <v>10</v>
      </c>
      <c r="B542" s="20">
        <v>1212</v>
      </c>
      <c r="C542" s="20">
        <v>8</v>
      </c>
      <c r="D542" s="20">
        <v>39</v>
      </c>
      <c r="E542" t="s">
        <v>77</v>
      </c>
      <c r="F542" s="26">
        <v>45166</v>
      </c>
      <c r="G542" t="s">
        <v>78</v>
      </c>
      <c r="H542" s="5">
        <v>14.15</v>
      </c>
      <c r="I542" s="5">
        <v>46.48</v>
      </c>
      <c r="J542" s="5">
        <v>45.46</v>
      </c>
      <c r="K542" s="5">
        <v>8.35</v>
      </c>
      <c r="L542" s="5">
        <v>0.02</v>
      </c>
      <c r="M542" s="3">
        <f t="shared" si="151"/>
        <v>20</v>
      </c>
      <c r="N542" s="5">
        <v>1.24</v>
      </c>
      <c r="O542" s="23">
        <f t="shared" si="155"/>
        <v>1.24E-3</v>
      </c>
      <c r="P542" s="23">
        <f t="shared" si="156"/>
        <v>2.232E-2</v>
      </c>
      <c r="Q542" s="7">
        <f t="shared" si="157"/>
        <v>2.232E-5</v>
      </c>
      <c r="R542" s="23">
        <f t="shared" si="158"/>
        <v>8.0351999999999993E-2</v>
      </c>
      <c r="S542" s="5">
        <v>3.71</v>
      </c>
      <c r="T542" s="5">
        <v>1.36</v>
      </c>
      <c r="U542" s="5">
        <f t="shared" si="159"/>
        <v>13600.000000000002</v>
      </c>
      <c r="V542" s="8">
        <v>-0.56999999999999995</v>
      </c>
      <c r="W542" s="8">
        <v>-2.93</v>
      </c>
      <c r="X542" s="5">
        <f t="shared" si="160"/>
        <v>2.3600000000000003</v>
      </c>
      <c r="Y542" s="23">
        <f t="shared" si="161"/>
        <v>3.4047457627118638E-2</v>
      </c>
      <c r="Z542" s="23">
        <f t="shared" si="152"/>
        <v>463.04542372881355</v>
      </c>
      <c r="AA542" s="11">
        <f t="shared" si="153"/>
        <v>0.52497808075389707</v>
      </c>
      <c r="AB542" s="11">
        <f t="shared" si="154"/>
        <v>7139.7018982530008</v>
      </c>
    </row>
    <row r="543" spans="1:28" ht="17.25" customHeight="1" x14ac:dyDescent="0.2">
      <c r="A543" t="s">
        <v>10</v>
      </c>
      <c r="B543" s="20">
        <v>1212</v>
      </c>
      <c r="C543" s="20">
        <v>8</v>
      </c>
      <c r="D543" s="20">
        <v>40</v>
      </c>
      <c r="E543" t="s">
        <v>77</v>
      </c>
      <c r="F543" s="26">
        <v>45166</v>
      </c>
      <c r="G543" t="s">
        <v>78</v>
      </c>
      <c r="H543" s="5">
        <v>13.34</v>
      </c>
      <c r="I543" s="5">
        <v>47.83</v>
      </c>
      <c r="J543" s="5">
        <v>46.08</v>
      </c>
      <c r="K543" s="5">
        <v>8.66</v>
      </c>
      <c r="L543" s="5">
        <v>0.01</v>
      </c>
      <c r="M543" s="3">
        <f t="shared" si="151"/>
        <v>10</v>
      </c>
      <c r="N543" s="5">
        <v>0.76</v>
      </c>
      <c r="O543" s="23">
        <f t="shared" si="155"/>
        <v>7.6000000000000004E-4</v>
      </c>
      <c r="P543" s="23">
        <f t="shared" si="156"/>
        <v>1.3680000000000001E-2</v>
      </c>
      <c r="Q543" s="7">
        <f t="shared" si="157"/>
        <v>1.3680000000000001E-5</v>
      </c>
      <c r="R543" s="23">
        <f t="shared" si="158"/>
        <v>4.9248000000000007E-2</v>
      </c>
      <c r="S543" s="5">
        <v>4.62</v>
      </c>
      <c r="T543" s="5">
        <v>1.66</v>
      </c>
      <c r="U543" s="3">
        <f t="shared" si="159"/>
        <v>16600</v>
      </c>
      <c r="V543" s="8">
        <v>-0.73</v>
      </c>
      <c r="W543" s="8">
        <v>-2.4300000000000002</v>
      </c>
      <c r="X543" s="5">
        <f t="shared" si="160"/>
        <v>1.7000000000000002</v>
      </c>
      <c r="Y543" s="23">
        <f t="shared" si="161"/>
        <v>2.8969411764705882E-2</v>
      </c>
      <c r="Z543" s="23">
        <f t="shared" si="152"/>
        <v>480.89223529411765</v>
      </c>
      <c r="AA543" s="11">
        <f t="shared" si="153"/>
        <v>0.44667964214430256</v>
      </c>
      <c r="AB543" s="11">
        <f t="shared" si="154"/>
        <v>7414.8820595954221</v>
      </c>
    </row>
    <row r="544" spans="1:28" ht="17.25" customHeight="1" x14ac:dyDescent="0.2">
      <c r="A544" t="s">
        <v>10</v>
      </c>
      <c r="B544" s="20">
        <v>1212</v>
      </c>
      <c r="C544" s="20">
        <v>10</v>
      </c>
      <c r="D544" s="20">
        <v>21</v>
      </c>
      <c r="E544" t="s">
        <v>77</v>
      </c>
      <c r="F544" s="26">
        <v>45166</v>
      </c>
      <c r="G544" t="s">
        <v>78</v>
      </c>
      <c r="H544" s="5">
        <v>13.01</v>
      </c>
      <c r="I544" s="5">
        <v>48.36</v>
      </c>
      <c r="J544" s="5">
        <v>46.59</v>
      </c>
      <c r="K544" s="5">
        <v>8.92</v>
      </c>
      <c r="L544" s="5">
        <v>0.01</v>
      </c>
      <c r="M544" s="3">
        <f t="shared" si="151"/>
        <v>10</v>
      </c>
      <c r="N544" s="5">
        <v>1.05</v>
      </c>
      <c r="O544" s="23">
        <f t="shared" si="155"/>
        <v>1.0500000000000002E-3</v>
      </c>
      <c r="P544" s="23">
        <f t="shared" si="156"/>
        <v>1.8900000000000004E-2</v>
      </c>
      <c r="Q544" s="7">
        <f t="shared" si="157"/>
        <v>1.8900000000000002E-5</v>
      </c>
      <c r="R544" s="23">
        <f t="shared" si="158"/>
        <v>6.8040000000000003E-2</v>
      </c>
      <c r="S544" s="5">
        <v>4.78</v>
      </c>
      <c r="T544" s="5">
        <v>1.38</v>
      </c>
      <c r="U544" s="5">
        <f t="shared" si="159"/>
        <v>13799.999999999998</v>
      </c>
      <c r="V544" s="8">
        <v>-0.83</v>
      </c>
      <c r="W544" s="8">
        <v>-2.0699999999999998</v>
      </c>
      <c r="X544" s="5">
        <f t="shared" si="160"/>
        <v>1.2399999999999998</v>
      </c>
      <c r="Y544" s="23">
        <f t="shared" si="161"/>
        <v>5.4870967741935499E-2</v>
      </c>
      <c r="Z544" s="23">
        <f t="shared" si="152"/>
        <v>757.21935483870982</v>
      </c>
      <c r="AA544" s="11">
        <f t="shared" si="153"/>
        <v>0.846055986022475</v>
      </c>
      <c r="AB544" s="11">
        <f t="shared" si="154"/>
        <v>11675.572607110154</v>
      </c>
    </row>
    <row r="545" spans="1:28" ht="17.25" customHeight="1" x14ac:dyDescent="0.2">
      <c r="A545" t="s">
        <v>10</v>
      </c>
      <c r="B545" s="20">
        <v>1212</v>
      </c>
      <c r="C545" s="20">
        <v>10</v>
      </c>
      <c r="D545" s="20">
        <v>41</v>
      </c>
      <c r="E545" t="s">
        <v>77</v>
      </c>
      <c r="F545" s="26">
        <v>45166</v>
      </c>
      <c r="G545" t="s">
        <v>78</v>
      </c>
      <c r="H545" s="5">
        <v>13.4</v>
      </c>
      <c r="I545" s="5">
        <v>46.54</v>
      </c>
      <c r="J545" s="5">
        <v>45.72</v>
      </c>
      <c r="K545" s="5">
        <v>8.5500000000000007</v>
      </c>
      <c r="L545" s="5">
        <v>0.01</v>
      </c>
      <c r="M545" s="3">
        <f t="shared" si="151"/>
        <v>10</v>
      </c>
      <c r="N545" s="5">
        <v>1.02</v>
      </c>
      <c r="O545" s="23">
        <f t="shared" si="155"/>
        <v>1.0200000000000001E-3</v>
      </c>
      <c r="P545" s="23">
        <f t="shared" si="156"/>
        <v>1.8360000000000001E-2</v>
      </c>
      <c r="Q545" s="7">
        <f t="shared" si="157"/>
        <v>1.836E-5</v>
      </c>
      <c r="R545" s="23">
        <f t="shared" si="158"/>
        <v>6.6096000000000002E-2</v>
      </c>
      <c r="S545" s="5">
        <v>15.53</v>
      </c>
      <c r="T545" s="5">
        <v>3.35</v>
      </c>
      <c r="U545" s="3">
        <f t="shared" si="159"/>
        <v>33500</v>
      </c>
      <c r="V545" s="8">
        <v>-0.97</v>
      </c>
      <c r="W545" s="8">
        <v>-2.4</v>
      </c>
      <c r="X545" s="5">
        <f t="shared" si="160"/>
        <v>1.43</v>
      </c>
      <c r="Y545" s="23">
        <f t="shared" si="161"/>
        <v>4.6220979020979026E-2</v>
      </c>
      <c r="Z545" s="23">
        <f t="shared" si="152"/>
        <v>1548.4027972027973</v>
      </c>
      <c r="AA545" s="11">
        <f t="shared" si="153"/>
        <v>0.71268172568846222</v>
      </c>
      <c r="AB545" s="11">
        <f t="shared" si="154"/>
        <v>23874.837810563484</v>
      </c>
    </row>
    <row r="546" spans="1:28" ht="17.25" customHeight="1" x14ac:dyDescent="0.2">
      <c r="A546" t="s">
        <v>10</v>
      </c>
      <c r="B546" s="20">
        <v>1212</v>
      </c>
      <c r="C546" s="20">
        <v>10</v>
      </c>
      <c r="D546" s="20">
        <v>42</v>
      </c>
      <c r="E546" t="s">
        <v>77</v>
      </c>
      <c r="F546" s="26">
        <v>45166</v>
      </c>
      <c r="G546" t="s">
        <v>78</v>
      </c>
      <c r="H546" s="5">
        <v>13.75</v>
      </c>
      <c r="I546" s="5">
        <v>46.74</v>
      </c>
      <c r="J546" s="5">
        <v>43.44</v>
      </c>
      <c r="K546" s="5">
        <v>7.4</v>
      </c>
      <c r="L546" s="5">
        <v>0.06</v>
      </c>
      <c r="M546" s="3">
        <f t="shared" si="151"/>
        <v>60</v>
      </c>
      <c r="N546" s="5">
        <v>3.88</v>
      </c>
      <c r="O546" s="23">
        <f t="shared" si="155"/>
        <v>3.8799999999999998E-3</v>
      </c>
      <c r="P546" s="23">
        <f t="shared" si="156"/>
        <v>6.9839999999999999E-2</v>
      </c>
      <c r="Q546" s="7">
        <f t="shared" si="157"/>
        <v>6.9839999999999995E-5</v>
      </c>
      <c r="R546" s="23">
        <f t="shared" si="158"/>
        <v>0.25142399999999998</v>
      </c>
      <c r="S546" s="5">
        <v>14.52</v>
      </c>
      <c r="T546" s="5">
        <v>3.06</v>
      </c>
      <c r="U546" s="3">
        <f t="shared" si="159"/>
        <v>30600</v>
      </c>
      <c r="V546" s="8">
        <v>-1.54</v>
      </c>
      <c r="W546" s="8">
        <v>-1.86</v>
      </c>
      <c r="X546" s="5">
        <f t="shared" si="160"/>
        <v>0.32000000000000006</v>
      </c>
      <c r="Y546" s="23">
        <f t="shared" si="161"/>
        <v>0.78569999999999984</v>
      </c>
      <c r="Z546" s="23">
        <f t="shared" si="152"/>
        <v>24042.419999999995</v>
      </c>
      <c r="AA546" s="11">
        <f t="shared" si="153"/>
        <v>12.114715952236098</v>
      </c>
      <c r="AB546" s="11">
        <f t="shared" si="154"/>
        <v>370710.30813842459</v>
      </c>
    </row>
    <row r="547" spans="1:28" ht="17.25" customHeight="1" x14ac:dyDescent="0.2">
      <c r="F547" s="26"/>
      <c r="M547" s="3">
        <f t="shared" si="151"/>
        <v>0</v>
      </c>
      <c r="O547" s="23"/>
      <c r="P547" s="23"/>
      <c r="Q547" s="7"/>
      <c r="R547" s="23"/>
      <c r="W547" s="8"/>
      <c r="Y547" s="23"/>
      <c r="Z547" s="23">
        <f t="shared" si="152"/>
        <v>0</v>
      </c>
      <c r="AA547" s="20">
        <f t="shared" si="153"/>
        <v>0</v>
      </c>
      <c r="AB547" s="20">
        <f t="shared" si="154"/>
        <v>0</v>
      </c>
    </row>
    <row r="548" spans="1:28" ht="17.25" customHeight="1" x14ac:dyDescent="0.2">
      <c r="A548" t="s">
        <v>7</v>
      </c>
      <c r="B548" s="20">
        <v>72</v>
      </c>
      <c r="C548" s="20">
        <v>156</v>
      </c>
      <c r="D548" s="20">
        <v>43</v>
      </c>
      <c r="E548" t="s">
        <v>75</v>
      </c>
      <c r="F548" s="26">
        <v>45175</v>
      </c>
      <c r="G548" t="s">
        <v>79</v>
      </c>
      <c r="H548" s="5">
        <v>25.38</v>
      </c>
      <c r="I548" s="5">
        <v>30.53</v>
      </c>
      <c r="J548" s="5">
        <v>27.15</v>
      </c>
      <c r="K548" s="5">
        <v>2.4900000000000002</v>
      </c>
      <c r="L548" s="5">
        <v>0.18</v>
      </c>
      <c r="M548" s="3">
        <f t="shared" si="151"/>
        <v>180</v>
      </c>
      <c r="N548" s="5">
        <v>4.1900000000000004</v>
      </c>
      <c r="O548" s="23">
        <f t="shared" ref="O548:O579" si="162">N548/1000</f>
        <v>4.1900000000000001E-3</v>
      </c>
      <c r="P548" s="23">
        <f t="shared" ref="P548:P579" si="163">O548*18</f>
        <v>7.5420000000000001E-2</v>
      </c>
      <c r="Q548" s="7">
        <f t="shared" ref="Q548:Q579" si="164">P548/1000</f>
        <v>7.5420000000000006E-5</v>
      </c>
      <c r="R548" s="23">
        <f t="shared" ref="R548:R579" si="165">Q548*3600</f>
        <v>0.27151200000000003</v>
      </c>
      <c r="S548" s="5">
        <v>17.37</v>
      </c>
      <c r="T548" s="5">
        <v>2.1</v>
      </c>
      <c r="U548" s="3">
        <f t="shared" ref="U548:U579" si="166">T548*10000</f>
        <v>21000</v>
      </c>
      <c r="V548" s="8">
        <v>-0.69</v>
      </c>
      <c r="W548" s="8">
        <v>-2.5099999999999998</v>
      </c>
      <c r="X548" s="5">
        <f t="shared" ref="X548:X579" si="167">V548-W548</f>
        <v>1.8199999999999998</v>
      </c>
      <c r="Y548" s="23">
        <f t="shared" ref="Y548:Y579" si="168">R548/X548</f>
        <v>0.14918241758241763</v>
      </c>
      <c r="Z548" s="23">
        <f t="shared" si="152"/>
        <v>3132.8307692307703</v>
      </c>
      <c r="AA548" s="11">
        <f t="shared" si="153"/>
        <v>2.3002451496485454</v>
      </c>
      <c r="AB548" s="11">
        <f t="shared" si="154"/>
        <v>48305.148142619451</v>
      </c>
    </row>
    <row r="549" spans="1:28" ht="17.25" customHeight="1" x14ac:dyDescent="0.2">
      <c r="A549" t="s">
        <v>7</v>
      </c>
      <c r="B549" s="20">
        <v>72</v>
      </c>
      <c r="C549" s="20">
        <v>156</v>
      </c>
      <c r="D549" s="20">
        <v>44</v>
      </c>
      <c r="E549" t="s">
        <v>75</v>
      </c>
      <c r="F549" s="26">
        <v>45176</v>
      </c>
      <c r="G549" t="s">
        <v>79</v>
      </c>
      <c r="H549" s="5">
        <v>17.64</v>
      </c>
      <c r="I549" s="5">
        <v>35.61</v>
      </c>
      <c r="J549" s="5">
        <v>33.21</v>
      </c>
      <c r="K549" s="5">
        <v>4.08</v>
      </c>
      <c r="L549" s="5">
        <v>0.11</v>
      </c>
      <c r="M549" s="3">
        <f t="shared" si="151"/>
        <v>110</v>
      </c>
      <c r="N549" s="5">
        <v>4.3</v>
      </c>
      <c r="O549" s="23">
        <f t="shared" si="162"/>
        <v>4.3E-3</v>
      </c>
      <c r="P549" s="23">
        <f t="shared" si="163"/>
        <v>7.7399999999999997E-2</v>
      </c>
      <c r="Q549" s="7">
        <f t="shared" si="164"/>
        <v>7.7399999999999998E-5</v>
      </c>
      <c r="R549" s="23">
        <f t="shared" si="165"/>
        <v>0.27864</v>
      </c>
      <c r="S549" s="5">
        <v>12.19</v>
      </c>
      <c r="T549" s="5">
        <v>2.64</v>
      </c>
      <c r="U549" s="3">
        <f t="shared" si="166"/>
        <v>26400</v>
      </c>
      <c r="V549" s="8">
        <v>-0.28999999999999998</v>
      </c>
      <c r="W549" s="8">
        <v>-2.0099999999999998</v>
      </c>
      <c r="X549" s="5">
        <f t="shared" si="167"/>
        <v>1.7199999999999998</v>
      </c>
      <c r="Y549" s="23">
        <f t="shared" si="168"/>
        <v>0.16200000000000003</v>
      </c>
      <c r="Z549" s="23">
        <f t="shared" si="152"/>
        <v>4276.8000000000011</v>
      </c>
      <c r="AA549" s="11">
        <f t="shared" si="153"/>
        <v>2.49787957778064</v>
      </c>
      <c r="AB549" s="11">
        <f t="shared" si="154"/>
        <v>65944.020853408889</v>
      </c>
    </row>
    <row r="550" spans="1:28" ht="17.25" customHeight="1" x14ac:dyDescent="0.2">
      <c r="A550" t="s">
        <v>7</v>
      </c>
      <c r="B550" s="20">
        <v>72</v>
      </c>
      <c r="C550" s="20">
        <v>156</v>
      </c>
      <c r="D550" s="20">
        <v>45</v>
      </c>
      <c r="E550" t="s">
        <v>75</v>
      </c>
      <c r="F550" s="26">
        <v>45175</v>
      </c>
      <c r="G550" t="s">
        <v>79</v>
      </c>
      <c r="H550" s="5">
        <v>22.27</v>
      </c>
      <c r="I550" s="5">
        <v>31.61</v>
      </c>
      <c r="J550" s="5">
        <v>30.21</v>
      </c>
      <c r="K550" s="5">
        <v>3.26</v>
      </c>
      <c r="L550" s="5">
        <v>0.09</v>
      </c>
      <c r="M550" s="3">
        <f t="shared" si="151"/>
        <v>90</v>
      </c>
      <c r="N550" s="5">
        <v>2.65</v>
      </c>
      <c r="O550" s="23">
        <f t="shared" si="162"/>
        <v>2.65E-3</v>
      </c>
      <c r="P550" s="23">
        <f t="shared" si="163"/>
        <v>4.7699999999999999E-2</v>
      </c>
      <c r="Q550" s="7">
        <f t="shared" si="164"/>
        <v>4.7700000000000001E-5</v>
      </c>
      <c r="R550" s="23">
        <f t="shared" si="165"/>
        <v>0.17172000000000001</v>
      </c>
      <c r="S550" s="5">
        <v>9.84</v>
      </c>
      <c r="T550" s="5">
        <v>1.55</v>
      </c>
      <c r="U550" s="3">
        <f t="shared" si="166"/>
        <v>15500</v>
      </c>
      <c r="V550" s="8">
        <v>-0.34</v>
      </c>
      <c r="W550" s="8">
        <v>-1.78</v>
      </c>
      <c r="X550" s="5">
        <f t="shared" si="167"/>
        <v>1.44</v>
      </c>
      <c r="Y550" s="23">
        <f t="shared" si="168"/>
        <v>0.11925000000000001</v>
      </c>
      <c r="Z550" s="23">
        <f t="shared" si="152"/>
        <v>1848.3750000000002</v>
      </c>
      <c r="AA550" s="11">
        <f t="shared" si="153"/>
        <v>1.8387169114218598</v>
      </c>
      <c r="AB550" s="11">
        <f t="shared" si="154"/>
        <v>28500.112127038825</v>
      </c>
    </row>
    <row r="551" spans="1:28" ht="17.25" customHeight="1" x14ac:dyDescent="0.2">
      <c r="A551" t="s">
        <v>7</v>
      </c>
      <c r="B551" s="20">
        <v>72</v>
      </c>
      <c r="C551" s="20">
        <v>149</v>
      </c>
      <c r="D551" s="20">
        <v>46</v>
      </c>
      <c r="E551" t="s">
        <v>75</v>
      </c>
      <c r="F551" s="26">
        <v>45175</v>
      </c>
      <c r="G551" t="s">
        <v>79</v>
      </c>
      <c r="H551" s="5">
        <v>23.5</v>
      </c>
      <c r="I551" s="5">
        <v>30.84</v>
      </c>
      <c r="J551" s="5">
        <v>28.32</v>
      </c>
      <c r="K551" s="5">
        <v>2.81</v>
      </c>
      <c r="L551" s="5">
        <v>0.12</v>
      </c>
      <c r="M551" s="3">
        <f t="shared" si="151"/>
        <v>120</v>
      </c>
      <c r="N551" s="5">
        <v>3.12</v>
      </c>
      <c r="O551" s="23">
        <f t="shared" si="162"/>
        <v>3.1199999999999999E-3</v>
      </c>
      <c r="P551" s="23">
        <f t="shared" si="163"/>
        <v>5.6160000000000002E-2</v>
      </c>
      <c r="Q551" s="7">
        <f t="shared" si="164"/>
        <v>5.6160000000000004E-5</v>
      </c>
      <c r="R551" s="23">
        <f t="shared" si="165"/>
        <v>0.20217600000000002</v>
      </c>
      <c r="S551" s="5">
        <v>11.24</v>
      </c>
      <c r="T551" s="5">
        <v>1.25</v>
      </c>
      <c r="U551" s="3">
        <f t="shared" si="166"/>
        <v>12500</v>
      </c>
      <c r="V551" s="8">
        <v>-0.44</v>
      </c>
      <c r="W551" s="8">
        <v>-1.92</v>
      </c>
      <c r="X551" s="5">
        <f t="shared" si="167"/>
        <v>1.48</v>
      </c>
      <c r="Y551" s="23">
        <f t="shared" si="168"/>
        <v>0.13660540540540542</v>
      </c>
      <c r="Z551" s="23">
        <f t="shared" si="152"/>
        <v>1707.5675675675677</v>
      </c>
      <c r="AA551" s="11">
        <f t="shared" si="153"/>
        <v>2.1063200763988097</v>
      </c>
      <c r="AB551" s="11">
        <f t="shared" si="154"/>
        <v>26329.00095498512</v>
      </c>
    </row>
    <row r="552" spans="1:28" ht="17.25" customHeight="1" x14ac:dyDescent="0.2">
      <c r="A552" t="s">
        <v>7</v>
      </c>
      <c r="B552" s="20">
        <v>72</v>
      </c>
      <c r="C552" s="20">
        <v>149</v>
      </c>
      <c r="D552" s="20">
        <v>47</v>
      </c>
      <c r="E552" t="s">
        <v>75</v>
      </c>
      <c r="F552" s="26">
        <v>45176</v>
      </c>
      <c r="G552" t="s">
        <v>79</v>
      </c>
      <c r="H552" s="5">
        <v>22.63</v>
      </c>
      <c r="I552" s="5">
        <v>31.13</v>
      </c>
      <c r="J552" s="5">
        <v>29.81</v>
      </c>
      <c r="K552" s="5">
        <v>3.17</v>
      </c>
      <c r="L552" s="5">
        <v>0.17</v>
      </c>
      <c r="M552" s="3">
        <f t="shared" si="151"/>
        <v>170</v>
      </c>
      <c r="N552" s="5">
        <v>5.17</v>
      </c>
      <c r="O552" s="23">
        <f t="shared" si="162"/>
        <v>5.1700000000000001E-3</v>
      </c>
      <c r="P552" s="23">
        <f t="shared" si="163"/>
        <v>9.3060000000000004E-2</v>
      </c>
      <c r="Q552" s="7">
        <f t="shared" si="164"/>
        <v>9.3060000000000007E-5</v>
      </c>
      <c r="R552" s="23">
        <f t="shared" si="165"/>
        <v>0.33501600000000004</v>
      </c>
      <c r="S552" s="5">
        <v>20.43</v>
      </c>
      <c r="T552" s="5">
        <v>2.5299999999999998</v>
      </c>
      <c r="U552" s="5">
        <f t="shared" si="166"/>
        <v>25299.999999999996</v>
      </c>
      <c r="V552" s="8">
        <v>-0.28000000000000003</v>
      </c>
      <c r="W552" s="8">
        <v>-2.39</v>
      </c>
      <c r="X552" s="5">
        <f t="shared" si="167"/>
        <v>2.1100000000000003</v>
      </c>
      <c r="Y552" s="23">
        <f t="shared" si="168"/>
        <v>0.15877535545023697</v>
      </c>
      <c r="Z552" s="23">
        <f t="shared" si="152"/>
        <v>4017.0164928909949</v>
      </c>
      <c r="AA552" s="11">
        <f t="shared" si="153"/>
        <v>2.4481587520617833</v>
      </c>
      <c r="AB552" s="11">
        <f t="shared" si="154"/>
        <v>61938.416427163109</v>
      </c>
    </row>
    <row r="553" spans="1:28" ht="17.25" customHeight="1" x14ac:dyDescent="0.2">
      <c r="A553" t="s">
        <v>7</v>
      </c>
      <c r="B553" s="20">
        <v>72</v>
      </c>
      <c r="C553" s="20">
        <v>149</v>
      </c>
      <c r="D553" s="20">
        <v>48</v>
      </c>
      <c r="E553" t="s">
        <v>75</v>
      </c>
      <c r="F553" s="26">
        <v>45176</v>
      </c>
      <c r="G553" t="s">
        <v>79</v>
      </c>
      <c r="H553" s="5">
        <v>19.47</v>
      </c>
      <c r="I553" s="5">
        <v>33.090000000000003</v>
      </c>
      <c r="J553" s="5">
        <v>31.78</v>
      </c>
      <c r="K553" s="5">
        <v>3.73</v>
      </c>
      <c r="L553" s="5">
        <v>0.1</v>
      </c>
      <c r="M553" s="3">
        <f t="shared" si="151"/>
        <v>100</v>
      </c>
      <c r="N553" s="5">
        <v>3.36</v>
      </c>
      <c r="O553" s="23">
        <f t="shared" si="162"/>
        <v>3.3599999999999997E-3</v>
      </c>
      <c r="P553" s="23">
        <f t="shared" si="163"/>
        <v>6.0479999999999992E-2</v>
      </c>
      <c r="Q553" s="7">
        <f t="shared" si="164"/>
        <v>6.047999999999999E-5</v>
      </c>
      <c r="R553" s="23">
        <f t="shared" si="165"/>
        <v>0.21772799999999998</v>
      </c>
      <c r="S553" s="5">
        <v>21.78</v>
      </c>
      <c r="T553" s="5">
        <v>2.31</v>
      </c>
      <c r="U553" s="3">
        <f t="shared" si="166"/>
        <v>23100</v>
      </c>
      <c r="V553" s="8">
        <v>-0.32</v>
      </c>
      <c r="W553" s="8">
        <v>-2.5499999999999998</v>
      </c>
      <c r="X553" s="5">
        <f t="shared" si="167"/>
        <v>2.23</v>
      </c>
      <c r="Y553" s="23">
        <f t="shared" si="168"/>
        <v>9.7635874439461867E-2</v>
      </c>
      <c r="Z553" s="23">
        <f t="shared" si="152"/>
        <v>2255.3886995515691</v>
      </c>
      <c r="AA553" s="11">
        <f t="shared" si="153"/>
        <v>1.5054484988955961</v>
      </c>
      <c r="AB553" s="11">
        <f t="shared" si="154"/>
        <v>34775.860324488269</v>
      </c>
    </row>
    <row r="554" spans="1:28" ht="17.25" customHeight="1" x14ac:dyDescent="0.2">
      <c r="A554" t="s">
        <v>7</v>
      </c>
      <c r="B554" s="20">
        <v>72</v>
      </c>
      <c r="C554" s="20">
        <v>152</v>
      </c>
      <c r="D554" s="20">
        <v>49</v>
      </c>
      <c r="E554" t="s">
        <v>75</v>
      </c>
      <c r="F554" s="26">
        <v>45175</v>
      </c>
      <c r="G554" t="s">
        <v>79</v>
      </c>
      <c r="H554" s="5">
        <v>25.42</v>
      </c>
      <c r="I554" s="5">
        <v>29.19</v>
      </c>
      <c r="J554" s="5">
        <v>24.52</v>
      </c>
      <c r="K554" s="5">
        <v>2.0499999999999998</v>
      </c>
      <c r="L554" s="5">
        <v>0.35</v>
      </c>
      <c r="M554" s="3">
        <f t="shared" si="151"/>
        <v>350</v>
      </c>
      <c r="N554" s="5">
        <v>6.68</v>
      </c>
      <c r="O554" s="23">
        <f t="shared" si="162"/>
        <v>6.6799999999999993E-3</v>
      </c>
      <c r="P554" s="23">
        <f t="shared" si="163"/>
        <v>0.12023999999999999</v>
      </c>
      <c r="Q554" s="7">
        <f t="shared" si="164"/>
        <v>1.2023999999999999E-4</v>
      </c>
      <c r="R554" s="23">
        <f t="shared" si="165"/>
        <v>0.43286399999999997</v>
      </c>
      <c r="S554" s="5">
        <v>27.89</v>
      </c>
      <c r="T554" s="5">
        <v>2.35</v>
      </c>
      <c r="U554" s="3">
        <f t="shared" si="166"/>
        <v>23500</v>
      </c>
      <c r="V554" s="8">
        <v>-0.62</v>
      </c>
      <c r="W554" s="8">
        <v>-2.54</v>
      </c>
      <c r="X554" s="5">
        <f t="shared" si="167"/>
        <v>1.92</v>
      </c>
      <c r="Y554" s="23">
        <f t="shared" si="168"/>
        <v>0.22544999999999998</v>
      </c>
      <c r="Z554" s="23">
        <f t="shared" si="152"/>
        <v>5298.0749999999998</v>
      </c>
      <c r="AA554" s="11">
        <f t="shared" si="153"/>
        <v>3.4762157457447231</v>
      </c>
      <c r="AB554" s="11">
        <f t="shared" si="154"/>
        <v>81691.070025000998</v>
      </c>
    </row>
    <row r="555" spans="1:28" ht="17.25" customHeight="1" x14ac:dyDescent="0.2">
      <c r="A555" t="s">
        <v>7</v>
      </c>
      <c r="B555" s="20">
        <v>72</v>
      </c>
      <c r="C555" s="20">
        <v>152</v>
      </c>
      <c r="D555" s="20">
        <v>50</v>
      </c>
      <c r="E555" t="s">
        <v>75</v>
      </c>
      <c r="F555" s="26">
        <v>45176</v>
      </c>
      <c r="G555" t="s">
        <v>79</v>
      </c>
      <c r="H555" s="5">
        <v>22.93</v>
      </c>
      <c r="I555" s="5">
        <v>31.69</v>
      </c>
      <c r="J555" s="5">
        <v>28.84</v>
      </c>
      <c r="K555" s="5">
        <v>2.92</v>
      </c>
      <c r="L555" s="5">
        <v>0.25</v>
      </c>
      <c r="M555" s="3">
        <f t="shared" si="151"/>
        <v>250</v>
      </c>
      <c r="N555" s="5">
        <v>6.44</v>
      </c>
      <c r="O555" s="23">
        <f t="shared" si="162"/>
        <v>6.4400000000000004E-3</v>
      </c>
      <c r="P555" s="23">
        <f t="shared" si="163"/>
        <v>0.11592000000000001</v>
      </c>
      <c r="Q555" s="7">
        <f t="shared" si="164"/>
        <v>1.1592000000000001E-4</v>
      </c>
      <c r="R555" s="23">
        <f t="shared" si="165"/>
        <v>0.41731200000000007</v>
      </c>
      <c r="S555" s="5">
        <v>25.57</v>
      </c>
      <c r="T555" s="5">
        <v>2.29</v>
      </c>
      <c r="U555" s="3">
        <f t="shared" si="166"/>
        <v>22900</v>
      </c>
      <c r="V555" s="8">
        <v>-0.34</v>
      </c>
      <c r="W555" s="8">
        <v>-2.48</v>
      </c>
      <c r="X555" s="5">
        <f t="shared" si="167"/>
        <v>2.14</v>
      </c>
      <c r="Y555" s="23">
        <f t="shared" si="168"/>
        <v>0.19500560747663553</v>
      </c>
      <c r="Z555" s="23">
        <f t="shared" si="152"/>
        <v>4465.6284112149533</v>
      </c>
      <c r="AA555" s="11">
        <f t="shared" si="153"/>
        <v>3.0067933609172561</v>
      </c>
      <c r="AB555" s="11">
        <f t="shared" si="154"/>
        <v>68855.567965005161</v>
      </c>
    </row>
    <row r="556" spans="1:28" ht="17.25" customHeight="1" x14ac:dyDescent="0.2">
      <c r="A556" t="s">
        <v>7</v>
      </c>
      <c r="B556" s="20">
        <v>72</v>
      </c>
      <c r="C556" s="20">
        <v>152</v>
      </c>
      <c r="D556" s="20">
        <v>51</v>
      </c>
      <c r="E556" t="s">
        <v>75</v>
      </c>
      <c r="F556" s="26">
        <v>45176</v>
      </c>
      <c r="G556" t="s">
        <v>79</v>
      </c>
      <c r="H556" s="5">
        <v>18.45</v>
      </c>
      <c r="I556" s="5">
        <v>35.78</v>
      </c>
      <c r="J556" s="5">
        <v>30.67</v>
      </c>
      <c r="K556" s="5">
        <v>3.34</v>
      </c>
      <c r="L556" s="5">
        <v>0.38</v>
      </c>
      <c r="M556" s="3">
        <f t="shared" si="151"/>
        <v>380</v>
      </c>
      <c r="N556" s="5">
        <v>11.6</v>
      </c>
      <c r="O556" s="23">
        <f t="shared" si="162"/>
        <v>1.1599999999999999E-2</v>
      </c>
      <c r="P556" s="23">
        <f t="shared" si="163"/>
        <v>0.20879999999999999</v>
      </c>
      <c r="Q556" s="7">
        <f t="shared" si="164"/>
        <v>2.0879999999999998E-4</v>
      </c>
      <c r="R556" s="23">
        <f t="shared" si="165"/>
        <v>0.7516799999999999</v>
      </c>
      <c r="S556" s="5">
        <v>18.57</v>
      </c>
      <c r="T556" s="5">
        <v>1.84</v>
      </c>
      <c r="U556" s="3">
        <f t="shared" si="166"/>
        <v>18400</v>
      </c>
      <c r="V556" s="8">
        <v>-0.4</v>
      </c>
      <c r="W556" s="8">
        <v>-2.52</v>
      </c>
      <c r="X556" s="5">
        <f t="shared" si="167"/>
        <v>2.12</v>
      </c>
      <c r="Y556" s="23">
        <f t="shared" si="168"/>
        <v>0.35456603773584899</v>
      </c>
      <c r="Z556" s="23">
        <f t="shared" si="152"/>
        <v>6524.0150943396211</v>
      </c>
      <c r="AA556" s="11">
        <f t="shared" si="153"/>
        <v>5.4670571891047945</v>
      </c>
      <c r="AB556" s="11">
        <f t="shared" si="154"/>
        <v>100593.85227952822</v>
      </c>
    </row>
    <row r="557" spans="1:28" ht="17.25" customHeight="1" x14ac:dyDescent="0.2">
      <c r="A557" t="s">
        <v>7</v>
      </c>
      <c r="B557" s="20">
        <v>72</v>
      </c>
      <c r="C557" s="20">
        <v>155</v>
      </c>
      <c r="D557" s="20">
        <v>58</v>
      </c>
      <c r="E557" t="s">
        <v>75</v>
      </c>
      <c r="F557" s="26">
        <v>45176</v>
      </c>
      <c r="G557" t="s">
        <v>79</v>
      </c>
      <c r="H557" s="5">
        <v>22.52</v>
      </c>
      <c r="I557" s="5">
        <v>31.28</v>
      </c>
      <c r="J557" s="5">
        <v>29.16</v>
      </c>
      <c r="K557" s="5">
        <v>3.04</v>
      </c>
      <c r="L557" s="5">
        <v>0.16</v>
      </c>
      <c r="M557" s="3">
        <f t="shared" si="151"/>
        <v>160</v>
      </c>
      <c r="N557" s="5">
        <v>4.1500000000000004</v>
      </c>
      <c r="O557" s="23">
        <f t="shared" si="162"/>
        <v>4.15E-3</v>
      </c>
      <c r="P557" s="23">
        <f t="shared" si="163"/>
        <v>7.4700000000000003E-2</v>
      </c>
      <c r="Q557" s="7">
        <f t="shared" si="164"/>
        <v>7.47E-5</v>
      </c>
      <c r="R557" s="23">
        <f t="shared" si="165"/>
        <v>0.26891999999999999</v>
      </c>
      <c r="S557" s="5">
        <v>4.1100000000000003</v>
      </c>
      <c r="T557" s="5">
        <v>0.5</v>
      </c>
      <c r="U557" s="3">
        <f t="shared" si="166"/>
        <v>5000</v>
      </c>
      <c r="V557" s="8">
        <v>-0.4</v>
      </c>
      <c r="W557" s="8">
        <v>-2.41</v>
      </c>
      <c r="X557" s="5">
        <f t="shared" si="167"/>
        <v>2.0100000000000002</v>
      </c>
      <c r="Y557" s="23">
        <f t="shared" si="168"/>
        <v>0.13379104477611939</v>
      </c>
      <c r="Z557" s="23">
        <f t="shared" si="152"/>
        <v>668.95522388059692</v>
      </c>
      <c r="AA557" s="11">
        <f t="shared" si="153"/>
        <v>2.0629254224457019</v>
      </c>
      <c r="AB557" s="11">
        <f t="shared" si="154"/>
        <v>10314.627112228509</v>
      </c>
    </row>
    <row r="558" spans="1:28" ht="17.25" customHeight="1" x14ac:dyDescent="0.2">
      <c r="A558" t="s">
        <v>7</v>
      </c>
      <c r="B558" s="20">
        <v>72</v>
      </c>
      <c r="C558" s="20">
        <v>155</v>
      </c>
      <c r="D558" s="20">
        <v>59</v>
      </c>
      <c r="E558" t="s">
        <v>75</v>
      </c>
      <c r="F558" s="26">
        <v>45175</v>
      </c>
      <c r="G558" t="s">
        <v>79</v>
      </c>
      <c r="H558" s="5">
        <v>25.53</v>
      </c>
      <c r="I558" s="5">
        <v>29.51</v>
      </c>
      <c r="J558" s="5">
        <v>28.15</v>
      </c>
      <c r="K558" s="5">
        <v>2.76</v>
      </c>
      <c r="L558" s="5">
        <v>0.09</v>
      </c>
      <c r="M558" s="3">
        <f t="shared" si="151"/>
        <v>90</v>
      </c>
      <c r="N558" s="5">
        <v>2.33</v>
      </c>
      <c r="O558" s="23">
        <f t="shared" si="162"/>
        <v>2.33E-3</v>
      </c>
      <c r="P558" s="23">
        <f t="shared" si="163"/>
        <v>4.1939999999999998E-2</v>
      </c>
      <c r="Q558" s="7">
        <f t="shared" si="164"/>
        <v>4.1939999999999995E-5</v>
      </c>
      <c r="R558" s="23">
        <f t="shared" si="165"/>
        <v>0.15098399999999998</v>
      </c>
      <c r="S558" s="5">
        <v>22.47</v>
      </c>
      <c r="T558" s="5">
        <v>2.37</v>
      </c>
      <c r="U558" s="3">
        <f t="shared" si="166"/>
        <v>23700</v>
      </c>
      <c r="V558" s="8">
        <v>-0.53</v>
      </c>
      <c r="W558" s="8">
        <v>-2.2200000000000002</v>
      </c>
      <c r="X558" s="5">
        <f t="shared" si="167"/>
        <v>1.6900000000000002</v>
      </c>
      <c r="Y558" s="23">
        <f t="shared" si="168"/>
        <v>8.9339644970414175E-2</v>
      </c>
      <c r="Z558" s="23">
        <f t="shared" si="152"/>
        <v>2117.349585798816</v>
      </c>
      <c r="AA558" s="11">
        <f t="shared" si="153"/>
        <v>1.3775288559121628</v>
      </c>
      <c r="AB558" s="11">
        <f t="shared" si="154"/>
        <v>32647.433885118258</v>
      </c>
    </row>
    <row r="559" spans="1:28" ht="17.25" customHeight="1" x14ac:dyDescent="0.2">
      <c r="A559" t="s">
        <v>7</v>
      </c>
      <c r="B559" s="20">
        <v>72</v>
      </c>
      <c r="C559" s="20">
        <v>155</v>
      </c>
      <c r="D559" s="20">
        <v>60</v>
      </c>
      <c r="E559" t="s">
        <v>75</v>
      </c>
      <c r="F559" s="26">
        <v>45176</v>
      </c>
      <c r="G559" t="s">
        <v>79</v>
      </c>
      <c r="H559" s="5">
        <v>22.9</v>
      </c>
      <c r="I559" s="5">
        <v>30.89</v>
      </c>
      <c r="J559" s="5">
        <v>30.12</v>
      </c>
      <c r="K559" s="5">
        <v>3.25</v>
      </c>
      <c r="L559" s="5">
        <v>0.05</v>
      </c>
      <c r="M559" s="3">
        <f t="shared" si="151"/>
        <v>50</v>
      </c>
      <c r="N559" s="5">
        <v>1.6</v>
      </c>
      <c r="O559" s="23">
        <f t="shared" si="162"/>
        <v>1.6000000000000001E-3</v>
      </c>
      <c r="P559" s="23">
        <f t="shared" si="163"/>
        <v>2.8800000000000003E-2</v>
      </c>
      <c r="Q559" s="7">
        <f t="shared" si="164"/>
        <v>2.8800000000000002E-5</v>
      </c>
      <c r="R559" s="23">
        <f t="shared" si="165"/>
        <v>0.10368000000000001</v>
      </c>
      <c r="S559" s="5">
        <v>10.28</v>
      </c>
      <c r="T559" s="5">
        <v>1.1299999999999999</v>
      </c>
      <c r="U559" s="5">
        <f t="shared" si="166"/>
        <v>11299.999999999998</v>
      </c>
      <c r="V559" s="8">
        <v>-0.25</v>
      </c>
      <c r="W559" s="8">
        <v>-2.0299999999999998</v>
      </c>
      <c r="X559" s="5">
        <f t="shared" si="167"/>
        <v>1.7799999999999998</v>
      </c>
      <c r="Y559" s="23">
        <f t="shared" si="168"/>
        <v>5.8247191011235967E-2</v>
      </c>
      <c r="Z559" s="23">
        <f t="shared" si="152"/>
        <v>658.19325842696628</v>
      </c>
      <c r="AA559" s="11">
        <f t="shared" si="153"/>
        <v>0.89811400549416276</v>
      </c>
      <c r="AB559" s="11">
        <f t="shared" si="154"/>
        <v>10148.688262084037</v>
      </c>
    </row>
    <row r="560" spans="1:28" ht="17.25" customHeight="1" x14ac:dyDescent="0.2">
      <c r="A560" t="s">
        <v>7</v>
      </c>
      <c r="B560" s="20">
        <v>72</v>
      </c>
      <c r="C560" s="20">
        <v>5</v>
      </c>
      <c r="D560" s="20">
        <v>61</v>
      </c>
      <c r="E560" t="s">
        <v>75</v>
      </c>
      <c r="F560" s="26">
        <v>45176</v>
      </c>
      <c r="G560" t="s">
        <v>79</v>
      </c>
      <c r="H560" s="5">
        <v>21.52</v>
      </c>
      <c r="I560" s="5">
        <v>32.86</v>
      </c>
      <c r="J560" s="5">
        <v>31.11</v>
      </c>
      <c r="K560" s="5">
        <v>3.45</v>
      </c>
      <c r="L560" s="5">
        <v>7.0000000000000007E-2</v>
      </c>
      <c r="M560" s="3">
        <f t="shared" si="151"/>
        <v>70</v>
      </c>
      <c r="N560" s="5">
        <v>2.31</v>
      </c>
      <c r="O560" s="23">
        <f t="shared" si="162"/>
        <v>2.31E-3</v>
      </c>
      <c r="P560" s="23">
        <f t="shared" si="163"/>
        <v>4.1579999999999999E-2</v>
      </c>
      <c r="Q560" s="7">
        <f t="shared" si="164"/>
        <v>4.1579999999999998E-5</v>
      </c>
      <c r="R560" s="23">
        <f t="shared" si="165"/>
        <v>0.14968799999999999</v>
      </c>
      <c r="S560" s="5">
        <v>20.64</v>
      </c>
      <c r="T560" s="5">
        <v>4.72</v>
      </c>
      <c r="U560" s="3">
        <f t="shared" si="166"/>
        <v>47200</v>
      </c>
      <c r="V560" s="8">
        <v>-0.24</v>
      </c>
      <c r="W560" s="8">
        <v>-1.92</v>
      </c>
      <c r="X560" s="5">
        <f t="shared" si="167"/>
        <v>1.68</v>
      </c>
      <c r="Y560" s="23">
        <f t="shared" si="168"/>
        <v>8.9099999999999999E-2</v>
      </c>
      <c r="Z560" s="23">
        <f t="shared" si="152"/>
        <v>4205.5199999999995</v>
      </c>
      <c r="AA560" s="11">
        <f t="shared" si="153"/>
        <v>1.3738337677793517</v>
      </c>
      <c r="AB560" s="11">
        <f t="shared" si="154"/>
        <v>64844.9538391854</v>
      </c>
    </row>
    <row r="561" spans="1:28" ht="17.25" customHeight="1" x14ac:dyDescent="0.2">
      <c r="A561" t="s">
        <v>7</v>
      </c>
      <c r="B561" s="20">
        <v>72</v>
      </c>
      <c r="C561" s="20">
        <v>5</v>
      </c>
      <c r="D561" s="20">
        <v>63</v>
      </c>
      <c r="E561" t="s">
        <v>75</v>
      </c>
      <c r="F561" s="26">
        <v>45175</v>
      </c>
      <c r="G561" t="s">
        <v>79</v>
      </c>
      <c r="H561" s="5">
        <v>26.03</v>
      </c>
      <c r="I561" s="5">
        <v>29.29</v>
      </c>
      <c r="J561" s="5">
        <v>27.11</v>
      </c>
      <c r="K561" s="5">
        <v>2.5299999999999998</v>
      </c>
      <c r="L561" s="5">
        <v>0.12</v>
      </c>
      <c r="M561" s="3">
        <f t="shared" si="151"/>
        <v>120</v>
      </c>
      <c r="N561" s="5">
        <v>2.97</v>
      </c>
      <c r="O561" s="23">
        <f t="shared" si="162"/>
        <v>2.97E-3</v>
      </c>
      <c r="P561" s="23">
        <f t="shared" si="163"/>
        <v>5.3460000000000001E-2</v>
      </c>
      <c r="Q561" s="7">
        <f t="shared" si="164"/>
        <v>5.346E-5</v>
      </c>
      <c r="R561" s="23">
        <f t="shared" si="165"/>
        <v>0.19245599999999999</v>
      </c>
      <c r="S561" s="5">
        <v>20.28</v>
      </c>
      <c r="T561" s="5">
        <v>3.11</v>
      </c>
      <c r="U561" s="3">
        <f t="shared" si="166"/>
        <v>31100</v>
      </c>
      <c r="V561" s="8">
        <v>-1.1100000000000001</v>
      </c>
      <c r="W561" s="8">
        <v>-2.11</v>
      </c>
      <c r="X561" s="5">
        <f t="shared" si="167"/>
        <v>0.99999999999999978</v>
      </c>
      <c r="Y561" s="23">
        <f t="shared" si="168"/>
        <v>0.19245600000000004</v>
      </c>
      <c r="Z561" s="23">
        <f t="shared" si="152"/>
        <v>5985.3816000000015</v>
      </c>
      <c r="AA561" s="11">
        <f t="shared" si="153"/>
        <v>2.9674809384034004</v>
      </c>
      <c r="AB561" s="11">
        <f t="shared" si="154"/>
        <v>92288.65718434575</v>
      </c>
    </row>
    <row r="562" spans="1:28" ht="17.25" customHeight="1" x14ac:dyDescent="0.2">
      <c r="A562" t="s">
        <v>7</v>
      </c>
      <c r="B562" s="20">
        <v>72</v>
      </c>
      <c r="C562" s="20">
        <v>5</v>
      </c>
      <c r="D562" s="20">
        <v>85</v>
      </c>
      <c r="E562" t="s">
        <v>75</v>
      </c>
      <c r="F562" s="26">
        <v>45176</v>
      </c>
      <c r="G562" t="s">
        <v>79</v>
      </c>
      <c r="H562" s="5">
        <v>24.14</v>
      </c>
      <c r="I562" s="5">
        <v>30.46</v>
      </c>
      <c r="J562" s="5">
        <v>29.84</v>
      </c>
      <c r="K562" s="5">
        <v>3.16</v>
      </c>
      <c r="L562" s="5">
        <v>0.08</v>
      </c>
      <c r="M562" s="3">
        <f t="shared" si="151"/>
        <v>80</v>
      </c>
      <c r="N562" s="5">
        <v>2.36</v>
      </c>
      <c r="O562" s="23">
        <f t="shared" si="162"/>
        <v>2.3599999999999997E-3</v>
      </c>
      <c r="P562" s="23">
        <f t="shared" si="163"/>
        <v>4.2479999999999997E-2</v>
      </c>
      <c r="Q562" s="7">
        <f t="shared" si="164"/>
        <v>4.248E-5</v>
      </c>
      <c r="R562" s="23">
        <f t="shared" si="165"/>
        <v>0.15292800000000001</v>
      </c>
      <c r="S562" s="5">
        <v>7.85</v>
      </c>
      <c r="T562" s="5">
        <v>1.36</v>
      </c>
      <c r="U562" s="5">
        <f t="shared" si="166"/>
        <v>13600.000000000002</v>
      </c>
      <c r="V562" s="8">
        <v>-0.38</v>
      </c>
      <c r="W562" s="8">
        <v>-1.92</v>
      </c>
      <c r="X562" s="5">
        <f t="shared" si="167"/>
        <v>1.54</v>
      </c>
      <c r="Y562" s="23">
        <f t="shared" si="168"/>
        <v>9.9303896103896103E-2</v>
      </c>
      <c r="Z562" s="23">
        <f t="shared" si="152"/>
        <v>1350.5329870129872</v>
      </c>
      <c r="AA562" s="11">
        <f t="shared" si="153"/>
        <v>1.5311677411850155</v>
      </c>
      <c r="AB562" s="11">
        <f t="shared" si="154"/>
        <v>20823.881280116213</v>
      </c>
    </row>
    <row r="563" spans="1:28" ht="17.25" customHeight="1" x14ac:dyDescent="0.2">
      <c r="A563" t="s">
        <v>8</v>
      </c>
      <c r="B563" s="20">
        <v>1521</v>
      </c>
      <c r="C563" s="20">
        <v>153</v>
      </c>
      <c r="D563" s="20">
        <v>69</v>
      </c>
      <c r="E563" t="s">
        <v>75</v>
      </c>
      <c r="F563" s="26">
        <v>45176</v>
      </c>
      <c r="G563" t="s">
        <v>79</v>
      </c>
      <c r="H563" s="5">
        <v>20.93</v>
      </c>
      <c r="I563" s="5">
        <v>33.020000000000003</v>
      </c>
      <c r="J563" s="5">
        <v>31.72</v>
      </c>
      <c r="K563" s="5">
        <v>3.63</v>
      </c>
      <c r="L563" s="5">
        <v>0.15</v>
      </c>
      <c r="M563" s="3">
        <f t="shared" si="151"/>
        <v>150</v>
      </c>
      <c r="N563" s="5">
        <v>5.1100000000000003</v>
      </c>
      <c r="O563" s="23">
        <f t="shared" si="162"/>
        <v>5.11E-3</v>
      </c>
      <c r="P563" s="23">
        <f t="shared" si="163"/>
        <v>9.1980000000000006E-2</v>
      </c>
      <c r="Q563" s="7">
        <f t="shared" si="164"/>
        <v>9.198000000000001E-5</v>
      </c>
      <c r="R563" s="23">
        <f t="shared" si="165"/>
        <v>0.33112800000000003</v>
      </c>
      <c r="S563" s="5">
        <v>1.69</v>
      </c>
      <c r="T563" s="5">
        <v>0.31</v>
      </c>
      <c r="U563" s="3">
        <f t="shared" si="166"/>
        <v>3100</v>
      </c>
      <c r="V563" s="8">
        <v>-0.33</v>
      </c>
      <c r="W563" s="8">
        <v>-1.6</v>
      </c>
      <c r="X563" s="5">
        <f t="shared" si="167"/>
        <v>1.27</v>
      </c>
      <c r="Y563" s="23">
        <f t="shared" si="168"/>
        <v>0.26073070866141734</v>
      </c>
      <c r="Z563" s="23">
        <f t="shared" si="152"/>
        <v>808.26519685039375</v>
      </c>
      <c r="AA563" s="11">
        <f t="shared" si="153"/>
        <v>4.0202093362075804</v>
      </c>
      <c r="AB563" s="11">
        <f t="shared" si="154"/>
        <v>12462.648942243499</v>
      </c>
    </row>
    <row r="564" spans="1:28" ht="17.25" customHeight="1" x14ac:dyDescent="0.2">
      <c r="A564" t="s">
        <v>8</v>
      </c>
      <c r="B564" s="20">
        <v>1521</v>
      </c>
      <c r="C564" s="20">
        <v>153</v>
      </c>
      <c r="D564" s="20">
        <v>76</v>
      </c>
      <c r="E564" t="s">
        <v>75</v>
      </c>
      <c r="F564" s="26">
        <v>45176</v>
      </c>
      <c r="G564" t="s">
        <v>79</v>
      </c>
      <c r="H564" s="5">
        <v>20.98</v>
      </c>
      <c r="I564" s="5">
        <v>33.43</v>
      </c>
      <c r="J564" s="5">
        <v>33.090000000000003</v>
      </c>
      <c r="K564" s="5">
        <v>3.98</v>
      </c>
      <c r="L564" s="5">
        <v>0.06</v>
      </c>
      <c r="M564" s="3">
        <f t="shared" si="151"/>
        <v>60</v>
      </c>
      <c r="N564" s="5">
        <v>2.2400000000000002</v>
      </c>
      <c r="O564" s="23">
        <f t="shared" si="162"/>
        <v>2.2400000000000002E-3</v>
      </c>
      <c r="P564" s="23">
        <f t="shared" si="163"/>
        <v>4.0320000000000002E-2</v>
      </c>
      <c r="Q564" s="7">
        <f t="shared" si="164"/>
        <v>4.032E-5</v>
      </c>
      <c r="R564" s="23">
        <f t="shared" si="165"/>
        <v>0.145152</v>
      </c>
      <c r="S564" s="5">
        <v>2.0299999999999998</v>
      </c>
      <c r="T564" s="5">
        <v>0.31</v>
      </c>
      <c r="U564" s="3">
        <f t="shared" si="166"/>
        <v>3100</v>
      </c>
      <c r="V564" s="8">
        <v>-0.57999999999999996</v>
      </c>
      <c r="W564" s="8">
        <v>-1.77</v>
      </c>
      <c r="X564" s="5">
        <f t="shared" si="167"/>
        <v>1.19</v>
      </c>
      <c r="Y564" s="23">
        <f t="shared" si="168"/>
        <v>0.1219764705882353</v>
      </c>
      <c r="Z564" s="23">
        <f t="shared" si="152"/>
        <v>378.12705882352941</v>
      </c>
      <c r="AA564" s="11">
        <f t="shared" si="153"/>
        <v>1.8807563879760112</v>
      </c>
      <c r="AB564" s="11">
        <f t="shared" si="154"/>
        <v>5830.3448027256345</v>
      </c>
    </row>
    <row r="565" spans="1:28" ht="17.25" customHeight="1" x14ac:dyDescent="0.2">
      <c r="A565" t="s">
        <v>8</v>
      </c>
      <c r="B565" s="20">
        <v>1521</v>
      </c>
      <c r="C565" s="20">
        <v>153</v>
      </c>
      <c r="D565" s="20">
        <v>90</v>
      </c>
      <c r="E565" t="s">
        <v>75</v>
      </c>
      <c r="F565" s="26">
        <v>45175</v>
      </c>
      <c r="G565" t="s">
        <v>79</v>
      </c>
      <c r="H565" s="5">
        <v>21.76</v>
      </c>
      <c r="I565" s="5">
        <v>31.2</v>
      </c>
      <c r="J565" s="5">
        <v>29.11</v>
      </c>
      <c r="K565" s="5">
        <v>3.04</v>
      </c>
      <c r="L565" s="5">
        <v>0.09</v>
      </c>
      <c r="M565" s="3">
        <f t="shared" si="151"/>
        <v>90</v>
      </c>
      <c r="N565" s="5">
        <v>2.4300000000000002</v>
      </c>
      <c r="O565" s="23">
        <f t="shared" si="162"/>
        <v>2.4300000000000003E-3</v>
      </c>
      <c r="P565" s="23">
        <f t="shared" si="163"/>
        <v>4.3740000000000008E-2</v>
      </c>
      <c r="Q565" s="7">
        <f t="shared" si="164"/>
        <v>4.3740000000000005E-5</v>
      </c>
      <c r="R565" s="23">
        <f t="shared" si="165"/>
        <v>0.15746400000000002</v>
      </c>
      <c r="S565" s="5">
        <v>1.27</v>
      </c>
      <c r="T565" s="5">
        <v>0.15</v>
      </c>
      <c r="U565" s="3">
        <f t="shared" si="166"/>
        <v>1500</v>
      </c>
      <c r="V565" s="8">
        <v>-1.06</v>
      </c>
      <c r="W565" s="8">
        <v>-2.11</v>
      </c>
      <c r="X565" s="5">
        <f t="shared" si="167"/>
        <v>1.0499999999999998</v>
      </c>
      <c r="Y565" s="23">
        <f t="shared" si="168"/>
        <v>0.14996571428571434</v>
      </c>
      <c r="Z565" s="23">
        <f t="shared" si="152"/>
        <v>224.94857142857151</v>
      </c>
      <c r="AA565" s="11">
        <f t="shared" si="153"/>
        <v>2.312322809145507</v>
      </c>
      <c r="AB565" s="11">
        <f t="shared" si="154"/>
        <v>3468.4842137182604</v>
      </c>
    </row>
    <row r="566" spans="1:28" ht="17.25" customHeight="1" x14ac:dyDescent="0.2">
      <c r="A566" t="s">
        <v>8</v>
      </c>
      <c r="B566" s="20">
        <v>1521</v>
      </c>
      <c r="C566" s="20">
        <v>155</v>
      </c>
      <c r="D566" s="20">
        <v>62</v>
      </c>
      <c r="E566" t="s">
        <v>75</v>
      </c>
      <c r="F566" s="26">
        <v>45175</v>
      </c>
      <c r="G566" t="s">
        <v>79</v>
      </c>
      <c r="H566" s="5">
        <v>25.16</v>
      </c>
      <c r="I566" s="5">
        <v>30.1</v>
      </c>
      <c r="J566" s="5">
        <v>26.44</v>
      </c>
      <c r="K566" s="5">
        <v>2.38</v>
      </c>
      <c r="L566" s="5">
        <v>0.22</v>
      </c>
      <c r="M566" s="3">
        <f t="shared" si="151"/>
        <v>220</v>
      </c>
      <c r="N566" s="5">
        <v>4.95</v>
      </c>
      <c r="O566" s="23">
        <f t="shared" si="162"/>
        <v>4.9500000000000004E-3</v>
      </c>
      <c r="P566" s="23">
        <f t="shared" si="163"/>
        <v>8.9100000000000013E-2</v>
      </c>
      <c r="Q566" s="7">
        <f t="shared" si="164"/>
        <v>8.9100000000000011E-5</v>
      </c>
      <c r="R566" s="23">
        <f t="shared" si="165"/>
        <v>0.32076000000000005</v>
      </c>
      <c r="S566" s="5">
        <v>2.31</v>
      </c>
      <c r="T566" s="5">
        <v>0.45</v>
      </c>
      <c r="U566" s="3">
        <f t="shared" si="166"/>
        <v>4500</v>
      </c>
      <c r="V566" s="8">
        <v>-1.21</v>
      </c>
      <c r="W566" s="8">
        <v>-2.71</v>
      </c>
      <c r="X566" s="5">
        <f t="shared" si="167"/>
        <v>1.5</v>
      </c>
      <c r="Y566" s="23">
        <f t="shared" si="168"/>
        <v>0.21384000000000003</v>
      </c>
      <c r="Z566" s="23">
        <f t="shared" si="152"/>
        <v>962.28000000000009</v>
      </c>
      <c r="AA566" s="11">
        <f t="shared" si="153"/>
        <v>3.2972010426704448</v>
      </c>
      <c r="AB566" s="11">
        <f t="shared" si="154"/>
        <v>14837.404692017002</v>
      </c>
    </row>
    <row r="567" spans="1:28" ht="17.25" customHeight="1" x14ac:dyDescent="0.2">
      <c r="A567" t="s">
        <v>8</v>
      </c>
      <c r="B567" s="20">
        <v>1521</v>
      </c>
      <c r="C567" s="20">
        <v>155</v>
      </c>
      <c r="D567" s="20">
        <v>64</v>
      </c>
      <c r="E567" t="s">
        <v>75</v>
      </c>
      <c r="F567" s="26">
        <v>45175</v>
      </c>
      <c r="G567" t="s">
        <v>79</v>
      </c>
      <c r="H567" s="5">
        <v>26.38</v>
      </c>
      <c r="I567" s="5">
        <v>29.11</v>
      </c>
      <c r="J567" s="5">
        <v>26.91</v>
      </c>
      <c r="K567" s="5">
        <v>2.4900000000000002</v>
      </c>
      <c r="L567" s="5">
        <v>0.16</v>
      </c>
      <c r="M567" s="3">
        <f t="shared" si="151"/>
        <v>160</v>
      </c>
      <c r="N567" s="5">
        <v>3.66</v>
      </c>
      <c r="O567" s="23">
        <f t="shared" si="162"/>
        <v>3.6600000000000001E-3</v>
      </c>
      <c r="P567" s="23">
        <f t="shared" si="163"/>
        <v>6.5879999999999994E-2</v>
      </c>
      <c r="Q567" s="7">
        <f t="shared" si="164"/>
        <v>6.5879999999999999E-5</v>
      </c>
      <c r="R567" s="23">
        <f t="shared" si="165"/>
        <v>0.23716799999999999</v>
      </c>
      <c r="S567" s="5">
        <v>2.25</v>
      </c>
      <c r="T567" s="5">
        <v>0.5</v>
      </c>
      <c r="U567" s="3">
        <f t="shared" si="166"/>
        <v>5000</v>
      </c>
      <c r="V567" s="8">
        <v>-1.17</v>
      </c>
      <c r="W567" s="8">
        <v>-1.79</v>
      </c>
      <c r="X567" s="5">
        <f t="shared" si="167"/>
        <v>0.62000000000000011</v>
      </c>
      <c r="Y567" s="23">
        <f t="shared" si="168"/>
        <v>0.38252903225806445</v>
      </c>
      <c r="Z567" s="23">
        <f t="shared" si="152"/>
        <v>1912.6451612903222</v>
      </c>
      <c r="AA567" s="11">
        <f t="shared" si="153"/>
        <v>5.8982188739852504</v>
      </c>
      <c r="AB567" s="11">
        <f t="shared" si="154"/>
        <v>29491.094369926253</v>
      </c>
    </row>
    <row r="568" spans="1:28" ht="17.25" customHeight="1" x14ac:dyDescent="0.2">
      <c r="A568" t="s">
        <v>8</v>
      </c>
      <c r="B568" s="20">
        <v>1521</v>
      </c>
      <c r="C568" s="20">
        <v>155</v>
      </c>
      <c r="D568" s="20">
        <v>66</v>
      </c>
      <c r="E568" t="s">
        <v>75</v>
      </c>
      <c r="F568" s="26">
        <v>45176</v>
      </c>
      <c r="G568" t="s">
        <v>79</v>
      </c>
      <c r="H568" s="5">
        <v>20.010000000000002</v>
      </c>
      <c r="I568" s="5">
        <v>34.049999999999997</v>
      </c>
      <c r="J568" s="5">
        <v>30.52</v>
      </c>
      <c r="K568" s="5">
        <v>3.31</v>
      </c>
      <c r="L568" s="5">
        <v>0.16</v>
      </c>
      <c r="M568" s="3">
        <f t="shared" si="151"/>
        <v>160</v>
      </c>
      <c r="N568" s="5">
        <v>4.92</v>
      </c>
      <c r="O568" s="23">
        <f t="shared" si="162"/>
        <v>4.9199999999999999E-3</v>
      </c>
      <c r="P568" s="23">
        <f t="shared" si="163"/>
        <v>8.856E-2</v>
      </c>
      <c r="Q568" s="7">
        <f t="shared" si="164"/>
        <v>8.8560000000000006E-5</v>
      </c>
      <c r="R568" s="23">
        <f t="shared" si="165"/>
        <v>0.31881600000000004</v>
      </c>
      <c r="S568" s="5">
        <v>3.09</v>
      </c>
      <c r="T568" s="5">
        <v>0.44</v>
      </c>
      <c r="U568" s="3">
        <f t="shared" si="166"/>
        <v>4400</v>
      </c>
      <c r="V568" s="8">
        <v>-0.44</v>
      </c>
      <c r="W568" s="8">
        <v>-2.21</v>
      </c>
      <c r="X568" s="5">
        <f t="shared" si="167"/>
        <v>1.77</v>
      </c>
      <c r="Y568" s="23">
        <f t="shared" si="168"/>
        <v>0.18012203389830511</v>
      </c>
      <c r="Z568" s="23">
        <f t="shared" si="152"/>
        <v>792.53694915254255</v>
      </c>
      <c r="AA568" s="11">
        <f t="shared" si="153"/>
        <v>2.777303394956101</v>
      </c>
      <c r="AB568" s="11">
        <f t="shared" si="154"/>
        <v>12220.134937806844</v>
      </c>
    </row>
    <row r="569" spans="1:28" ht="17.25" customHeight="1" x14ac:dyDescent="0.2">
      <c r="A569" t="s">
        <v>8</v>
      </c>
      <c r="B569" s="20">
        <v>1521</v>
      </c>
      <c r="C569" s="20">
        <v>156</v>
      </c>
      <c r="D569" s="20">
        <v>71</v>
      </c>
      <c r="E569" t="s">
        <v>75</v>
      </c>
      <c r="F569" s="26">
        <v>45175</v>
      </c>
      <c r="G569" t="s">
        <v>79</v>
      </c>
      <c r="H569" s="5">
        <v>24.8</v>
      </c>
      <c r="I569" s="5">
        <v>30.23</v>
      </c>
      <c r="J569" s="5">
        <v>28.3</v>
      </c>
      <c r="K569" s="5">
        <v>2.79</v>
      </c>
      <c r="L569" s="5">
        <v>0.12</v>
      </c>
      <c r="M569" s="3">
        <f t="shared" si="151"/>
        <v>120</v>
      </c>
      <c r="N569" s="5">
        <v>3.15</v>
      </c>
      <c r="O569" s="23">
        <f t="shared" si="162"/>
        <v>3.15E-3</v>
      </c>
      <c r="P569" s="23">
        <f t="shared" si="163"/>
        <v>5.67E-2</v>
      </c>
      <c r="Q569" s="7">
        <f t="shared" si="164"/>
        <v>5.6700000000000003E-5</v>
      </c>
      <c r="R569" s="23">
        <f t="shared" si="165"/>
        <v>0.20412</v>
      </c>
      <c r="S569" s="5">
        <v>1.53</v>
      </c>
      <c r="T569" s="5">
        <v>0.24</v>
      </c>
      <c r="U569" s="3">
        <f t="shared" si="166"/>
        <v>2400</v>
      </c>
      <c r="V569" s="8">
        <v>-0.45</v>
      </c>
      <c r="W569" s="8">
        <v>-1.85</v>
      </c>
      <c r="X569" s="5">
        <f t="shared" si="167"/>
        <v>1.4000000000000001</v>
      </c>
      <c r="Y569" s="23">
        <f t="shared" si="168"/>
        <v>0.14579999999999999</v>
      </c>
      <c r="Z569" s="23">
        <f t="shared" si="152"/>
        <v>349.91999999999996</v>
      </c>
      <c r="AA569" s="11">
        <f t="shared" si="153"/>
        <v>2.2480916200025751</v>
      </c>
      <c r="AB569" s="11">
        <f t="shared" si="154"/>
        <v>5395.4198880061804</v>
      </c>
    </row>
    <row r="570" spans="1:28" ht="17.25" customHeight="1" x14ac:dyDescent="0.2">
      <c r="A570" t="s">
        <v>8</v>
      </c>
      <c r="B570" s="20">
        <v>1521</v>
      </c>
      <c r="C570" s="20">
        <v>156</v>
      </c>
      <c r="D570" s="20">
        <v>74</v>
      </c>
      <c r="E570" t="s">
        <v>75</v>
      </c>
      <c r="F570" s="26">
        <v>45176</v>
      </c>
      <c r="G570" t="s">
        <v>79</v>
      </c>
      <c r="H570" s="5">
        <v>19.98</v>
      </c>
      <c r="I570" s="5">
        <v>33.65</v>
      </c>
      <c r="J570" s="5">
        <v>33.159999999999997</v>
      </c>
      <c r="K570" s="5">
        <v>4.04</v>
      </c>
      <c r="L570" s="5">
        <v>0.09</v>
      </c>
      <c r="M570" s="3">
        <f t="shared" si="151"/>
        <v>90</v>
      </c>
      <c r="N570" s="5">
        <v>3.57</v>
      </c>
      <c r="O570" s="23">
        <f t="shared" si="162"/>
        <v>3.5699999999999998E-3</v>
      </c>
      <c r="P570" s="23">
        <f t="shared" si="163"/>
        <v>6.4259999999999998E-2</v>
      </c>
      <c r="Q570" s="7">
        <f t="shared" si="164"/>
        <v>6.4259999999999998E-5</v>
      </c>
      <c r="R570" s="23">
        <f t="shared" si="165"/>
        <v>0.23133599999999999</v>
      </c>
      <c r="S570" s="5">
        <v>2.2200000000000002</v>
      </c>
      <c r="T570" s="5">
        <v>0.32</v>
      </c>
      <c r="U570" s="3">
        <f t="shared" si="166"/>
        <v>3200</v>
      </c>
      <c r="V570" s="8">
        <v>-0.68</v>
      </c>
      <c r="W570" s="8">
        <v>-1.58</v>
      </c>
      <c r="X570" s="5">
        <f t="shared" si="167"/>
        <v>0.9</v>
      </c>
      <c r="Y570" s="23">
        <f t="shared" si="168"/>
        <v>0.25703999999999999</v>
      </c>
      <c r="Z570" s="23">
        <f t="shared" si="152"/>
        <v>822.52800000000002</v>
      </c>
      <c r="AA570" s="11">
        <f t="shared" si="153"/>
        <v>3.9633022634119475</v>
      </c>
      <c r="AB570" s="11">
        <f t="shared" si="154"/>
        <v>12682.567242918232</v>
      </c>
    </row>
    <row r="571" spans="1:28" ht="17.25" customHeight="1" x14ac:dyDescent="0.2">
      <c r="A571" t="s">
        <v>8</v>
      </c>
      <c r="B571" s="20">
        <v>1521</v>
      </c>
      <c r="C571" s="20">
        <v>156</v>
      </c>
      <c r="D571" s="20">
        <v>75</v>
      </c>
      <c r="E571" t="s">
        <v>75</v>
      </c>
      <c r="F571" s="26">
        <v>45176</v>
      </c>
      <c r="G571" t="s">
        <v>79</v>
      </c>
      <c r="H571" s="5">
        <v>19.61</v>
      </c>
      <c r="I571" s="5">
        <v>34.42</v>
      </c>
      <c r="J571" s="5">
        <v>34.380000000000003</v>
      </c>
      <c r="K571" s="5">
        <v>4.37</v>
      </c>
      <c r="L571" s="5">
        <v>0.11</v>
      </c>
      <c r="M571" s="3">
        <f t="shared" si="151"/>
        <v>110</v>
      </c>
      <c r="N571" s="5">
        <v>4.49</v>
      </c>
      <c r="O571" s="23">
        <f t="shared" si="162"/>
        <v>4.4900000000000001E-3</v>
      </c>
      <c r="P571" s="23">
        <f t="shared" si="163"/>
        <v>8.0820000000000003E-2</v>
      </c>
      <c r="Q571" s="7">
        <f t="shared" si="164"/>
        <v>8.0820000000000002E-5</v>
      </c>
      <c r="R571" s="23">
        <f t="shared" si="165"/>
        <v>0.29095199999999999</v>
      </c>
      <c r="S571" s="5">
        <v>3.2</v>
      </c>
      <c r="T571" s="5">
        <v>0.59</v>
      </c>
      <c r="U571" s="3">
        <f t="shared" si="166"/>
        <v>5900</v>
      </c>
      <c r="V571" s="8">
        <v>-0.53</v>
      </c>
      <c r="W571" s="8">
        <v>-1.72</v>
      </c>
      <c r="X571" s="5">
        <f t="shared" si="167"/>
        <v>1.19</v>
      </c>
      <c r="Y571" s="23">
        <f t="shared" si="168"/>
        <v>0.24449747899159663</v>
      </c>
      <c r="Z571" s="23">
        <f t="shared" si="152"/>
        <v>1442.5351260504201</v>
      </c>
      <c r="AA571" s="11">
        <f t="shared" si="153"/>
        <v>3.7699090098269146</v>
      </c>
      <c r="AB571" s="11">
        <f t="shared" si="154"/>
        <v>22242.463157978797</v>
      </c>
    </row>
    <row r="572" spans="1:28" ht="17.25" customHeight="1" x14ac:dyDescent="0.2">
      <c r="A572" t="s">
        <v>8</v>
      </c>
      <c r="B572" s="20">
        <v>1521</v>
      </c>
      <c r="C572" s="20">
        <v>157</v>
      </c>
      <c r="D572" s="20">
        <v>67</v>
      </c>
      <c r="E572" t="s">
        <v>75</v>
      </c>
      <c r="F572" s="26">
        <v>45176</v>
      </c>
      <c r="G572" t="s">
        <v>79</v>
      </c>
      <c r="H572" s="5">
        <v>24.3</v>
      </c>
      <c r="I572" s="5">
        <v>30.18</v>
      </c>
      <c r="J572" s="5">
        <v>29.16</v>
      </c>
      <c r="K572" s="5">
        <v>3.01</v>
      </c>
      <c r="L572" s="5">
        <v>0.16</v>
      </c>
      <c r="M572" s="3">
        <f t="shared" si="151"/>
        <v>160</v>
      </c>
      <c r="N572" s="5">
        <v>4.47</v>
      </c>
      <c r="O572" s="23">
        <f t="shared" si="162"/>
        <v>4.47E-3</v>
      </c>
      <c r="P572" s="23">
        <f t="shared" si="163"/>
        <v>8.0460000000000004E-2</v>
      </c>
      <c r="Q572" s="7">
        <f t="shared" si="164"/>
        <v>8.0459999999999999E-5</v>
      </c>
      <c r="R572" s="23">
        <f t="shared" si="165"/>
        <v>0.28965599999999997</v>
      </c>
      <c r="S572" s="5">
        <v>2.02</v>
      </c>
      <c r="T572" s="5">
        <v>0.35</v>
      </c>
      <c r="U572" s="3">
        <f t="shared" si="166"/>
        <v>3500</v>
      </c>
      <c r="V572" s="8">
        <v>-0.73</v>
      </c>
      <c r="W572" s="8">
        <v>-1.98</v>
      </c>
      <c r="X572" s="5">
        <f t="shared" si="167"/>
        <v>1.25</v>
      </c>
      <c r="Y572" s="23">
        <f t="shared" si="168"/>
        <v>0.23172479999999998</v>
      </c>
      <c r="Z572" s="23">
        <f t="shared" si="152"/>
        <v>811.03679999999997</v>
      </c>
      <c r="AA572" s="11">
        <f t="shared" si="153"/>
        <v>3.5729669480574264</v>
      </c>
      <c r="AB572" s="11">
        <f t="shared" si="154"/>
        <v>12505.384318200993</v>
      </c>
    </row>
    <row r="573" spans="1:28" ht="17.25" customHeight="1" x14ac:dyDescent="0.2">
      <c r="A573" t="s">
        <v>8</v>
      </c>
      <c r="B573" s="20">
        <v>1521</v>
      </c>
      <c r="C573" s="20">
        <v>157</v>
      </c>
      <c r="D573" s="20">
        <v>68</v>
      </c>
      <c r="E573" t="s">
        <v>75</v>
      </c>
      <c r="F573" s="26">
        <v>45176</v>
      </c>
      <c r="G573" t="s">
        <v>79</v>
      </c>
      <c r="H573" s="5">
        <v>22.08</v>
      </c>
      <c r="I573" s="5">
        <v>31.03</v>
      </c>
      <c r="J573" s="5">
        <v>29.48</v>
      </c>
      <c r="K573" s="5">
        <v>3.13</v>
      </c>
      <c r="L573" s="5">
        <v>0.09</v>
      </c>
      <c r="M573" s="3">
        <f t="shared" si="151"/>
        <v>90</v>
      </c>
      <c r="N573" s="5">
        <v>2.58</v>
      </c>
      <c r="O573" s="23">
        <f t="shared" si="162"/>
        <v>2.5800000000000003E-3</v>
      </c>
      <c r="P573" s="23">
        <f t="shared" si="163"/>
        <v>4.6440000000000002E-2</v>
      </c>
      <c r="Q573" s="7">
        <f t="shared" si="164"/>
        <v>4.6440000000000003E-5</v>
      </c>
      <c r="R573" s="23">
        <f t="shared" si="165"/>
        <v>0.167184</v>
      </c>
      <c r="S573" s="5">
        <v>2.2400000000000002</v>
      </c>
      <c r="T573" s="5">
        <v>0.41</v>
      </c>
      <c r="U573" s="3">
        <f t="shared" si="166"/>
        <v>4100</v>
      </c>
      <c r="V573" s="8">
        <v>-0.84</v>
      </c>
      <c r="W573" s="8">
        <v>-2.2599999999999998</v>
      </c>
      <c r="X573" s="5">
        <f t="shared" si="167"/>
        <v>1.42</v>
      </c>
      <c r="Y573" s="23">
        <f t="shared" si="168"/>
        <v>0.11773521126760564</v>
      </c>
      <c r="Z573" s="23">
        <f t="shared" si="152"/>
        <v>482.7143661971831</v>
      </c>
      <c r="AA573" s="11">
        <f t="shared" si="153"/>
        <v>1.8153603692039577</v>
      </c>
      <c r="AB573" s="11">
        <f t="shared" si="154"/>
        <v>7442.9775137362267</v>
      </c>
    </row>
    <row r="574" spans="1:28" ht="17.25" customHeight="1" x14ac:dyDescent="0.2">
      <c r="A574" t="s">
        <v>8</v>
      </c>
      <c r="B574" s="20">
        <v>1521</v>
      </c>
      <c r="C574" s="20">
        <v>157</v>
      </c>
      <c r="D574" s="20">
        <v>72</v>
      </c>
      <c r="E574" t="s">
        <v>75</v>
      </c>
      <c r="F574" s="26">
        <v>45175</v>
      </c>
      <c r="G574" t="s">
        <v>79</v>
      </c>
      <c r="H574" s="5">
        <v>24.74</v>
      </c>
      <c r="I574" s="5">
        <v>29.79</v>
      </c>
      <c r="J574" s="5">
        <v>28.06</v>
      </c>
      <c r="K574" s="5">
        <v>2.76</v>
      </c>
      <c r="L574" s="5">
        <v>0.1</v>
      </c>
      <c r="M574" s="3">
        <f t="shared" si="151"/>
        <v>100</v>
      </c>
      <c r="N574" s="5">
        <v>2.62</v>
      </c>
      <c r="O574" s="23">
        <f t="shared" si="162"/>
        <v>2.6199999999999999E-3</v>
      </c>
      <c r="P574" s="23">
        <f t="shared" si="163"/>
        <v>4.7160000000000001E-2</v>
      </c>
      <c r="Q574" s="7">
        <f t="shared" si="164"/>
        <v>4.7160000000000002E-5</v>
      </c>
      <c r="R574" s="23">
        <f t="shared" si="165"/>
        <v>0.16977600000000001</v>
      </c>
      <c r="S574" s="5">
        <v>2.52</v>
      </c>
      <c r="T574" s="5">
        <v>0.46</v>
      </c>
      <c r="U574" s="3">
        <f t="shared" si="166"/>
        <v>4600</v>
      </c>
      <c r="V574" s="8">
        <v>-1.19</v>
      </c>
      <c r="W574" s="8">
        <v>-2.08</v>
      </c>
      <c r="X574" s="5">
        <f t="shared" si="167"/>
        <v>0.89000000000000012</v>
      </c>
      <c r="Y574" s="23">
        <f t="shared" si="168"/>
        <v>0.19075955056179775</v>
      </c>
      <c r="Z574" s="23">
        <f t="shared" si="152"/>
        <v>877.4939325842696</v>
      </c>
      <c r="AA574" s="11">
        <f t="shared" si="153"/>
        <v>2.9413233679933821</v>
      </c>
      <c r="AB574" s="11">
        <f t="shared" si="154"/>
        <v>13530.087492769559</v>
      </c>
    </row>
    <row r="575" spans="1:28" ht="17.25" customHeight="1" x14ac:dyDescent="0.2">
      <c r="A575" t="s">
        <v>8</v>
      </c>
      <c r="B575" s="20">
        <v>1521</v>
      </c>
      <c r="C575" s="20">
        <v>158</v>
      </c>
      <c r="D575" s="20">
        <v>70</v>
      </c>
      <c r="E575" t="s">
        <v>75</v>
      </c>
      <c r="F575" s="26">
        <v>45176</v>
      </c>
      <c r="G575" t="s">
        <v>79</v>
      </c>
      <c r="H575" s="5">
        <v>17.100000000000001</v>
      </c>
      <c r="I575" s="5">
        <v>35.92</v>
      </c>
      <c r="J575" s="5">
        <v>33.979999999999997</v>
      </c>
      <c r="K575" s="5">
        <v>4.3099999999999996</v>
      </c>
      <c r="L575" s="5">
        <v>0.13</v>
      </c>
      <c r="M575" s="3">
        <f t="shared" si="151"/>
        <v>130</v>
      </c>
      <c r="N575" s="5">
        <v>5.0999999999999996</v>
      </c>
      <c r="O575" s="23">
        <f t="shared" si="162"/>
        <v>5.0999999999999995E-3</v>
      </c>
      <c r="P575" s="23">
        <f t="shared" si="163"/>
        <v>9.1799999999999993E-2</v>
      </c>
      <c r="Q575" s="7">
        <f t="shared" si="164"/>
        <v>9.1799999999999995E-5</v>
      </c>
      <c r="R575" s="23">
        <f t="shared" si="165"/>
        <v>0.33048</v>
      </c>
      <c r="S575" s="5">
        <v>1.21</v>
      </c>
      <c r="T575" s="5">
        <v>0.27</v>
      </c>
      <c r="U575" s="3">
        <f t="shared" si="166"/>
        <v>2700</v>
      </c>
      <c r="V575" s="8">
        <v>-0.45</v>
      </c>
      <c r="W575" s="8">
        <v>-1.75</v>
      </c>
      <c r="X575" s="5">
        <f t="shared" si="167"/>
        <v>1.3</v>
      </c>
      <c r="Y575" s="23">
        <f t="shared" si="168"/>
        <v>0.25421538461538462</v>
      </c>
      <c r="Z575" s="23">
        <f t="shared" si="152"/>
        <v>686.38153846153853</v>
      </c>
      <c r="AA575" s="11">
        <f t="shared" si="153"/>
        <v>3.9197494912865416</v>
      </c>
      <c r="AB575" s="11">
        <f t="shared" si="154"/>
        <v>10583.323626473662</v>
      </c>
    </row>
    <row r="576" spans="1:28" ht="17.25" customHeight="1" x14ac:dyDescent="0.2">
      <c r="A576" t="s">
        <v>8</v>
      </c>
      <c r="B576" s="20">
        <v>1521</v>
      </c>
      <c r="C576" s="20">
        <v>158</v>
      </c>
      <c r="D576" s="20">
        <v>73</v>
      </c>
      <c r="E576" t="s">
        <v>75</v>
      </c>
      <c r="F576" s="26">
        <v>45176</v>
      </c>
      <c r="G576" t="s">
        <v>79</v>
      </c>
      <c r="H576" s="5">
        <v>19.190000000000001</v>
      </c>
      <c r="I576" s="5">
        <v>33.590000000000003</v>
      </c>
      <c r="J576" s="5">
        <v>31.19</v>
      </c>
      <c r="K576" s="5">
        <v>3.55</v>
      </c>
      <c r="L576" s="5">
        <v>0.17</v>
      </c>
      <c r="M576" s="3">
        <f t="shared" si="151"/>
        <v>170</v>
      </c>
      <c r="N576" s="5">
        <v>5.75</v>
      </c>
      <c r="O576" s="23">
        <f t="shared" si="162"/>
        <v>5.7499999999999999E-3</v>
      </c>
      <c r="P576" s="23">
        <f t="shared" si="163"/>
        <v>0.10349999999999999</v>
      </c>
      <c r="Q576" s="7">
        <f t="shared" si="164"/>
        <v>1.0349999999999999E-4</v>
      </c>
      <c r="R576" s="23">
        <f t="shared" si="165"/>
        <v>0.37259999999999999</v>
      </c>
      <c r="S576" s="5">
        <v>0.73</v>
      </c>
      <c r="T576" s="5">
        <v>0.16</v>
      </c>
      <c r="U576" s="3">
        <f t="shared" si="166"/>
        <v>1600</v>
      </c>
      <c r="V576" s="8">
        <v>-0.48</v>
      </c>
      <c r="W576" s="8">
        <v>-1.73</v>
      </c>
      <c r="X576" s="5">
        <f t="shared" si="167"/>
        <v>1.25</v>
      </c>
      <c r="Y576" s="23">
        <f t="shared" si="168"/>
        <v>0.29808000000000001</v>
      </c>
      <c r="Z576" s="23">
        <f t="shared" si="152"/>
        <v>476.928</v>
      </c>
      <c r="AA576" s="11">
        <f t="shared" si="153"/>
        <v>4.5960984231163771</v>
      </c>
      <c r="AB576" s="11">
        <f t="shared" si="154"/>
        <v>7353.7574769862031</v>
      </c>
    </row>
    <row r="577" spans="1:28" ht="17.25" customHeight="1" x14ac:dyDescent="0.2">
      <c r="A577" t="s">
        <v>8</v>
      </c>
      <c r="B577" s="20">
        <v>1521</v>
      </c>
      <c r="C577" s="20">
        <v>158</v>
      </c>
      <c r="D577" s="20">
        <v>81</v>
      </c>
      <c r="E577" t="s">
        <v>75</v>
      </c>
      <c r="F577" s="26">
        <v>45176</v>
      </c>
      <c r="G577" t="s">
        <v>79</v>
      </c>
      <c r="H577" s="5">
        <v>16.420000000000002</v>
      </c>
      <c r="I577" s="5">
        <v>36.299999999999997</v>
      </c>
      <c r="J577" s="5">
        <v>33.83</v>
      </c>
      <c r="K577" s="5">
        <v>4.28</v>
      </c>
      <c r="L577" s="5">
        <v>0.13</v>
      </c>
      <c r="M577" s="3">
        <f t="shared" si="151"/>
        <v>130</v>
      </c>
      <c r="N577" s="5">
        <v>5.36</v>
      </c>
      <c r="O577" s="23">
        <f t="shared" si="162"/>
        <v>5.3600000000000002E-3</v>
      </c>
      <c r="P577" s="23">
        <f t="shared" si="163"/>
        <v>9.648000000000001E-2</v>
      </c>
      <c r="Q577" s="7">
        <f t="shared" si="164"/>
        <v>9.6480000000000011E-5</v>
      </c>
      <c r="R577" s="23">
        <f t="shared" si="165"/>
        <v>0.34732800000000003</v>
      </c>
      <c r="S577" s="5">
        <v>0.69</v>
      </c>
      <c r="T577" s="5">
        <v>0.22</v>
      </c>
      <c r="U577" s="3">
        <f t="shared" si="166"/>
        <v>2200</v>
      </c>
      <c r="V577" s="8">
        <v>-0.42</v>
      </c>
      <c r="W577" s="8">
        <v>-2.09</v>
      </c>
      <c r="X577" s="5">
        <f t="shared" si="167"/>
        <v>1.67</v>
      </c>
      <c r="Y577" s="23">
        <f t="shared" si="168"/>
        <v>0.20798083832335332</v>
      </c>
      <c r="Z577" s="23">
        <f t="shared" si="152"/>
        <v>457.55784431137732</v>
      </c>
      <c r="AA577" s="11">
        <f t="shared" si="153"/>
        <v>3.206858571713588</v>
      </c>
      <c r="AB577" s="11">
        <f t="shared" si="154"/>
        <v>7055.0888577698934</v>
      </c>
    </row>
    <row r="578" spans="1:28" ht="17.25" customHeight="1" x14ac:dyDescent="0.2">
      <c r="A578" t="s">
        <v>9</v>
      </c>
      <c r="B578" s="20">
        <v>666</v>
      </c>
      <c r="C578" s="20">
        <v>101</v>
      </c>
      <c r="D578" s="20">
        <v>1</v>
      </c>
      <c r="E578" t="s">
        <v>75</v>
      </c>
      <c r="F578" s="26">
        <v>45175</v>
      </c>
      <c r="G578" t="s">
        <v>79</v>
      </c>
      <c r="H578" s="5">
        <v>22.44</v>
      </c>
      <c r="I578" s="5">
        <v>31.88</v>
      </c>
      <c r="J578" s="5">
        <v>29.08</v>
      </c>
      <c r="K578" s="5">
        <v>2.97</v>
      </c>
      <c r="L578" s="5">
        <v>0.1</v>
      </c>
      <c r="M578" s="3">
        <f t="shared" si="151"/>
        <v>100</v>
      </c>
      <c r="N578" s="5">
        <v>2.81</v>
      </c>
      <c r="O578" s="23">
        <f t="shared" si="162"/>
        <v>2.81E-3</v>
      </c>
      <c r="P578" s="23">
        <f t="shared" si="163"/>
        <v>5.058E-2</v>
      </c>
      <c r="Q578" s="7">
        <f t="shared" si="164"/>
        <v>5.058E-5</v>
      </c>
      <c r="R578" s="23">
        <f t="shared" si="165"/>
        <v>0.182088</v>
      </c>
      <c r="S578" s="5">
        <v>5.48</v>
      </c>
      <c r="T578" s="5">
        <v>0.73</v>
      </c>
      <c r="U578" s="3">
        <f t="shared" si="166"/>
        <v>7300</v>
      </c>
      <c r="V578" s="8">
        <v>-0.26</v>
      </c>
      <c r="W578" s="8">
        <v>-2.2999999999999998</v>
      </c>
      <c r="X578" s="5">
        <f t="shared" si="167"/>
        <v>2.04</v>
      </c>
      <c r="Y578" s="23">
        <f t="shared" si="168"/>
        <v>8.9258823529411765E-2</v>
      </c>
      <c r="Z578" s="23">
        <f t="shared" si="152"/>
        <v>651.58941176470591</v>
      </c>
      <c r="AA578" s="11">
        <f t="shared" si="153"/>
        <v>1.3762826693261956</v>
      </c>
      <c r="AB578" s="11">
        <f t="shared" si="154"/>
        <v>10046.863486081227</v>
      </c>
    </row>
    <row r="579" spans="1:28" ht="17.25" customHeight="1" x14ac:dyDescent="0.2">
      <c r="A579" t="s">
        <v>9</v>
      </c>
      <c r="B579" s="20">
        <v>666</v>
      </c>
      <c r="C579" s="20">
        <v>101</v>
      </c>
      <c r="D579" s="20">
        <v>2</v>
      </c>
      <c r="E579" t="s">
        <v>75</v>
      </c>
      <c r="F579" s="26">
        <v>45175</v>
      </c>
      <c r="G579" t="s">
        <v>79</v>
      </c>
      <c r="H579" s="5">
        <v>22.92</v>
      </c>
      <c r="I579" s="5">
        <v>31.5</v>
      </c>
      <c r="J579" s="5">
        <v>30.16</v>
      </c>
      <c r="K579" s="5">
        <v>3.25</v>
      </c>
      <c r="L579" s="5">
        <v>0.11</v>
      </c>
      <c r="M579" s="3">
        <f t="shared" ref="M579:M642" si="169">L579*1000</f>
        <v>110</v>
      </c>
      <c r="N579" s="5">
        <v>3.29</v>
      </c>
      <c r="O579" s="23">
        <f t="shared" si="162"/>
        <v>3.29E-3</v>
      </c>
      <c r="P579" s="23">
        <f t="shared" si="163"/>
        <v>5.9220000000000002E-2</v>
      </c>
      <c r="Q579" s="7">
        <f t="shared" si="164"/>
        <v>5.9219999999999999E-5</v>
      </c>
      <c r="R579" s="23">
        <f t="shared" si="165"/>
        <v>0.21319199999999999</v>
      </c>
      <c r="S579" s="5">
        <v>4.08</v>
      </c>
      <c r="T579" s="5">
        <v>0.49</v>
      </c>
      <c r="U579" s="3">
        <f t="shared" si="166"/>
        <v>4900</v>
      </c>
      <c r="V579" s="8">
        <v>-1.3</v>
      </c>
      <c r="W579" s="8">
        <v>-2.2000000000000002</v>
      </c>
      <c r="X579" s="5">
        <f t="shared" si="167"/>
        <v>0.90000000000000013</v>
      </c>
      <c r="Y579" s="23">
        <f t="shared" si="168"/>
        <v>0.23687999999999995</v>
      </c>
      <c r="Z579" s="23">
        <f t="shared" ref="Z579:Z642" si="170">Y579*U579</f>
        <v>1160.7119999999998</v>
      </c>
      <c r="AA579" s="11">
        <f t="shared" ref="AA579:AA642" si="171">Y579 * 1000 * 1000 / 18.01528 / 3600</f>
        <v>3.652455027065912</v>
      </c>
      <c r="AB579" s="11">
        <f t="shared" ref="AB579:AB642" si="172">AA579*U579</f>
        <v>17897.029632622969</v>
      </c>
    </row>
    <row r="580" spans="1:28" ht="17.25" customHeight="1" x14ac:dyDescent="0.2">
      <c r="A580" t="s">
        <v>9</v>
      </c>
      <c r="B580" s="20">
        <v>666</v>
      </c>
      <c r="C580" s="20">
        <v>101</v>
      </c>
      <c r="D580" s="20">
        <v>3</v>
      </c>
      <c r="E580" t="s">
        <v>75</v>
      </c>
      <c r="F580" s="26">
        <v>45175</v>
      </c>
      <c r="G580" t="s">
        <v>79</v>
      </c>
      <c r="H580" s="5">
        <v>21.59</v>
      </c>
      <c r="I580" s="5">
        <v>31.31</v>
      </c>
      <c r="J580" s="5">
        <v>29.65</v>
      </c>
      <c r="K580" s="5">
        <v>3.17</v>
      </c>
      <c r="L580" s="5">
        <v>0.15</v>
      </c>
      <c r="M580" s="3">
        <f t="shared" si="169"/>
        <v>150</v>
      </c>
      <c r="N580" s="5">
        <v>4.4800000000000004</v>
      </c>
      <c r="O580" s="23">
        <f t="shared" ref="O580:O611" si="173">N580/1000</f>
        <v>4.4800000000000005E-3</v>
      </c>
      <c r="P580" s="23">
        <f t="shared" ref="P580:P611" si="174">O580*18</f>
        <v>8.0640000000000003E-2</v>
      </c>
      <c r="Q580" s="7">
        <f t="shared" ref="Q580:Q611" si="175">P580/1000</f>
        <v>8.064E-5</v>
      </c>
      <c r="R580" s="23">
        <f t="shared" ref="R580:R611" si="176">Q580*3600</f>
        <v>0.29030400000000001</v>
      </c>
      <c r="S580" s="5">
        <v>6.39</v>
      </c>
      <c r="T580" s="5">
        <v>0.75</v>
      </c>
      <c r="U580" s="3">
        <f t="shared" ref="U580:U611" si="177">T580*10000</f>
        <v>7500</v>
      </c>
      <c r="V580" s="8">
        <v>-1.1100000000000001</v>
      </c>
      <c r="W580" s="8">
        <v>-2.37</v>
      </c>
      <c r="X580" s="5">
        <f t="shared" ref="X580:X611" si="178">V580-W580</f>
        <v>1.26</v>
      </c>
      <c r="Y580" s="23">
        <f t="shared" ref="Y580:Y611" si="179">R580/X580</f>
        <v>0.23039999999999999</v>
      </c>
      <c r="Z580" s="23">
        <f t="shared" si="170"/>
        <v>1728</v>
      </c>
      <c r="AA580" s="11">
        <f t="shared" si="171"/>
        <v>3.5525398439546869</v>
      </c>
      <c r="AB580" s="11">
        <f t="shared" si="172"/>
        <v>26644.048829660151</v>
      </c>
    </row>
    <row r="581" spans="1:28" ht="17.25" customHeight="1" x14ac:dyDescent="0.2">
      <c r="A581" t="s">
        <v>9</v>
      </c>
      <c r="B581" s="20">
        <v>666</v>
      </c>
      <c r="C581" s="20">
        <v>105</v>
      </c>
      <c r="D581" s="20">
        <v>7</v>
      </c>
      <c r="E581" t="s">
        <v>75</v>
      </c>
      <c r="F581" s="26">
        <v>45175</v>
      </c>
      <c r="G581" t="s">
        <v>79</v>
      </c>
      <c r="H581" s="5">
        <v>24.82</v>
      </c>
      <c r="I581" s="5">
        <v>30.41</v>
      </c>
      <c r="J581" s="5">
        <v>28.89</v>
      </c>
      <c r="K581" s="5">
        <v>2.9</v>
      </c>
      <c r="L581" s="5">
        <v>7.0000000000000007E-2</v>
      </c>
      <c r="M581" s="3">
        <f t="shared" si="169"/>
        <v>70</v>
      </c>
      <c r="N581" s="5">
        <v>1.95</v>
      </c>
      <c r="O581" s="23">
        <f t="shared" si="173"/>
        <v>1.9499999999999999E-3</v>
      </c>
      <c r="P581" s="23">
        <f t="shared" si="174"/>
        <v>3.5099999999999999E-2</v>
      </c>
      <c r="Q581" s="7">
        <f t="shared" si="175"/>
        <v>3.5099999999999999E-5</v>
      </c>
      <c r="R581" s="23">
        <f t="shared" si="176"/>
        <v>0.12636</v>
      </c>
      <c r="S581" s="5">
        <v>3.32</v>
      </c>
      <c r="T581" s="5">
        <v>0.56000000000000005</v>
      </c>
      <c r="U581" s="5">
        <f t="shared" si="177"/>
        <v>5600.0000000000009</v>
      </c>
      <c r="V581" s="8">
        <v>-1.32</v>
      </c>
      <c r="W581" s="8">
        <v>-1.82</v>
      </c>
      <c r="X581" s="5">
        <f t="shared" si="178"/>
        <v>0.5</v>
      </c>
      <c r="Y581" s="23">
        <f t="shared" si="179"/>
        <v>0.25272</v>
      </c>
      <c r="Z581" s="23">
        <f t="shared" si="170"/>
        <v>1415.2320000000002</v>
      </c>
      <c r="AA581" s="11">
        <f t="shared" si="171"/>
        <v>3.8966921413377977</v>
      </c>
      <c r="AB581" s="11">
        <f t="shared" si="172"/>
        <v>21821.475991491672</v>
      </c>
    </row>
    <row r="582" spans="1:28" ht="17.25" customHeight="1" x14ac:dyDescent="0.2">
      <c r="A582" t="s">
        <v>9</v>
      </c>
      <c r="B582" s="20">
        <v>666</v>
      </c>
      <c r="C582" s="20">
        <v>105</v>
      </c>
      <c r="D582" s="20">
        <v>8</v>
      </c>
      <c r="E582" t="s">
        <v>75</v>
      </c>
      <c r="F582" s="26">
        <v>45175</v>
      </c>
      <c r="G582" t="s">
        <v>79</v>
      </c>
      <c r="H582" s="5">
        <v>24.96</v>
      </c>
      <c r="I582" s="5">
        <v>29.9</v>
      </c>
      <c r="J582" s="5">
        <v>27.04</v>
      </c>
      <c r="K582" s="5">
        <v>2.5299999999999998</v>
      </c>
      <c r="L582" s="5">
        <v>0.18</v>
      </c>
      <c r="M582" s="3">
        <f t="shared" si="169"/>
        <v>180</v>
      </c>
      <c r="N582" s="5">
        <v>4.1900000000000004</v>
      </c>
      <c r="O582" s="23">
        <f t="shared" si="173"/>
        <v>4.1900000000000001E-3</v>
      </c>
      <c r="P582" s="23">
        <f t="shared" si="174"/>
        <v>7.5420000000000001E-2</v>
      </c>
      <c r="Q582" s="7">
        <f t="shared" si="175"/>
        <v>7.5420000000000006E-5</v>
      </c>
      <c r="R582" s="23">
        <f t="shared" si="176"/>
        <v>0.27151200000000003</v>
      </c>
      <c r="S582" s="5">
        <v>1.18</v>
      </c>
      <c r="T582" s="5">
        <v>0.18</v>
      </c>
      <c r="U582" s="3">
        <f t="shared" si="177"/>
        <v>1800</v>
      </c>
      <c r="V582" s="8">
        <v>-1.2</v>
      </c>
      <c r="W582" s="8">
        <v>-2.1</v>
      </c>
      <c r="X582" s="5">
        <f t="shared" si="178"/>
        <v>0.90000000000000013</v>
      </c>
      <c r="Y582" s="23">
        <f t="shared" si="179"/>
        <v>0.30168</v>
      </c>
      <c r="Z582" s="23">
        <f t="shared" si="170"/>
        <v>543.024</v>
      </c>
      <c r="AA582" s="11">
        <f t="shared" si="171"/>
        <v>4.6516068581781687</v>
      </c>
      <c r="AB582" s="11">
        <f t="shared" si="172"/>
        <v>8372.8923447207035</v>
      </c>
    </row>
    <row r="583" spans="1:28" ht="17.25" customHeight="1" x14ac:dyDescent="0.2">
      <c r="A583" t="s">
        <v>9</v>
      </c>
      <c r="B583" s="20">
        <v>666</v>
      </c>
      <c r="C583" s="20">
        <v>105</v>
      </c>
      <c r="D583" s="20">
        <v>9</v>
      </c>
      <c r="E583" t="s">
        <v>75</v>
      </c>
      <c r="F583" s="26">
        <v>45176</v>
      </c>
      <c r="G583" t="s">
        <v>79</v>
      </c>
      <c r="H583" s="5">
        <v>21.93</v>
      </c>
      <c r="I583" s="5">
        <v>32.450000000000003</v>
      </c>
      <c r="J583" s="5">
        <v>31.72</v>
      </c>
      <c r="K583" s="5">
        <v>3.61</v>
      </c>
      <c r="L583" s="5">
        <v>0.1</v>
      </c>
      <c r="M583" s="3">
        <f t="shared" si="169"/>
        <v>100</v>
      </c>
      <c r="N583" s="5">
        <v>3.4</v>
      </c>
      <c r="O583" s="23">
        <f t="shared" si="173"/>
        <v>3.3999999999999998E-3</v>
      </c>
      <c r="P583" s="23">
        <f t="shared" si="174"/>
        <v>6.1199999999999997E-2</v>
      </c>
      <c r="Q583" s="7">
        <f t="shared" si="175"/>
        <v>6.1199999999999997E-5</v>
      </c>
      <c r="R583" s="23">
        <f t="shared" si="176"/>
        <v>0.22031999999999999</v>
      </c>
      <c r="S583" s="5">
        <v>4.63</v>
      </c>
      <c r="T583" s="5">
        <v>0.75</v>
      </c>
      <c r="U583" s="3">
        <f t="shared" si="177"/>
        <v>7500</v>
      </c>
      <c r="V583" s="8">
        <v>-0.56000000000000005</v>
      </c>
      <c r="W583" s="8">
        <v>-2.61</v>
      </c>
      <c r="X583" s="5">
        <f t="shared" si="178"/>
        <v>2.0499999999999998</v>
      </c>
      <c r="Y583" s="23">
        <f t="shared" si="179"/>
        <v>0.10747317073170733</v>
      </c>
      <c r="Z583" s="23">
        <f t="shared" si="170"/>
        <v>806.04878048780495</v>
      </c>
      <c r="AA583" s="11">
        <f t="shared" si="171"/>
        <v>1.6571298662349612</v>
      </c>
      <c r="AB583" s="11">
        <f t="shared" si="172"/>
        <v>12428.473996762208</v>
      </c>
    </row>
    <row r="584" spans="1:28" ht="17.25" customHeight="1" x14ac:dyDescent="0.2">
      <c r="A584" t="s">
        <v>9</v>
      </c>
      <c r="B584" s="20">
        <v>666</v>
      </c>
      <c r="C584" s="20">
        <v>118</v>
      </c>
      <c r="D584" s="20">
        <v>10</v>
      </c>
      <c r="E584" t="s">
        <v>75</v>
      </c>
      <c r="F584" s="26">
        <v>45176</v>
      </c>
      <c r="G584" t="s">
        <v>79</v>
      </c>
      <c r="H584" s="5">
        <v>16.829999999999998</v>
      </c>
      <c r="I584" s="5">
        <v>36.159999999999997</v>
      </c>
      <c r="J584" s="5">
        <v>34.07</v>
      </c>
      <c r="K584" s="5">
        <v>4.33</v>
      </c>
      <c r="L584" s="5">
        <v>0.08</v>
      </c>
      <c r="M584" s="3">
        <f t="shared" si="169"/>
        <v>80</v>
      </c>
      <c r="N584" s="5">
        <v>3.42</v>
      </c>
      <c r="O584" s="23">
        <f t="shared" si="173"/>
        <v>3.4199999999999999E-3</v>
      </c>
      <c r="P584" s="23">
        <f t="shared" si="174"/>
        <v>6.1559999999999997E-2</v>
      </c>
      <c r="Q584" s="7">
        <f t="shared" si="175"/>
        <v>6.156E-5</v>
      </c>
      <c r="R584" s="23">
        <f t="shared" si="176"/>
        <v>0.22161600000000001</v>
      </c>
      <c r="S584" s="5">
        <v>10.06</v>
      </c>
      <c r="T584" s="5">
        <v>1.55</v>
      </c>
      <c r="U584" s="3">
        <f t="shared" si="177"/>
        <v>15500</v>
      </c>
      <c r="V584" s="8">
        <v>-0.26</v>
      </c>
      <c r="W584" s="8">
        <v>-1.83</v>
      </c>
      <c r="X584" s="5">
        <f t="shared" si="178"/>
        <v>1.57</v>
      </c>
      <c r="Y584" s="23">
        <f t="shared" si="179"/>
        <v>0.14115668789808916</v>
      </c>
      <c r="Z584" s="23">
        <f t="shared" si="170"/>
        <v>2187.9286624203819</v>
      </c>
      <c r="AA584" s="11">
        <f t="shared" si="171"/>
        <v>2.1764963454802002</v>
      </c>
      <c r="AB584" s="11">
        <f t="shared" si="172"/>
        <v>33735.693354943105</v>
      </c>
    </row>
    <row r="585" spans="1:28" ht="17.25" customHeight="1" x14ac:dyDescent="0.2">
      <c r="A585" t="s">
        <v>9</v>
      </c>
      <c r="B585" s="20">
        <v>666</v>
      </c>
      <c r="C585" s="20">
        <v>118</v>
      </c>
      <c r="D585" s="20">
        <v>11</v>
      </c>
      <c r="E585" t="s">
        <v>75</v>
      </c>
      <c r="F585" s="26">
        <v>45176</v>
      </c>
      <c r="G585" t="s">
        <v>79</v>
      </c>
      <c r="H585" s="5">
        <v>22.56</v>
      </c>
      <c r="I585" s="5">
        <v>31.45</v>
      </c>
      <c r="J585" s="5">
        <v>30.13</v>
      </c>
      <c r="K585" s="5">
        <v>3.24</v>
      </c>
      <c r="L585" s="5">
        <v>7.0000000000000007E-2</v>
      </c>
      <c r="M585" s="3">
        <f t="shared" si="169"/>
        <v>70</v>
      </c>
      <c r="N585" s="5">
        <v>2.23</v>
      </c>
      <c r="O585" s="23">
        <f t="shared" si="173"/>
        <v>2.2299999999999998E-3</v>
      </c>
      <c r="P585" s="23">
        <f t="shared" si="174"/>
        <v>4.0139999999999995E-2</v>
      </c>
      <c r="Q585" s="7">
        <f t="shared" si="175"/>
        <v>4.0139999999999992E-5</v>
      </c>
      <c r="R585" s="23">
        <f t="shared" si="176"/>
        <v>0.14450399999999997</v>
      </c>
      <c r="S585" s="5">
        <v>2.44</v>
      </c>
      <c r="T585" s="5">
        <v>0.45</v>
      </c>
      <c r="U585" s="3">
        <f t="shared" si="177"/>
        <v>4500</v>
      </c>
      <c r="V585" s="8">
        <v>-0.36</v>
      </c>
      <c r="W585" s="8">
        <v>-1.71</v>
      </c>
      <c r="X585" s="5">
        <f t="shared" si="178"/>
        <v>1.35</v>
      </c>
      <c r="Y585" s="23">
        <f t="shared" si="179"/>
        <v>0.10703999999999997</v>
      </c>
      <c r="Z585" s="23">
        <f t="shared" si="170"/>
        <v>481.67999999999984</v>
      </c>
      <c r="AA585" s="11">
        <f t="shared" si="171"/>
        <v>1.6504508025039479</v>
      </c>
      <c r="AB585" s="11">
        <f t="shared" si="172"/>
        <v>7427.0286112677659</v>
      </c>
    </row>
    <row r="586" spans="1:28" ht="17.25" customHeight="1" x14ac:dyDescent="0.2">
      <c r="A586" t="s">
        <v>9</v>
      </c>
      <c r="B586" s="20">
        <v>666</v>
      </c>
      <c r="C586" s="20">
        <v>118</v>
      </c>
      <c r="D586" s="20">
        <v>12</v>
      </c>
      <c r="E586" t="s">
        <v>75</v>
      </c>
      <c r="F586" s="26">
        <v>45175</v>
      </c>
      <c r="G586" t="s">
        <v>79</v>
      </c>
      <c r="H586" s="5">
        <v>23.09</v>
      </c>
      <c r="I586" s="5">
        <v>30.79</v>
      </c>
      <c r="J586" s="5">
        <v>29.55</v>
      </c>
      <c r="K586" s="5">
        <v>3.12</v>
      </c>
      <c r="L586" s="5">
        <v>0.06</v>
      </c>
      <c r="M586" s="3">
        <f t="shared" si="169"/>
        <v>60</v>
      </c>
      <c r="N586" s="5">
        <v>1.83</v>
      </c>
      <c r="O586" s="23">
        <f t="shared" si="173"/>
        <v>1.83E-3</v>
      </c>
      <c r="P586" s="23">
        <f t="shared" si="174"/>
        <v>3.2939999999999997E-2</v>
      </c>
      <c r="Q586" s="7">
        <f t="shared" si="175"/>
        <v>3.294E-5</v>
      </c>
      <c r="R586" s="23">
        <f t="shared" si="176"/>
        <v>0.11858399999999999</v>
      </c>
      <c r="S586" s="5">
        <v>1.93</v>
      </c>
      <c r="T586" s="5">
        <v>0.33</v>
      </c>
      <c r="U586" s="3">
        <f t="shared" si="177"/>
        <v>3300</v>
      </c>
      <c r="V586" s="8">
        <v>-0.47</v>
      </c>
      <c r="W586" s="8">
        <v>-1.91</v>
      </c>
      <c r="X586" s="5">
        <f t="shared" si="178"/>
        <v>1.44</v>
      </c>
      <c r="Y586" s="23">
        <f t="shared" si="179"/>
        <v>8.2349999999999993E-2</v>
      </c>
      <c r="Z586" s="23">
        <f t="shared" si="170"/>
        <v>271.755</v>
      </c>
      <c r="AA586" s="11">
        <f t="shared" si="171"/>
        <v>1.2697554520384917</v>
      </c>
      <c r="AB586" s="11">
        <f t="shared" si="172"/>
        <v>4190.1929917270227</v>
      </c>
    </row>
    <row r="587" spans="1:28" ht="17.25" customHeight="1" x14ac:dyDescent="0.2">
      <c r="A587" t="s">
        <v>9</v>
      </c>
      <c r="B587" s="20">
        <v>666</v>
      </c>
      <c r="C587" s="20">
        <v>122</v>
      </c>
      <c r="D587" s="20">
        <v>16</v>
      </c>
      <c r="E587" t="s">
        <v>75</v>
      </c>
      <c r="F587" s="26">
        <v>45176</v>
      </c>
      <c r="G587" t="s">
        <v>79</v>
      </c>
      <c r="H587" s="5">
        <v>20.47</v>
      </c>
      <c r="I587" s="5">
        <v>33.200000000000003</v>
      </c>
      <c r="J587" s="5">
        <v>33.69</v>
      </c>
      <c r="K587" s="5">
        <v>4.2</v>
      </c>
      <c r="L587" s="5">
        <v>7.0000000000000007E-2</v>
      </c>
      <c r="M587" s="3">
        <f t="shared" si="169"/>
        <v>70</v>
      </c>
      <c r="N587" s="5">
        <v>2.59</v>
      </c>
      <c r="O587" s="23">
        <f t="shared" si="173"/>
        <v>2.5899999999999999E-3</v>
      </c>
      <c r="P587" s="23">
        <f t="shared" si="174"/>
        <v>4.6619999999999995E-2</v>
      </c>
      <c r="Q587" s="7">
        <f t="shared" si="175"/>
        <v>4.6619999999999997E-5</v>
      </c>
      <c r="R587" s="23">
        <f t="shared" si="176"/>
        <v>0.16783199999999998</v>
      </c>
      <c r="S587" s="5">
        <v>8.4700000000000006</v>
      </c>
      <c r="T587" s="5">
        <v>1.37</v>
      </c>
      <c r="U587" s="5">
        <f t="shared" si="177"/>
        <v>13700.000000000002</v>
      </c>
      <c r="V587" s="8">
        <v>-0.27</v>
      </c>
      <c r="W587" s="8">
        <v>-1.65</v>
      </c>
      <c r="X587" s="5">
        <f t="shared" si="178"/>
        <v>1.38</v>
      </c>
      <c r="Y587" s="23">
        <f t="shared" si="179"/>
        <v>0.12161739130434782</v>
      </c>
      <c r="Z587" s="23">
        <f t="shared" si="170"/>
        <v>1666.1582608695653</v>
      </c>
      <c r="AA587" s="11">
        <f t="shared" si="171"/>
        <v>1.875219741000538</v>
      </c>
      <c r="AB587" s="11">
        <f t="shared" si="172"/>
        <v>25690.510451707374</v>
      </c>
    </row>
    <row r="588" spans="1:28" ht="17.25" customHeight="1" x14ac:dyDescent="0.2">
      <c r="A588" t="s">
        <v>9</v>
      </c>
      <c r="B588" s="20">
        <v>666</v>
      </c>
      <c r="C588" s="20">
        <v>122</v>
      </c>
      <c r="D588" s="20">
        <v>17</v>
      </c>
      <c r="E588" t="s">
        <v>75</v>
      </c>
      <c r="F588" s="26">
        <v>45176</v>
      </c>
      <c r="G588" t="s">
        <v>79</v>
      </c>
      <c r="H588" s="5">
        <v>19.61</v>
      </c>
      <c r="I588" s="5">
        <v>34.61</v>
      </c>
      <c r="J588" s="5">
        <v>33.29</v>
      </c>
      <c r="K588" s="5">
        <v>4.04</v>
      </c>
      <c r="L588" s="5">
        <v>0.09</v>
      </c>
      <c r="M588" s="3">
        <f t="shared" si="169"/>
        <v>90</v>
      </c>
      <c r="N588" s="5">
        <v>3.38</v>
      </c>
      <c r="O588" s="23">
        <f t="shared" si="173"/>
        <v>3.3799999999999998E-3</v>
      </c>
      <c r="P588" s="23">
        <f t="shared" si="174"/>
        <v>6.0839999999999998E-2</v>
      </c>
      <c r="Q588" s="7">
        <f t="shared" si="175"/>
        <v>6.084E-5</v>
      </c>
      <c r="R588" s="23">
        <f t="shared" si="176"/>
        <v>0.219024</v>
      </c>
      <c r="S588" s="5">
        <v>8.18</v>
      </c>
      <c r="T588" s="5">
        <v>1.23</v>
      </c>
      <c r="U588" s="3">
        <f t="shared" si="177"/>
        <v>12300</v>
      </c>
      <c r="V588" s="8">
        <v>-0.26</v>
      </c>
      <c r="W588" s="8">
        <v>-2.09</v>
      </c>
      <c r="X588" s="5">
        <f t="shared" si="178"/>
        <v>1.8299999999999998</v>
      </c>
      <c r="Y588" s="23">
        <f t="shared" si="179"/>
        <v>0.11968524590163936</v>
      </c>
      <c r="Z588" s="23">
        <f t="shared" si="170"/>
        <v>1472.128524590164</v>
      </c>
      <c r="AA588" s="11">
        <f t="shared" si="171"/>
        <v>1.8454279722182654</v>
      </c>
      <c r="AB588" s="11">
        <f t="shared" si="172"/>
        <v>22698.764058284665</v>
      </c>
    </row>
    <row r="589" spans="1:28" ht="17.25" customHeight="1" x14ac:dyDescent="0.2">
      <c r="A589" t="s">
        <v>9</v>
      </c>
      <c r="B589" s="20">
        <v>666</v>
      </c>
      <c r="C589" s="20">
        <v>122</v>
      </c>
      <c r="D589" s="20">
        <v>18</v>
      </c>
      <c r="E589" t="s">
        <v>75</v>
      </c>
      <c r="F589" s="26">
        <v>45175</v>
      </c>
      <c r="G589" t="s">
        <v>79</v>
      </c>
      <c r="H589" s="5">
        <v>21.64</v>
      </c>
      <c r="I589" s="5">
        <v>31.41</v>
      </c>
      <c r="J589" s="5">
        <v>29.45</v>
      </c>
      <c r="K589" s="5">
        <v>3.12</v>
      </c>
      <c r="L589" s="5">
        <v>0.15</v>
      </c>
      <c r="M589" s="3">
        <f t="shared" si="169"/>
        <v>150</v>
      </c>
      <c r="N589" s="5">
        <v>4.4400000000000004</v>
      </c>
      <c r="O589" s="23">
        <f t="shared" si="173"/>
        <v>4.4400000000000004E-3</v>
      </c>
      <c r="P589" s="23">
        <f t="shared" si="174"/>
        <v>7.9920000000000005E-2</v>
      </c>
      <c r="Q589" s="7">
        <f t="shared" si="175"/>
        <v>7.9920000000000007E-5</v>
      </c>
      <c r="R589" s="23">
        <f t="shared" si="176"/>
        <v>0.28771200000000002</v>
      </c>
      <c r="S589" s="5">
        <v>7.71</v>
      </c>
      <c r="T589" s="5">
        <v>1.2</v>
      </c>
      <c r="U589" s="3">
        <f t="shared" si="177"/>
        <v>12000</v>
      </c>
      <c r="V589" s="8">
        <v>-0.88</v>
      </c>
      <c r="W589" s="8">
        <v>-1.99</v>
      </c>
      <c r="X589" s="5">
        <f t="shared" si="178"/>
        <v>1.1099999999999999</v>
      </c>
      <c r="Y589" s="23">
        <f t="shared" si="179"/>
        <v>0.25920000000000004</v>
      </c>
      <c r="Z589" s="23">
        <f t="shared" si="170"/>
        <v>3110.4000000000005</v>
      </c>
      <c r="AA589" s="11">
        <f t="shared" si="171"/>
        <v>3.9966073244490241</v>
      </c>
      <c r="AB589" s="11">
        <f t="shared" si="172"/>
        <v>47959.287893388289</v>
      </c>
    </row>
    <row r="590" spans="1:28" ht="17.25" customHeight="1" x14ac:dyDescent="0.2">
      <c r="A590" t="s">
        <v>9</v>
      </c>
      <c r="B590" s="20">
        <v>666</v>
      </c>
      <c r="C590" s="20">
        <v>123</v>
      </c>
      <c r="D590" s="20">
        <v>19</v>
      </c>
      <c r="E590" t="s">
        <v>75</v>
      </c>
      <c r="F590" s="26">
        <v>45175</v>
      </c>
      <c r="G590" t="s">
        <v>79</v>
      </c>
      <c r="H590" s="5">
        <v>27.75</v>
      </c>
      <c r="I590" s="5">
        <v>29.05</v>
      </c>
      <c r="J590" s="5">
        <v>26.23</v>
      </c>
      <c r="K590" s="5">
        <v>2.2999999999999998</v>
      </c>
      <c r="L590" s="5">
        <v>0.21</v>
      </c>
      <c r="M590" s="3">
        <f t="shared" si="169"/>
        <v>210</v>
      </c>
      <c r="N590" s="5">
        <v>4.45</v>
      </c>
      <c r="O590" s="23">
        <f t="shared" si="173"/>
        <v>4.45E-3</v>
      </c>
      <c r="P590" s="23">
        <f t="shared" si="174"/>
        <v>8.0100000000000005E-2</v>
      </c>
      <c r="Q590" s="7">
        <f t="shared" si="175"/>
        <v>8.0100000000000009E-5</v>
      </c>
      <c r="R590" s="23">
        <f t="shared" si="176"/>
        <v>0.28836000000000001</v>
      </c>
      <c r="S590" s="5">
        <v>8.61</v>
      </c>
      <c r="T590" s="5">
        <v>1.52</v>
      </c>
      <c r="U590" s="3">
        <f t="shared" si="177"/>
        <v>15200</v>
      </c>
      <c r="V590" s="8">
        <v>-0.86</v>
      </c>
      <c r="W590" s="8">
        <v>-2.4300000000000002</v>
      </c>
      <c r="X590" s="5">
        <f t="shared" si="178"/>
        <v>1.5700000000000003</v>
      </c>
      <c r="Y590" s="23">
        <f t="shared" si="179"/>
        <v>0.18366878980891715</v>
      </c>
      <c r="Z590" s="23">
        <f t="shared" si="170"/>
        <v>2791.7656050955406</v>
      </c>
      <c r="AA590" s="11">
        <f t="shared" si="171"/>
        <v>2.8319908588850553</v>
      </c>
      <c r="AB590" s="11">
        <f t="shared" si="172"/>
        <v>43046.261055052841</v>
      </c>
    </row>
    <row r="591" spans="1:28" ht="17.25" customHeight="1" x14ac:dyDescent="0.2">
      <c r="A591" t="s">
        <v>9</v>
      </c>
      <c r="B591" s="20">
        <v>666</v>
      </c>
      <c r="C591" s="20">
        <v>123</v>
      </c>
      <c r="D591" s="20">
        <v>20</v>
      </c>
      <c r="E591" t="s">
        <v>75</v>
      </c>
      <c r="F591" s="26">
        <v>45175</v>
      </c>
      <c r="G591" t="s">
        <v>79</v>
      </c>
      <c r="H591" s="5">
        <v>25.26</v>
      </c>
      <c r="I591" s="5">
        <v>29.16</v>
      </c>
      <c r="J591" s="5">
        <v>27.11</v>
      </c>
      <c r="K591" s="5">
        <v>2.57</v>
      </c>
      <c r="L591" s="5">
        <v>0.11</v>
      </c>
      <c r="M591" s="3">
        <f t="shared" si="169"/>
        <v>110</v>
      </c>
      <c r="N591" s="5">
        <v>2.6</v>
      </c>
      <c r="O591" s="23">
        <f t="shared" si="173"/>
        <v>2.5999999999999999E-3</v>
      </c>
      <c r="P591" s="23">
        <f t="shared" si="174"/>
        <v>4.6799999999999994E-2</v>
      </c>
      <c r="Q591" s="7">
        <f t="shared" si="175"/>
        <v>4.6799999999999992E-5</v>
      </c>
      <c r="R591" s="23">
        <f t="shared" si="176"/>
        <v>0.16847999999999996</v>
      </c>
      <c r="S591" s="5">
        <v>1.94</v>
      </c>
      <c r="T591" s="5">
        <v>0.35</v>
      </c>
      <c r="U591" s="3">
        <f t="shared" si="177"/>
        <v>3500</v>
      </c>
      <c r="V591" s="8">
        <v>-1.21</v>
      </c>
      <c r="W591" s="8">
        <v>-1.88</v>
      </c>
      <c r="X591" s="5">
        <f t="shared" si="178"/>
        <v>0.66999999999999993</v>
      </c>
      <c r="Y591" s="23">
        <f t="shared" si="179"/>
        <v>0.25146268656716414</v>
      </c>
      <c r="Z591" s="23">
        <f t="shared" si="170"/>
        <v>880.11940298507454</v>
      </c>
      <c r="AA591" s="11">
        <f t="shared" si="171"/>
        <v>3.8773056132714392</v>
      </c>
      <c r="AB591" s="11">
        <f t="shared" si="172"/>
        <v>13570.569646450038</v>
      </c>
    </row>
    <row r="592" spans="1:28" ht="17.25" customHeight="1" x14ac:dyDescent="0.2">
      <c r="A592" t="s">
        <v>9</v>
      </c>
      <c r="B592" s="20">
        <v>666</v>
      </c>
      <c r="C592" s="20">
        <v>123</v>
      </c>
      <c r="D592" s="20">
        <v>22</v>
      </c>
      <c r="E592" t="s">
        <v>75</v>
      </c>
      <c r="F592" s="26">
        <v>45175</v>
      </c>
      <c r="G592" t="s">
        <v>79</v>
      </c>
      <c r="H592" s="5">
        <v>23.56</v>
      </c>
      <c r="I592" s="5">
        <v>31.65</v>
      </c>
      <c r="J592" s="5">
        <v>29.94</v>
      </c>
      <c r="K592" s="5">
        <v>3.13</v>
      </c>
      <c r="L592" s="5">
        <v>0.1</v>
      </c>
      <c r="M592" s="3">
        <f t="shared" si="169"/>
        <v>100</v>
      </c>
      <c r="N592" s="5">
        <v>2.97</v>
      </c>
      <c r="O592" s="23">
        <f t="shared" si="173"/>
        <v>2.97E-3</v>
      </c>
      <c r="P592" s="23">
        <f t="shared" si="174"/>
        <v>5.3460000000000001E-2</v>
      </c>
      <c r="Q592" s="7">
        <f t="shared" si="175"/>
        <v>5.346E-5</v>
      </c>
      <c r="R592" s="23">
        <f t="shared" si="176"/>
        <v>0.19245599999999999</v>
      </c>
      <c r="S592" s="5">
        <v>7.09</v>
      </c>
      <c r="T592" s="5">
        <v>0.5</v>
      </c>
      <c r="U592" s="3">
        <f t="shared" si="177"/>
        <v>5000</v>
      </c>
      <c r="V592" s="8">
        <v>-0.92</v>
      </c>
      <c r="W592" s="8">
        <v>-1.96</v>
      </c>
      <c r="X592" s="5">
        <f t="shared" si="178"/>
        <v>1.04</v>
      </c>
      <c r="Y592" s="23">
        <f t="shared" si="179"/>
        <v>0.18505384615384612</v>
      </c>
      <c r="Z592" s="23">
        <f t="shared" si="170"/>
        <v>925.2692307692306</v>
      </c>
      <c r="AA592" s="11">
        <f t="shared" si="171"/>
        <v>2.8533470561571144</v>
      </c>
      <c r="AB592" s="11">
        <f t="shared" si="172"/>
        <v>14266.735280785571</v>
      </c>
    </row>
    <row r="593" spans="1:28" ht="17.25" customHeight="1" x14ac:dyDescent="0.2">
      <c r="A593" t="s">
        <v>10</v>
      </c>
      <c r="B593" s="20">
        <v>1212</v>
      </c>
      <c r="C593" s="20">
        <v>3</v>
      </c>
      <c r="D593" s="20">
        <v>29</v>
      </c>
      <c r="E593" t="s">
        <v>75</v>
      </c>
      <c r="F593" s="26">
        <v>45175</v>
      </c>
      <c r="G593" t="s">
        <v>79</v>
      </c>
      <c r="H593" s="5">
        <v>23.07</v>
      </c>
      <c r="I593" s="5">
        <v>30.94</v>
      </c>
      <c r="J593" s="5">
        <v>29.66</v>
      </c>
      <c r="K593" s="5">
        <v>3.13</v>
      </c>
      <c r="L593" s="5">
        <v>0.06</v>
      </c>
      <c r="M593" s="3">
        <f t="shared" si="169"/>
        <v>60</v>
      </c>
      <c r="N593" s="5">
        <v>1.76</v>
      </c>
      <c r="O593" s="23">
        <f t="shared" si="173"/>
        <v>1.7600000000000001E-3</v>
      </c>
      <c r="P593" s="23">
        <f t="shared" si="174"/>
        <v>3.168E-2</v>
      </c>
      <c r="Q593" s="7">
        <f t="shared" si="175"/>
        <v>3.1680000000000002E-5</v>
      </c>
      <c r="R593" s="23">
        <f t="shared" si="176"/>
        <v>0.11404800000000001</v>
      </c>
      <c r="S593" s="5">
        <v>0.9</v>
      </c>
      <c r="T593" s="5">
        <v>0.17</v>
      </c>
      <c r="U593" s="5">
        <f t="shared" si="177"/>
        <v>1700.0000000000002</v>
      </c>
      <c r="V593" s="8">
        <v>-0.74</v>
      </c>
      <c r="W593" s="8">
        <v>-2.06</v>
      </c>
      <c r="X593" s="5">
        <f t="shared" si="178"/>
        <v>1.32</v>
      </c>
      <c r="Y593" s="23">
        <f t="shared" si="179"/>
        <v>8.6400000000000005E-2</v>
      </c>
      <c r="Z593" s="23">
        <f t="shared" si="170"/>
        <v>146.88000000000002</v>
      </c>
      <c r="AA593" s="11">
        <f t="shared" si="171"/>
        <v>1.3322024414830078</v>
      </c>
      <c r="AB593" s="11">
        <f t="shared" si="172"/>
        <v>2264.7441505211136</v>
      </c>
    </row>
    <row r="594" spans="1:28" ht="17.25" customHeight="1" x14ac:dyDescent="0.2">
      <c r="A594" t="s">
        <v>10</v>
      </c>
      <c r="B594" s="20">
        <v>1212</v>
      </c>
      <c r="C594" s="20">
        <v>3</v>
      </c>
      <c r="D594" s="20">
        <v>30</v>
      </c>
      <c r="E594" t="s">
        <v>75</v>
      </c>
      <c r="F594" s="26">
        <v>45175</v>
      </c>
      <c r="G594" t="s">
        <v>79</v>
      </c>
      <c r="H594" s="5">
        <v>21.33</v>
      </c>
      <c r="I594" s="5">
        <v>32.119999999999997</v>
      </c>
      <c r="J594" s="5">
        <v>29.12</v>
      </c>
      <c r="K594" s="5">
        <v>3.01</v>
      </c>
      <c r="L594" s="5">
        <v>0.09</v>
      </c>
      <c r="M594" s="3">
        <f t="shared" si="169"/>
        <v>90</v>
      </c>
      <c r="N594" s="5">
        <v>2.44</v>
      </c>
      <c r="O594" s="23">
        <f t="shared" si="173"/>
        <v>2.4399999999999999E-3</v>
      </c>
      <c r="P594" s="23">
        <f t="shared" si="174"/>
        <v>4.3920000000000001E-2</v>
      </c>
      <c r="Q594" s="7">
        <f t="shared" si="175"/>
        <v>4.392E-5</v>
      </c>
      <c r="R594" s="23">
        <f t="shared" si="176"/>
        <v>0.158112</v>
      </c>
      <c r="S594" s="5">
        <v>7.13</v>
      </c>
      <c r="T594" s="5">
        <v>1.39</v>
      </c>
      <c r="U594" s="5">
        <f t="shared" si="177"/>
        <v>13899.999999999998</v>
      </c>
      <c r="V594" s="8">
        <v>-0.86</v>
      </c>
      <c r="W594" s="8">
        <v>-2.41</v>
      </c>
      <c r="X594" s="5">
        <f t="shared" si="178"/>
        <v>1.5500000000000003</v>
      </c>
      <c r="Y594" s="23">
        <f t="shared" si="179"/>
        <v>0.10200774193548386</v>
      </c>
      <c r="Z594" s="23">
        <f t="shared" si="170"/>
        <v>1417.9076129032255</v>
      </c>
      <c r="AA594" s="11">
        <f t="shared" si="171"/>
        <v>1.5728583663960669</v>
      </c>
      <c r="AB594" s="11">
        <f t="shared" si="172"/>
        <v>21862.731292905326</v>
      </c>
    </row>
    <row r="595" spans="1:28" ht="17.25" customHeight="1" x14ac:dyDescent="0.2">
      <c r="A595" t="s">
        <v>10</v>
      </c>
      <c r="B595" s="20">
        <v>1212</v>
      </c>
      <c r="C595" s="20">
        <v>3</v>
      </c>
      <c r="D595" s="20">
        <v>31</v>
      </c>
      <c r="E595" t="s">
        <v>75</v>
      </c>
      <c r="F595" s="26">
        <v>45176</v>
      </c>
      <c r="G595" t="s">
        <v>79</v>
      </c>
      <c r="H595" s="3">
        <v>23</v>
      </c>
      <c r="I595" s="5">
        <v>32.020000000000003</v>
      </c>
      <c r="J595" s="5">
        <v>30.75</v>
      </c>
      <c r="K595" s="5">
        <v>3.34</v>
      </c>
      <c r="L595" s="5">
        <v>7.0000000000000007E-2</v>
      </c>
      <c r="M595" s="3">
        <f t="shared" si="169"/>
        <v>70</v>
      </c>
      <c r="N595" s="5">
        <v>2.21</v>
      </c>
      <c r="O595" s="23">
        <f t="shared" si="173"/>
        <v>2.2100000000000002E-3</v>
      </c>
      <c r="P595" s="23">
        <f t="shared" si="174"/>
        <v>3.9780000000000003E-2</v>
      </c>
      <c r="Q595" s="7">
        <f t="shared" si="175"/>
        <v>3.9780000000000002E-5</v>
      </c>
      <c r="R595" s="23">
        <f t="shared" si="176"/>
        <v>0.143208</v>
      </c>
      <c r="S595" s="5">
        <v>4.1399999999999997</v>
      </c>
      <c r="T595" s="5">
        <v>0.74</v>
      </c>
      <c r="U595" s="3">
        <f t="shared" si="177"/>
        <v>7400</v>
      </c>
      <c r="V595" s="8">
        <v>-0.52</v>
      </c>
      <c r="W595" s="8">
        <v>-2.13</v>
      </c>
      <c r="X595" s="5">
        <f t="shared" si="178"/>
        <v>1.6099999999999999</v>
      </c>
      <c r="Y595" s="23">
        <f t="shared" si="179"/>
        <v>8.894906832298137E-2</v>
      </c>
      <c r="Z595" s="23">
        <f t="shared" si="170"/>
        <v>658.22310559006212</v>
      </c>
      <c r="AA595" s="11">
        <f t="shared" si="171"/>
        <v>1.3715065507814195</v>
      </c>
      <c r="AB595" s="11">
        <f t="shared" si="172"/>
        <v>10149.148475782504</v>
      </c>
    </row>
    <row r="596" spans="1:28" ht="17.25" customHeight="1" x14ac:dyDescent="0.2">
      <c r="A596" t="s">
        <v>10</v>
      </c>
      <c r="B596" s="20">
        <v>1212</v>
      </c>
      <c r="C596" s="20">
        <v>4</v>
      </c>
      <c r="D596" s="20">
        <v>32</v>
      </c>
      <c r="E596" t="s">
        <v>75</v>
      </c>
      <c r="F596" s="26">
        <v>45175</v>
      </c>
      <c r="G596" t="s">
        <v>79</v>
      </c>
      <c r="H596" s="5">
        <v>22.4</v>
      </c>
      <c r="I596" s="5">
        <v>31.08</v>
      </c>
      <c r="J596" s="5">
        <v>29.51</v>
      </c>
      <c r="K596" s="5">
        <v>3.11</v>
      </c>
      <c r="L596" s="5">
        <v>0.04</v>
      </c>
      <c r="M596" s="3">
        <f t="shared" si="169"/>
        <v>40</v>
      </c>
      <c r="N596" s="5">
        <v>1.05</v>
      </c>
      <c r="O596" s="23">
        <f t="shared" si="173"/>
        <v>1.0500000000000002E-3</v>
      </c>
      <c r="P596" s="23">
        <f t="shared" si="174"/>
        <v>1.8900000000000004E-2</v>
      </c>
      <c r="Q596" s="7">
        <f t="shared" si="175"/>
        <v>1.8900000000000002E-5</v>
      </c>
      <c r="R596" s="23">
        <f t="shared" si="176"/>
        <v>6.8040000000000003E-2</v>
      </c>
      <c r="S596" s="5">
        <v>7.33</v>
      </c>
      <c r="T596" s="5">
        <v>1.02</v>
      </c>
      <c r="U596" s="3">
        <f t="shared" si="177"/>
        <v>10200</v>
      </c>
      <c r="V596" s="8">
        <v>-0.86</v>
      </c>
      <c r="W596" s="8">
        <v>-2.06</v>
      </c>
      <c r="X596" s="5">
        <f t="shared" si="178"/>
        <v>1.2000000000000002</v>
      </c>
      <c r="Y596" s="23">
        <f t="shared" si="179"/>
        <v>5.6699999999999993E-2</v>
      </c>
      <c r="Z596" s="23">
        <f t="shared" si="170"/>
        <v>578.33999999999992</v>
      </c>
      <c r="AA596" s="11">
        <f t="shared" si="171"/>
        <v>0.87425785222322372</v>
      </c>
      <c r="AB596" s="11">
        <f t="shared" si="172"/>
        <v>8917.430092676881</v>
      </c>
    </row>
    <row r="597" spans="1:28" ht="17.25" customHeight="1" x14ac:dyDescent="0.2">
      <c r="A597" t="s">
        <v>10</v>
      </c>
      <c r="B597" s="20">
        <v>1212</v>
      </c>
      <c r="C597" s="20">
        <v>4</v>
      </c>
      <c r="D597" s="20">
        <v>33</v>
      </c>
      <c r="E597" t="s">
        <v>75</v>
      </c>
      <c r="F597" s="26">
        <v>45176</v>
      </c>
      <c r="G597" t="s">
        <v>79</v>
      </c>
      <c r="H597" s="5">
        <v>18.25</v>
      </c>
      <c r="I597" s="5">
        <v>34.96</v>
      </c>
      <c r="J597" s="5">
        <v>36.159999999999997</v>
      </c>
      <c r="K597" s="5">
        <v>4.97</v>
      </c>
      <c r="L597" s="5">
        <v>0.03</v>
      </c>
      <c r="M597" s="3">
        <f t="shared" si="169"/>
        <v>30</v>
      </c>
      <c r="N597" s="5">
        <v>1.55</v>
      </c>
      <c r="O597" s="23">
        <f t="shared" si="173"/>
        <v>1.5499999999999999E-3</v>
      </c>
      <c r="P597" s="23">
        <f t="shared" si="174"/>
        <v>2.7899999999999998E-2</v>
      </c>
      <c r="Q597" s="7">
        <f t="shared" si="175"/>
        <v>2.7899999999999997E-5</v>
      </c>
      <c r="R597" s="23">
        <f t="shared" si="176"/>
        <v>0.10043999999999999</v>
      </c>
      <c r="S597" s="5">
        <v>19.41</v>
      </c>
      <c r="T597" s="5">
        <v>3.48</v>
      </c>
      <c r="U597" s="3">
        <f t="shared" si="177"/>
        <v>34800</v>
      </c>
      <c r="V597" s="8">
        <v>-0.52</v>
      </c>
      <c r="W597" s="8">
        <v>-1.95</v>
      </c>
      <c r="X597" s="5">
        <f t="shared" si="178"/>
        <v>1.43</v>
      </c>
      <c r="Y597" s="23">
        <f t="shared" si="179"/>
        <v>7.0237762237762236E-2</v>
      </c>
      <c r="Z597" s="23">
        <f t="shared" si="170"/>
        <v>2444.2741258741257</v>
      </c>
      <c r="AA597" s="11">
        <f t="shared" si="171"/>
        <v>1.0829967400167808</v>
      </c>
      <c r="AB597" s="11">
        <f t="shared" si="172"/>
        <v>37688.286552583973</v>
      </c>
    </row>
    <row r="598" spans="1:28" ht="17.25" customHeight="1" x14ac:dyDescent="0.2">
      <c r="A598" t="s">
        <v>10</v>
      </c>
      <c r="B598" s="20">
        <v>1212</v>
      </c>
      <c r="C598" s="20">
        <v>4</v>
      </c>
      <c r="D598" s="20">
        <v>34</v>
      </c>
      <c r="E598" t="s">
        <v>75</v>
      </c>
      <c r="F598" s="26">
        <v>45175</v>
      </c>
      <c r="G598" t="s">
        <v>79</v>
      </c>
      <c r="H598" s="5">
        <v>22.11</v>
      </c>
      <c r="I598" s="5">
        <v>32.049999999999997</v>
      </c>
      <c r="J598" s="5">
        <v>30.11</v>
      </c>
      <c r="K598" s="5">
        <v>3.22</v>
      </c>
      <c r="L598" s="5">
        <v>7.0000000000000007E-2</v>
      </c>
      <c r="M598" s="3">
        <f t="shared" si="169"/>
        <v>70</v>
      </c>
      <c r="N598" s="5">
        <v>2.2599999999999998</v>
      </c>
      <c r="O598" s="23">
        <f t="shared" si="173"/>
        <v>2.2599999999999999E-3</v>
      </c>
      <c r="P598" s="23">
        <f t="shared" si="174"/>
        <v>4.0679999999999994E-2</v>
      </c>
      <c r="Q598" s="7">
        <f t="shared" si="175"/>
        <v>4.0679999999999997E-5</v>
      </c>
      <c r="R598" s="23">
        <f t="shared" si="176"/>
        <v>0.14644799999999999</v>
      </c>
      <c r="S598" s="5">
        <v>6.58</v>
      </c>
      <c r="T598" s="5">
        <v>1.1499999999999999</v>
      </c>
      <c r="U598" s="3">
        <f t="shared" si="177"/>
        <v>11500</v>
      </c>
      <c r="V598" s="8">
        <v>-0.38</v>
      </c>
      <c r="W598" s="8">
        <v>-1.82</v>
      </c>
      <c r="X598" s="5">
        <f t="shared" si="178"/>
        <v>1.44</v>
      </c>
      <c r="Y598" s="23">
        <f t="shared" si="179"/>
        <v>0.1017</v>
      </c>
      <c r="Z598" s="23">
        <f t="shared" si="170"/>
        <v>1169.55</v>
      </c>
      <c r="AA598" s="11">
        <f t="shared" si="171"/>
        <v>1.5681132904956236</v>
      </c>
      <c r="AB598" s="11">
        <f t="shared" si="172"/>
        <v>18033.302840699671</v>
      </c>
    </row>
    <row r="599" spans="1:28" ht="17.25" customHeight="1" x14ac:dyDescent="0.2">
      <c r="A599" t="s">
        <v>10</v>
      </c>
      <c r="B599" s="20">
        <v>1212</v>
      </c>
      <c r="C599" s="20">
        <v>7</v>
      </c>
      <c r="D599" s="20">
        <v>36</v>
      </c>
      <c r="E599" t="s">
        <v>75</v>
      </c>
      <c r="F599" s="26">
        <v>45175</v>
      </c>
      <c r="G599" t="s">
        <v>79</v>
      </c>
      <c r="H599" s="3">
        <v>21</v>
      </c>
      <c r="I599" s="5">
        <v>32.25</v>
      </c>
      <c r="J599" s="5">
        <v>30.85</v>
      </c>
      <c r="K599" s="5">
        <v>3.44</v>
      </c>
      <c r="L599" s="5">
        <v>0.06</v>
      </c>
      <c r="M599" s="3">
        <f t="shared" si="169"/>
        <v>60</v>
      </c>
      <c r="N599" s="5">
        <v>1.97</v>
      </c>
      <c r="O599" s="23">
        <f t="shared" si="173"/>
        <v>1.97E-3</v>
      </c>
      <c r="P599" s="23">
        <f t="shared" si="174"/>
        <v>3.5459999999999998E-2</v>
      </c>
      <c r="Q599" s="7">
        <f t="shared" si="175"/>
        <v>3.5459999999999996E-5</v>
      </c>
      <c r="R599" s="23">
        <f t="shared" si="176"/>
        <v>0.12765599999999999</v>
      </c>
      <c r="S599" s="5">
        <v>8.77</v>
      </c>
      <c r="T599" s="5">
        <v>0.91</v>
      </c>
      <c r="U599" s="3">
        <f t="shared" si="177"/>
        <v>9100</v>
      </c>
      <c r="V599" s="8">
        <v>-0.41</v>
      </c>
      <c r="W599" s="8">
        <v>-2.19</v>
      </c>
      <c r="X599" s="5">
        <f t="shared" si="178"/>
        <v>1.78</v>
      </c>
      <c r="Y599" s="23">
        <f t="shared" si="179"/>
        <v>7.1716853932584271E-2</v>
      </c>
      <c r="Z599" s="23">
        <f t="shared" si="170"/>
        <v>652.62337078651683</v>
      </c>
      <c r="AA599" s="11">
        <f t="shared" si="171"/>
        <v>1.1058028692646877</v>
      </c>
      <c r="AB599" s="11">
        <f t="shared" si="172"/>
        <v>10062.806110308658</v>
      </c>
    </row>
    <row r="600" spans="1:28" ht="17.25" customHeight="1" x14ac:dyDescent="0.2">
      <c r="A600" t="s">
        <v>10</v>
      </c>
      <c r="B600" s="20">
        <v>1212</v>
      </c>
      <c r="C600" s="20">
        <v>7</v>
      </c>
      <c r="D600" s="20">
        <v>37</v>
      </c>
      <c r="E600" t="s">
        <v>75</v>
      </c>
      <c r="F600" s="26">
        <v>45175</v>
      </c>
      <c r="G600" t="s">
        <v>79</v>
      </c>
      <c r="H600" s="5">
        <v>22.87</v>
      </c>
      <c r="I600" s="5">
        <v>31.8</v>
      </c>
      <c r="J600" s="5">
        <v>27.84</v>
      </c>
      <c r="K600" s="5">
        <v>2.67</v>
      </c>
      <c r="L600" s="5">
        <v>0.24</v>
      </c>
      <c r="M600" s="3">
        <f t="shared" si="169"/>
        <v>240</v>
      </c>
      <c r="N600" s="5">
        <v>6.06</v>
      </c>
      <c r="O600" s="23">
        <f t="shared" si="173"/>
        <v>6.0599999999999994E-3</v>
      </c>
      <c r="P600" s="23">
        <f t="shared" si="174"/>
        <v>0.10907999999999998</v>
      </c>
      <c r="Q600" s="7">
        <f t="shared" si="175"/>
        <v>1.0907999999999998E-4</v>
      </c>
      <c r="R600" s="23">
        <f t="shared" si="176"/>
        <v>0.39268799999999993</v>
      </c>
      <c r="S600" s="5">
        <v>4.8499999999999996</v>
      </c>
      <c r="T600" s="5">
        <v>0.94</v>
      </c>
      <c r="U600" s="3">
        <f t="shared" si="177"/>
        <v>9400</v>
      </c>
      <c r="V600" s="8">
        <v>-0.71</v>
      </c>
      <c r="W600" s="8">
        <v>-2.1</v>
      </c>
      <c r="X600" s="5">
        <f t="shared" si="178"/>
        <v>1.3900000000000001</v>
      </c>
      <c r="Y600" s="23">
        <f t="shared" si="179"/>
        <v>0.28250935251798553</v>
      </c>
      <c r="Z600" s="23">
        <f t="shared" si="170"/>
        <v>2655.5879136690642</v>
      </c>
      <c r="AA600" s="11">
        <f t="shared" si="171"/>
        <v>4.3560144579426385</v>
      </c>
      <c r="AB600" s="11">
        <f t="shared" si="172"/>
        <v>40946.535904660799</v>
      </c>
    </row>
    <row r="601" spans="1:28" ht="17.25" customHeight="1" x14ac:dyDescent="0.2">
      <c r="A601" t="s">
        <v>10</v>
      </c>
      <c r="B601" s="20">
        <v>1212</v>
      </c>
      <c r="C601" s="20">
        <v>7</v>
      </c>
      <c r="D601" s="20">
        <v>83</v>
      </c>
      <c r="E601" t="s">
        <v>75</v>
      </c>
      <c r="F601" s="26">
        <v>45175</v>
      </c>
      <c r="G601" t="s">
        <v>79</v>
      </c>
      <c r="H601" s="5">
        <v>24.34</v>
      </c>
      <c r="I601" s="5">
        <v>30.68</v>
      </c>
      <c r="J601" s="5">
        <v>29.5</v>
      </c>
      <c r="K601" s="5">
        <v>3.05</v>
      </c>
      <c r="L601" s="5">
        <v>0.14000000000000001</v>
      </c>
      <c r="M601" s="3">
        <f t="shared" si="169"/>
        <v>140</v>
      </c>
      <c r="N601" s="5">
        <v>4.04</v>
      </c>
      <c r="O601" s="23">
        <f t="shared" si="173"/>
        <v>4.0400000000000002E-3</v>
      </c>
      <c r="P601" s="23">
        <f t="shared" si="174"/>
        <v>7.2720000000000007E-2</v>
      </c>
      <c r="Q601" s="7">
        <f t="shared" si="175"/>
        <v>7.2720000000000008E-5</v>
      </c>
      <c r="R601" s="23">
        <f t="shared" si="176"/>
        <v>0.26179200000000002</v>
      </c>
      <c r="S601" s="5">
        <v>11.85</v>
      </c>
      <c r="T601" s="5">
        <v>1.4</v>
      </c>
      <c r="U601" s="3">
        <f t="shared" si="177"/>
        <v>14000</v>
      </c>
      <c r="V601" s="8">
        <v>-1.08</v>
      </c>
      <c r="W601" s="8">
        <v>-2.33</v>
      </c>
      <c r="X601" s="5">
        <f t="shared" si="178"/>
        <v>1.25</v>
      </c>
      <c r="Y601" s="23">
        <f t="shared" si="179"/>
        <v>0.20943360000000003</v>
      </c>
      <c r="Z601" s="23">
        <f t="shared" si="170"/>
        <v>2932.0704000000005</v>
      </c>
      <c r="AA601" s="11">
        <f t="shared" si="171"/>
        <v>3.2292587181548105</v>
      </c>
      <c r="AB601" s="11">
        <f t="shared" si="172"/>
        <v>45209.622054167347</v>
      </c>
    </row>
    <row r="602" spans="1:28" ht="17.25" customHeight="1" x14ac:dyDescent="0.2">
      <c r="A602" t="s">
        <v>10</v>
      </c>
      <c r="B602" s="20">
        <v>1212</v>
      </c>
      <c r="C602" s="20">
        <v>8</v>
      </c>
      <c r="D602" s="20">
        <v>38</v>
      </c>
      <c r="E602" t="s">
        <v>75</v>
      </c>
      <c r="F602" s="26">
        <v>45175</v>
      </c>
      <c r="G602" t="s">
        <v>79</v>
      </c>
      <c r="H602" s="5">
        <v>23.76</v>
      </c>
      <c r="I602" s="5">
        <v>29.99</v>
      </c>
      <c r="J602" s="5">
        <v>27.8</v>
      </c>
      <c r="K602" s="5">
        <v>2.73</v>
      </c>
      <c r="L602" s="5">
        <v>0.13</v>
      </c>
      <c r="M602" s="3">
        <f t="shared" si="169"/>
        <v>130</v>
      </c>
      <c r="N602" s="5">
        <v>3.3</v>
      </c>
      <c r="O602" s="23">
        <f t="shared" si="173"/>
        <v>3.3E-3</v>
      </c>
      <c r="P602" s="23">
        <f t="shared" si="174"/>
        <v>5.9400000000000001E-2</v>
      </c>
      <c r="Q602" s="7">
        <f t="shared" si="175"/>
        <v>5.94E-5</v>
      </c>
      <c r="R602" s="23">
        <f t="shared" si="176"/>
        <v>0.21384</v>
      </c>
      <c r="S602" s="5">
        <v>26.5</v>
      </c>
      <c r="T602" s="5">
        <v>3.13</v>
      </c>
      <c r="U602" s="3">
        <f t="shared" si="177"/>
        <v>31300</v>
      </c>
      <c r="V602" s="8">
        <v>-1.28</v>
      </c>
      <c r="W602" s="8">
        <v>-2.13</v>
      </c>
      <c r="X602" s="5">
        <f t="shared" si="178"/>
        <v>0.84999999999999987</v>
      </c>
      <c r="Y602" s="23">
        <f t="shared" si="179"/>
        <v>0.25157647058823535</v>
      </c>
      <c r="Z602" s="23">
        <f t="shared" si="170"/>
        <v>7874.3435294117662</v>
      </c>
      <c r="AA602" s="11">
        <f t="shared" si="171"/>
        <v>3.8790600502005232</v>
      </c>
      <c r="AB602" s="11">
        <f t="shared" si="172"/>
        <v>121414.57957127638</v>
      </c>
    </row>
    <row r="603" spans="1:28" ht="17.25" customHeight="1" x14ac:dyDescent="0.2">
      <c r="A603" t="s">
        <v>10</v>
      </c>
      <c r="B603" s="20">
        <v>1212</v>
      </c>
      <c r="C603" s="20">
        <v>8</v>
      </c>
      <c r="D603" s="20">
        <v>39</v>
      </c>
      <c r="E603" t="s">
        <v>75</v>
      </c>
      <c r="F603" s="26">
        <v>45176</v>
      </c>
      <c r="G603" t="s">
        <v>79</v>
      </c>
      <c r="H603" s="5">
        <v>17.5</v>
      </c>
      <c r="I603" s="5">
        <v>36.47</v>
      </c>
      <c r="J603" s="5">
        <v>34.340000000000003</v>
      </c>
      <c r="K603" s="5">
        <v>4.3600000000000003</v>
      </c>
      <c r="L603" s="5">
        <v>0.11</v>
      </c>
      <c r="M603" s="3">
        <f t="shared" si="169"/>
        <v>110</v>
      </c>
      <c r="N603" s="5">
        <v>4.5199999999999996</v>
      </c>
      <c r="O603" s="23">
        <f t="shared" si="173"/>
        <v>4.5199999999999997E-3</v>
      </c>
      <c r="P603" s="23">
        <f t="shared" si="174"/>
        <v>8.1359999999999988E-2</v>
      </c>
      <c r="Q603" s="7">
        <f t="shared" si="175"/>
        <v>8.1359999999999994E-5</v>
      </c>
      <c r="R603" s="23">
        <f t="shared" si="176"/>
        <v>0.29289599999999999</v>
      </c>
      <c r="S603" s="5">
        <v>11.76</v>
      </c>
      <c r="T603" s="5">
        <v>2.09</v>
      </c>
      <c r="U603" s="3">
        <f t="shared" si="177"/>
        <v>20900</v>
      </c>
      <c r="V603" s="8">
        <v>-0.6</v>
      </c>
      <c r="W603" s="8">
        <v>-1.94</v>
      </c>
      <c r="X603" s="5">
        <f t="shared" si="178"/>
        <v>1.3399999999999999</v>
      </c>
      <c r="Y603" s="23">
        <f t="shared" si="179"/>
        <v>0.21857910447761195</v>
      </c>
      <c r="Z603" s="23">
        <f t="shared" si="170"/>
        <v>4568.3032835820895</v>
      </c>
      <c r="AA603" s="11">
        <f t="shared" si="171"/>
        <v>3.3702733407667136</v>
      </c>
      <c r="AB603" s="11">
        <f t="shared" si="172"/>
        <v>70438.712822024318</v>
      </c>
    </row>
    <row r="604" spans="1:28" ht="17.25" customHeight="1" x14ac:dyDescent="0.2">
      <c r="A604" t="s">
        <v>10</v>
      </c>
      <c r="B604" s="20">
        <v>1212</v>
      </c>
      <c r="C604" s="20">
        <v>8</v>
      </c>
      <c r="D604" s="20">
        <v>40</v>
      </c>
      <c r="E604" t="s">
        <v>75</v>
      </c>
      <c r="F604" s="26">
        <v>45176</v>
      </c>
      <c r="G604" t="s">
        <v>79</v>
      </c>
      <c r="H604" s="5">
        <v>21.68</v>
      </c>
      <c r="I604" s="5">
        <v>32.33</v>
      </c>
      <c r="J604" s="5">
        <v>32.270000000000003</v>
      </c>
      <c r="K604" s="5">
        <v>3.78</v>
      </c>
      <c r="L604" s="5">
        <v>7.0000000000000007E-2</v>
      </c>
      <c r="M604" s="3">
        <f t="shared" si="169"/>
        <v>70</v>
      </c>
      <c r="N604" s="5">
        <v>2.5499999999999998</v>
      </c>
      <c r="O604" s="23">
        <f t="shared" si="173"/>
        <v>2.5499999999999997E-3</v>
      </c>
      <c r="P604" s="23">
        <f t="shared" si="174"/>
        <v>4.5899999999999996E-2</v>
      </c>
      <c r="Q604" s="7">
        <f t="shared" si="175"/>
        <v>4.5899999999999998E-5</v>
      </c>
      <c r="R604" s="23">
        <f t="shared" si="176"/>
        <v>0.16524</v>
      </c>
      <c r="S604" s="5">
        <v>3.51</v>
      </c>
      <c r="T604" s="5">
        <v>0.74</v>
      </c>
      <c r="U604" s="3">
        <f t="shared" si="177"/>
        <v>7400</v>
      </c>
      <c r="V604" s="8">
        <v>-0.39</v>
      </c>
      <c r="W604" s="8">
        <v>-1.94</v>
      </c>
      <c r="X604" s="5">
        <f t="shared" si="178"/>
        <v>1.5499999999999998</v>
      </c>
      <c r="Y604" s="23">
        <f t="shared" si="179"/>
        <v>0.10660645161290323</v>
      </c>
      <c r="Z604" s="23">
        <f t="shared" si="170"/>
        <v>788.88774193548397</v>
      </c>
      <c r="AA604" s="11">
        <f t="shared" si="171"/>
        <v>1.643765915700808</v>
      </c>
      <c r="AB604" s="11">
        <f t="shared" si="172"/>
        <v>12163.86777618598</v>
      </c>
    </row>
    <row r="605" spans="1:28" ht="17.25" customHeight="1" x14ac:dyDescent="0.2">
      <c r="A605" t="s">
        <v>10</v>
      </c>
      <c r="B605" s="20">
        <v>1212</v>
      </c>
      <c r="C605" s="20">
        <v>10</v>
      </c>
      <c r="D605" s="20">
        <v>21</v>
      </c>
      <c r="E605" t="s">
        <v>75</v>
      </c>
      <c r="F605" s="26">
        <v>45175</v>
      </c>
      <c r="G605" t="s">
        <v>79</v>
      </c>
      <c r="H605" s="5">
        <v>23.88</v>
      </c>
      <c r="I605" s="5">
        <v>31.72</v>
      </c>
      <c r="J605" s="5">
        <v>30.03</v>
      </c>
      <c r="K605" s="5">
        <v>3.14</v>
      </c>
      <c r="L605" s="5">
        <v>0.19</v>
      </c>
      <c r="M605" s="3">
        <f t="shared" si="169"/>
        <v>190</v>
      </c>
      <c r="N605" s="5">
        <v>5.55</v>
      </c>
      <c r="O605" s="23">
        <f t="shared" si="173"/>
        <v>5.5500000000000002E-3</v>
      </c>
      <c r="P605" s="23">
        <f t="shared" si="174"/>
        <v>9.9900000000000003E-2</v>
      </c>
      <c r="Q605" s="7">
        <f t="shared" si="175"/>
        <v>9.9900000000000002E-5</v>
      </c>
      <c r="R605" s="23">
        <f t="shared" si="176"/>
        <v>0.35964000000000002</v>
      </c>
      <c r="S605" s="5">
        <v>7.09</v>
      </c>
      <c r="T605" s="5">
        <v>1.0900000000000001</v>
      </c>
      <c r="U605" s="3">
        <f t="shared" si="177"/>
        <v>10900</v>
      </c>
      <c r="V605" s="8">
        <v>-0.59</v>
      </c>
      <c r="W605" s="8">
        <v>-2.3199999999999998</v>
      </c>
      <c r="X605" s="5">
        <f t="shared" si="178"/>
        <v>1.73</v>
      </c>
      <c r="Y605" s="23">
        <f t="shared" si="179"/>
        <v>0.20788439306358383</v>
      </c>
      <c r="Z605" s="23">
        <f t="shared" si="170"/>
        <v>2265.9398843930639</v>
      </c>
      <c r="AA605" s="11">
        <f t="shared" si="171"/>
        <v>3.2053714813138847</v>
      </c>
      <c r="AB605" s="11">
        <f t="shared" si="172"/>
        <v>34938.54914632134</v>
      </c>
    </row>
    <row r="606" spans="1:28" ht="17.25" customHeight="1" x14ac:dyDescent="0.2">
      <c r="A606" t="s">
        <v>10</v>
      </c>
      <c r="B606" s="20">
        <v>1212</v>
      </c>
      <c r="C606" s="20">
        <v>10</v>
      </c>
      <c r="D606" s="20">
        <v>41</v>
      </c>
      <c r="E606" t="s">
        <v>75</v>
      </c>
      <c r="F606" s="26">
        <v>45176</v>
      </c>
      <c r="G606" t="s">
        <v>79</v>
      </c>
      <c r="H606" s="5">
        <v>19.29</v>
      </c>
      <c r="I606" s="5">
        <v>33.76</v>
      </c>
      <c r="J606" s="5">
        <v>32.65</v>
      </c>
      <c r="K606" s="5">
        <v>3.92</v>
      </c>
      <c r="L606" s="5">
        <v>7.0000000000000007E-2</v>
      </c>
      <c r="M606" s="3">
        <f t="shared" si="169"/>
        <v>70</v>
      </c>
      <c r="N606" s="5">
        <v>2.5099999999999998</v>
      </c>
      <c r="O606" s="23">
        <f t="shared" si="173"/>
        <v>2.5099999999999996E-3</v>
      </c>
      <c r="P606" s="23">
        <f t="shared" si="174"/>
        <v>4.5179999999999991E-2</v>
      </c>
      <c r="Q606" s="7">
        <f t="shared" si="175"/>
        <v>4.5179999999999991E-5</v>
      </c>
      <c r="R606" s="23">
        <f t="shared" si="176"/>
        <v>0.16264799999999996</v>
      </c>
      <c r="S606" s="5">
        <v>19.809999999999999</v>
      </c>
      <c r="T606" s="5">
        <v>2.92</v>
      </c>
      <c r="U606" s="3">
        <f t="shared" si="177"/>
        <v>29200</v>
      </c>
      <c r="V606" s="8">
        <v>-0.42</v>
      </c>
      <c r="W606" s="8">
        <v>-2.31</v>
      </c>
      <c r="X606" s="5">
        <f t="shared" si="178"/>
        <v>1.8900000000000001</v>
      </c>
      <c r="Y606" s="23">
        <f t="shared" si="179"/>
        <v>8.6057142857142832E-2</v>
      </c>
      <c r="Z606" s="23">
        <f t="shared" si="170"/>
        <v>2512.8685714285707</v>
      </c>
      <c r="AA606" s="11">
        <f t="shared" si="171"/>
        <v>1.3269159238580748</v>
      </c>
      <c r="AB606" s="11">
        <f t="shared" si="172"/>
        <v>38745.944976655781</v>
      </c>
    </row>
    <row r="607" spans="1:28" ht="17.25" customHeight="1" x14ac:dyDescent="0.2">
      <c r="A607" t="s">
        <v>10</v>
      </c>
      <c r="B607" s="20">
        <v>1212</v>
      </c>
      <c r="C607" s="20">
        <v>10</v>
      </c>
      <c r="D607" s="20">
        <v>42</v>
      </c>
      <c r="E607" t="s">
        <v>75</v>
      </c>
      <c r="F607" s="26">
        <v>45176</v>
      </c>
      <c r="G607" t="s">
        <v>79</v>
      </c>
      <c r="H607" s="5">
        <v>21.86</v>
      </c>
      <c r="I607" s="5">
        <v>32.61</v>
      </c>
      <c r="J607" s="5">
        <v>30.69</v>
      </c>
      <c r="K607" s="5">
        <v>3.34</v>
      </c>
      <c r="L607" s="5">
        <v>0.21</v>
      </c>
      <c r="M607" s="3">
        <f t="shared" si="169"/>
        <v>210</v>
      </c>
      <c r="N607" s="5">
        <v>6.61</v>
      </c>
      <c r="O607" s="23">
        <f t="shared" si="173"/>
        <v>6.6100000000000004E-3</v>
      </c>
      <c r="P607" s="23">
        <f t="shared" si="174"/>
        <v>0.11898</v>
      </c>
      <c r="Q607" s="7">
        <f t="shared" si="175"/>
        <v>1.1898E-4</v>
      </c>
      <c r="R607" s="23">
        <f t="shared" si="176"/>
        <v>0.42832799999999999</v>
      </c>
      <c r="S607" s="5">
        <v>2.74</v>
      </c>
      <c r="T607" s="5">
        <v>0.32</v>
      </c>
      <c r="U607" s="3">
        <f t="shared" si="177"/>
        <v>3200</v>
      </c>
      <c r="V607" s="8">
        <v>-0.3</v>
      </c>
      <c r="W607" s="8">
        <v>-1.82</v>
      </c>
      <c r="X607" s="5">
        <f t="shared" si="178"/>
        <v>1.52</v>
      </c>
      <c r="Y607" s="23">
        <f t="shared" si="179"/>
        <v>0.28179473684210526</v>
      </c>
      <c r="Z607" s="23">
        <f t="shared" si="170"/>
        <v>901.7431578947369</v>
      </c>
      <c r="AA607" s="11">
        <f t="shared" si="171"/>
        <v>4.3449957918763218</v>
      </c>
      <c r="AB607" s="11">
        <f t="shared" si="172"/>
        <v>13903.986534004231</v>
      </c>
    </row>
    <row r="608" spans="1:28" ht="17.25" customHeight="1" x14ac:dyDescent="0.2">
      <c r="A608" t="s">
        <v>7</v>
      </c>
      <c r="B608" s="20">
        <v>72</v>
      </c>
      <c r="C608" s="20">
        <v>156</v>
      </c>
      <c r="D608" s="20">
        <v>43</v>
      </c>
      <c r="E608" t="s">
        <v>77</v>
      </c>
      <c r="F608" s="26">
        <v>45178</v>
      </c>
      <c r="G608" t="s">
        <v>79</v>
      </c>
      <c r="H608" s="5">
        <v>10.19</v>
      </c>
      <c r="I608" s="5">
        <v>45.6</v>
      </c>
      <c r="J608" s="5">
        <v>41.32</v>
      </c>
      <c r="K608" s="5">
        <v>6.91</v>
      </c>
      <c r="L608" s="5">
        <v>7.0000000000000007E-2</v>
      </c>
      <c r="M608" s="3">
        <f t="shared" si="169"/>
        <v>70</v>
      </c>
      <c r="N608" s="5">
        <v>4.4000000000000004</v>
      </c>
      <c r="O608" s="23">
        <f t="shared" si="173"/>
        <v>4.4000000000000003E-3</v>
      </c>
      <c r="P608" s="23">
        <f t="shared" si="174"/>
        <v>7.9200000000000007E-2</v>
      </c>
      <c r="Q608" s="7">
        <f t="shared" si="175"/>
        <v>7.9200000000000001E-5</v>
      </c>
      <c r="R608" s="23">
        <f t="shared" si="176"/>
        <v>0.28511999999999998</v>
      </c>
      <c r="S608" s="5">
        <v>17.37</v>
      </c>
      <c r="T608" s="5">
        <v>2.1</v>
      </c>
      <c r="U608" s="3">
        <f t="shared" si="177"/>
        <v>21000</v>
      </c>
      <c r="V608" s="8">
        <v>-0.69</v>
      </c>
      <c r="W608" s="8">
        <v>-2.5099999999999998</v>
      </c>
      <c r="X608" s="5">
        <f t="shared" si="178"/>
        <v>1.8199999999999998</v>
      </c>
      <c r="Y608" s="23">
        <f t="shared" si="179"/>
        <v>0.15665934065934067</v>
      </c>
      <c r="Z608" s="23">
        <f t="shared" si="170"/>
        <v>3289.8461538461543</v>
      </c>
      <c r="AA608" s="11">
        <f t="shared" si="171"/>
        <v>2.415531899392267</v>
      </c>
      <c r="AB608" s="11">
        <f t="shared" si="172"/>
        <v>50726.169887237607</v>
      </c>
    </row>
    <row r="609" spans="1:28" ht="17.25" customHeight="1" x14ac:dyDescent="0.2">
      <c r="A609" t="s">
        <v>7</v>
      </c>
      <c r="B609" s="20">
        <v>72</v>
      </c>
      <c r="C609" s="20">
        <v>156</v>
      </c>
      <c r="D609" s="20">
        <v>44</v>
      </c>
      <c r="E609" t="s">
        <v>77</v>
      </c>
      <c r="F609" s="26">
        <v>45178</v>
      </c>
      <c r="G609" t="s">
        <v>79</v>
      </c>
      <c r="H609" s="5">
        <v>10.51</v>
      </c>
      <c r="I609" s="5">
        <v>45.5</v>
      </c>
      <c r="J609" s="5">
        <v>44.46</v>
      </c>
      <c r="K609" s="5">
        <v>8.2899999999999991</v>
      </c>
      <c r="L609" s="5">
        <v>0.04</v>
      </c>
      <c r="M609" s="3">
        <f t="shared" si="169"/>
        <v>40</v>
      </c>
      <c r="N609" s="5">
        <v>3.13</v>
      </c>
      <c r="O609" s="23">
        <f t="shared" si="173"/>
        <v>3.13E-3</v>
      </c>
      <c r="P609" s="23">
        <f t="shared" si="174"/>
        <v>5.6340000000000001E-2</v>
      </c>
      <c r="Q609" s="7">
        <f t="shared" si="175"/>
        <v>5.6339999999999999E-5</v>
      </c>
      <c r="R609" s="23">
        <f t="shared" si="176"/>
        <v>0.202824</v>
      </c>
      <c r="S609" s="5">
        <v>12.19</v>
      </c>
      <c r="T609" s="5">
        <v>2.64</v>
      </c>
      <c r="U609" s="3">
        <f t="shared" si="177"/>
        <v>26400</v>
      </c>
      <c r="V609" s="8">
        <v>-0.28999999999999998</v>
      </c>
      <c r="W609" s="8">
        <v>-2.0099999999999998</v>
      </c>
      <c r="X609" s="5">
        <f t="shared" si="178"/>
        <v>1.7199999999999998</v>
      </c>
      <c r="Y609" s="23">
        <f t="shared" si="179"/>
        <v>0.11792093023255816</v>
      </c>
      <c r="Z609" s="23">
        <f t="shared" si="170"/>
        <v>3113.1125581395354</v>
      </c>
      <c r="AA609" s="11">
        <f t="shared" si="171"/>
        <v>1.8182239717333497</v>
      </c>
      <c r="AB609" s="11">
        <f t="shared" si="172"/>
        <v>48001.112853760431</v>
      </c>
    </row>
    <row r="610" spans="1:28" ht="17.25" customHeight="1" x14ac:dyDescent="0.2">
      <c r="A610" t="s">
        <v>7</v>
      </c>
      <c r="B610" s="20">
        <v>72</v>
      </c>
      <c r="C610" s="20">
        <v>156</v>
      </c>
      <c r="D610" s="20">
        <v>45</v>
      </c>
      <c r="E610" t="s">
        <v>77</v>
      </c>
      <c r="F610" s="26">
        <v>45178</v>
      </c>
      <c r="G610" t="s">
        <v>79</v>
      </c>
      <c r="H610" s="5">
        <v>10.47</v>
      </c>
      <c r="I610" s="5">
        <v>46.79</v>
      </c>
      <c r="J610" s="5">
        <v>43.73</v>
      </c>
      <c r="K610" s="5">
        <v>7.9</v>
      </c>
      <c r="L610" s="5">
        <v>0.05</v>
      </c>
      <c r="M610" s="3">
        <f t="shared" si="169"/>
        <v>50</v>
      </c>
      <c r="N610" s="5">
        <v>3.57</v>
      </c>
      <c r="O610" s="23">
        <f t="shared" si="173"/>
        <v>3.5699999999999998E-3</v>
      </c>
      <c r="P610" s="23">
        <f t="shared" si="174"/>
        <v>6.4259999999999998E-2</v>
      </c>
      <c r="Q610" s="7">
        <f t="shared" si="175"/>
        <v>6.4259999999999998E-5</v>
      </c>
      <c r="R610" s="23">
        <f t="shared" si="176"/>
        <v>0.23133599999999999</v>
      </c>
      <c r="S610" s="5">
        <v>9.84</v>
      </c>
      <c r="T610" s="5">
        <v>1.55</v>
      </c>
      <c r="U610" s="3">
        <f t="shared" si="177"/>
        <v>15500</v>
      </c>
      <c r="V610" s="8">
        <v>-0.34</v>
      </c>
      <c r="W610" s="8">
        <v>-1.78</v>
      </c>
      <c r="X610" s="5">
        <f t="shared" si="178"/>
        <v>1.44</v>
      </c>
      <c r="Y610" s="23">
        <f t="shared" si="179"/>
        <v>0.16064999999999999</v>
      </c>
      <c r="Z610" s="23">
        <f t="shared" si="170"/>
        <v>2490.0749999999998</v>
      </c>
      <c r="AA610" s="11">
        <f t="shared" si="171"/>
        <v>2.4770639146324669</v>
      </c>
      <c r="AB610" s="11">
        <f t="shared" si="172"/>
        <v>38394.490676803238</v>
      </c>
    </row>
    <row r="611" spans="1:28" ht="17.25" customHeight="1" x14ac:dyDescent="0.2">
      <c r="A611" t="s">
        <v>7</v>
      </c>
      <c r="B611" s="20">
        <v>72</v>
      </c>
      <c r="C611" s="20">
        <v>149</v>
      </c>
      <c r="D611" s="20">
        <v>46</v>
      </c>
      <c r="E611" t="s">
        <v>77</v>
      </c>
      <c r="F611" s="26">
        <v>45178</v>
      </c>
      <c r="G611" t="s">
        <v>79</v>
      </c>
      <c r="H611" s="5">
        <v>9.83</v>
      </c>
      <c r="I611" s="5">
        <v>45.7</v>
      </c>
      <c r="J611" s="5">
        <v>42.41</v>
      </c>
      <c r="K611" s="5">
        <v>7.41</v>
      </c>
      <c r="L611" s="5">
        <v>0.06</v>
      </c>
      <c r="M611" s="3">
        <f t="shared" si="169"/>
        <v>60</v>
      </c>
      <c r="N611" s="5">
        <v>3.97</v>
      </c>
      <c r="O611" s="23">
        <f t="shared" si="173"/>
        <v>3.9700000000000004E-3</v>
      </c>
      <c r="P611" s="23">
        <f t="shared" si="174"/>
        <v>7.146000000000001E-2</v>
      </c>
      <c r="Q611" s="7">
        <f t="shared" si="175"/>
        <v>7.146000000000001E-5</v>
      </c>
      <c r="R611" s="23">
        <f t="shared" si="176"/>
        <v>0.25725600000000004</v>
      </c>
      <c r="S611" s="5">
        <v>11.24</v>
      </c>
      <c r="T611" s="5">
        <v>1.25</v>
      </c>
      <c r="U611" s="3">
        <f t="shared" si="177"/>
        <v>12500</v>
      </c>
      <c r="V611" s="8">
        <v>-0.44</v>
      </c>
      <c r="W611" s="8">
        <v>-1.92</v>
      </c>
      <c r="X611" s="5">
        <f t="shared" si="178"/>
        <v>1.48</v>
      </c>
      <c r="Y611" s="23">
        <f t="shared" si="179"/>
        <v>0.17382162162162165</v>
      </c>
      <c r="Z611" s="23">
        <f t="shared" si="170"/>
        <v>2172.7702702702704</v>
      </c>
      <c r="AA611" s="11">
        <f t="shared" si="171"/>
        <v>2.6801572766997674</v>
      </c>
      <c r="AB611" s="11">
        <f t="shared" si="172"/>
        <v>33501.965958747096</v>
      </c>
    </row>
    <row r="612" spans="1:28" ht="17.25" customHeight="1" x14ac:dyDescent="0.2">
      <c r="A612" t="s">
        <v>7</v>
      </c>
      <c r="B612" s="20">
        <v>72</v>
      </c>
      <c r="C612" s="20">
        <v>149</v>
      </c>
      <c r="D612" s="20">
        <v>47</v>
      </c>
      <c r="E612" t="s">
        <v>77</v>
      </c>
      <c r="F612" s="26">
        <v>45178</v>
      </c>
      <c r="G612" t="s">
        <v>79</v>
      </c>
      <c r="H612" s="5">
        <v>9.8000000000000007</v>
      </c>
      <c r="I612" s="5">
        <v>46.7</v>
      </c>
      <c r="J612" s="5">
        <v>43.26</v>
      </c>
      <c r="K612" s="5">
        <v>7.74</v>
      </c>
      <c r="L612" s="5">
        <v>0.05</v>
      </c>
      <c r="M612" s="3">
        <f t="shared" si="169"/>
        <v>50</v>
      </c>
      <c r="N612" s="5">
        <v>3.74</v>
      </c>
      <c r="O612" s="23">
        <f t="shared" ref="O612:O643" si="180">N612/1000</f>
        <v>3.7400000000000003E-3</v>
      </c>
      <c r="P612" s="23">
        <f t="shared" ref="P612:P643" si="181">O612*18</f>
        <v>6.7320000000000005E-2</v>
      </c>
      <c r="Q612" s="7">
        <f t="shared" ref="Q612:Q643" si="182">P612/1000</f>
        <v>6.7319999999999999E-5</v>
      </c>
      <c r="R612" s="23">
        <f t="shared" ref="R612:R643" si="183">Q612*3600</f>
        <v>0.24235199999999998</v>
      </c>
      <c r="S612" s="5">
        <v>20.43</v>
      </c>
      <c r="T612" s="5">
        <v>2.5299999999999998</v>
      </c>
      <c r="U612" s="5">
        <f t="shared" ref="U612:U643" si="184">T612*10000</f>
        <v>25299.999999999996</v>
      </c>
      <c r="V612" s="8">
        <v>-0.28000000000000003</v>
      </c>
      <c r="W612" s="8">
        <v>-2.39</v>
      </c>
      <c r="X612" s="5">
        <f t="shared" ref="X612:X643" si="185">V612-W612</f>
        <v>2.1100000000000003</v>
      </c>
      <c r="Y612" s="23">
        <f t="shared" ref="Y612:Y643" si="186">R612/X612</f>
        <v>0.11485876777251182</v>
      </c>
      <c r="Z612" s="23">
        <f t="shared" si="170"/>
        <v>2905.9268246445486</v>
      </c>
      <c r="AA612" s="11">
        <f t="shared" si="171"/>
        <v>1.7710084589383108</v>
      </c>
      <c r="AB612" s="11">
        <f t="shared" si="172"/>
        <v>44806.514011139254</v>
      </c>
    </row>
    <row r="613" spans="1:28" ht="17.25" customHeight="1" x14ac:dyDescent="0.2">
      <c r="A613" t="s">
        <v>7</v>
      </c>
      <c r="B613" s="20">
        <v>72</v>
      </c>
      <c r="C613" s="20">
        <v>149</v>
      </c>
      <c r="D613" s="20">
        <v>48</v>
      </c>
      <c r="E613" t="s">
        <v>77</v>
      </c>
      <c r="F613" s="26">
        <v>45178</v>
      </c>
      <c r="G613" t="s">
        <v>79</v>
      </c>
      <c r="H613" s="5">
        <v>10.16</v>
      </c>
      <c r="I613" s="5">
        <v>46.14</v>
      </c>
      <c r="J613" s="5">
        <v>43.76</v>
      </c>
      <c r="K613" s="5">
        <v>7.97</v>
      </c>
      <c r="L613" s="5">
        <v>0.03</v>
      </c>
      <c r="M613" s="3">
        <f t="shared" si="169"/>
        <v>30</v>
      </c>
      <c r="N613" s="5">
        <v>2.44</v>
      </c>
      <c r="O613" s="23">
        <f t="shared" si="180"/>
        <v>2.4399999999999999E-3</v>
      </c>
      <c r="P613" s="23">
        <f t="shared" si="181"/>
        <v>4.3920000000000001E-2</v>
      </c>
      <c r="Q613" s="7">
        <f t="shared" si="182"/>
        <v>4.392E-5</v>
      </c>
      <c r="R613" s="23">
        <f t="shared" si="183"/>
        <v>0.158112</v>
      </c>
      <c r="S613" s="5">
        <v>21.78</v>
      </c>
      <c r="T613" s="5">
        <v>2.31</v>
      </c>
      <c r="U613" s="3">
        <f t="shared" si="184"/>
        <v>23100</v>
      </c>
      <c r="V613" s="8">
        <v>-0.32</v>
      </c>
      <c r="W613" s="8">
        <v>-2.5499999999999998</v>
      </c>
      <c r="X613" s="5">
        <f t="shared" si="185"/>
        <v>2.23</v>
      </c>
      <c r="Y613" s="23">
        <f t="shared" si="186"/>
        <v>7.0902242152466363E-2</v>
      </c>
      <c r="Z613" s="23">
        <f t="shared" si="170"/>
        <v>1637.8417937219731</v>
      </c>
      <c r="AA613" s="11">
        <f t="shared" si="171"/>
        <v>1.0932423622932304</v>
      </c>
      <c r="AB613" s="11">
        <f t="shared" si="172"/>
        <v>25253.898568973622</v>
      </c>
    </row>
    <row r="614" spans="1:28" ht="17.25" customHeight="1" x14ac:dyDescent="0.2">
      <c r="A614" t="s">
        <v>7</v>
      </c>
      <c r="B614" s="20">
        <v>72</v>
      </c>
      <c r="C614" s="20">
        <v>152</v>
      </c>
      <c r="D614" s="20">
        <v>49</v>
      </c>
      <c r="E614" t="s">
        <v>77</v>
      </c>
      <c r="F614" s="26">
        <v>45178</v>
      </c>
      <c r="G614" t="s">
        <v>79</v>
      </c>
      <c r="H614" s="5">
        <v>11.38</v>
      </c>
      <c r="I614" s="5">
        <v>45.48</v>
      </c>
      <c r="J614" s="5">
        <v>38.1</v>
      </c>
      <c r="K614" s="5">
        <v>5.56</v>
      </c>
      <c r="L614" s="5">
        <v>0.19</v>
      </c>
      <c r="M614" s="3">
        <f t="shared" si="169"/>
        <v>190</v>
      </c>
      <c r="N614" s="5">
        <v>9.32</v>
      </c>
      <c r="O614" s="23">
        <f t="shared" si="180"/>
        <v>9.3200000000000002E-3</v>
      </c>
      <c r="P614" s="23">
        <f t="shared" si="181"/>
        <v>0.16775999999999999</v>
      </c>
      <c r="Q614" s="7">
        <f t="shared" si="182"/>
        <v>1.6775999999999998E-4</v>
      </c>
      <c r="R614" s="23">
        <f t="shared" si="183"/>
        <v>0.60393599999999992</v>
      </c>
      <c r="S614" s="5">
        <v>27.89</v>
      </c>
      <c r="T614" s="5">
        <v>2.35</v>
      </c>
      <c r="U614" s="3">
        <f t="shared" si="184"/>
        <v>23500</v>
      </c>
      <c r="V614" s="8">
        <v>-0.62</v>
      </c>
      <c r="W614" s="8">
        <v>-2.54</v>
      </c>
      <c r="X614" s="5">
        <f t="shared" si="185"/>
        <v>1.92</v>
      </c>
      <c r="Y614" s="23">
        <f t="shared" si="186"/>
        <v>0.31455</v>
      </c>
      <c r="Z614" s="23">
        <f t="shared" si="170"/>
        <v>7391.9250000000002</v>
      </c>
      <c r="AA614" s="11">
        <f t="shared" si="171"/>
        <v>4.8500495135240742</v>
      </c>
      <c r="AB614" s="11">
        <f t="shared" si="172"/>
        <v>113976.16356781575</v>
      </c>
    </row>
    <row r="615" spans="1:28" ht="17.25" customHeight="1" x14ac:dyDescent="0.2">
      <c r="A615" t="s">
        <v>7</v>
      </c>
      <c r="B615" s="20">
        <v>72</v>
      </c>
      <c r="C615" s="20">
        <v>152</v>
      </c>
      <c r="D615" s="20">
        <v>50</v>
      </c>
      <c r="E615" t="s">
        <v>77</v>
      </c>
      <c r="F615" s="26">
        <v>45178</v>
      </c>
      <c r="G615" t="s">
        <v>79</v>
      </c>
      <c r="H615" s="5">
        <v>9.91</v>
      </c>
      <c r="I615" s="5">
        <v>46.46</v>
      </c>
      <c r="J615" s="5">
        <v>39.97</v>
      </c>
      <c r="K615" s="5">
        <v>6.34</v>
      </c>
      <c r="L615" s="5">
        <v>0.16</v>
      </c>
      <c r="M615" s="3">
        <f t="shared" si="169"/>
        <v>160</v>
      </c>
      <c r="N615" s="5">
        <v>9.77</v>
      </c>
      <c r="O615" s="23">
        <f t="shared" si="180"/>
        <v>9.7699999999999992E-3</v>
      </c>
      <c r="P615" s="23">
        <f t="shared" si="181"/>
        <v>0.17585999999999999</v>
      </c>
      <c r="Q615" s="7">
        <f t="shared" si="182"/>
        <v>1.7585999999999999E-4</v>
      </c>
      <c r="R615" s="23">
        <f t="shared" si="183"/>
        <v>0.63309599999999999</v>
      </c>
      <c r="S615" s="5">
        <v>25.57</v>
      </c>
      <c r="T615" s="5">
        <v>2.29</v>
      </c>
      <c r="U615" s="3">
        <f t="shared" si="184"/>
        <v>22900</v>
      </c>
      <c r="V615" s="8">
        <v>-0.34</v>
      </c>
      <c r="W615" s="8">
        <v>-2.48</v>
      </c>
      <c r="X615" s="5">
        <f t="shared" si="185"/>
        <v>2.14</v>
      </c>
      <c r="Y615" s="23">
        <f t="shared" si="186"/>
        <v>0.29583925233644859</v>
      </c>
      <c r="Z615" s="23">
        <f t="shared" si="170"/>
        <v>6774.7188785046728</v>
      </c>
      <c r="AA615" s="11">
        <f t="shared" si="171"/>
        <v>4.5615483130685694</v>
      </c>
      <c r="AB615" s="11">
        <f t="shared" si="172"/>
        <v>104459.45636927024</v>
      </c>
    </row>
    <row r="616" spans="1:28" ht="17.25" customHeight="1" x14ac:dyDescent="0.2">
      <c r="A616" t="s">
        <v>7</v>
      </c>
      <c r="B616" s="20">
        <v>72</v>
      </c>
      <c r="C616" s="20">
        <v>152</v>
      </c>
      <c r="D616" s="20">
        <v>51</v>
      </c>
      <c r="E616" t="s">
        <v>77</v>
      </c>
      <c r="F616" s="26">
        <v>45178</v>
      </c>
      <c r="G616" t="s">
        <v>79</v>
      </c>
      <c r="H616" s="5">
        <v>10.56</v>
      </c>
      <c r="I616" s="5">
        <v>45.46</v>
      </c>
      <c r="J616" s="5">
        <v>37.69</v>
      </c>
      <c r="K616" s="5">
        <v>5.5</v>
      </c>
      <c r="L616" s="5">
        <v>0.27</v>
      </c>
      <c r="M616" s="3">
        <f t="shared" si="169"/>
        <v>270</v>
      </c>
      <c r="N616" s="5">
        <v>13.53</v>
      </c>
      <c r="O616" s="23">
        <f t="shared" si="180"/>
        <v>1.3529999999999999E-2</v>
      </c>
      <c r="P616" s="23">
        <f t="shared" si="181"/>
        <v>0.24353999999999998</v>
      </c>
      <c r="Q616" s="7">
        <f t="shared" si="182"/>
        <v>2.4353999999999999E-4</v>
      </c>
      <c r="R616" s="23">
        <f t="shared" si="183"/>
        <v>0.87674399999999997</v>
      </c>
      <c r="S616" s="5">
        <v>18.57</v>
      </c>
      <c r="T616" s="5">
        <v>1.84</v>
      </c>
      <c r="U616" s="3">
        <f t="shared" si="184"/>
        <v>18400</v>
      </c>
      <c r="V616" s="8">
        <v>-0.4</v>
      </c>
      <c r="W616" s="8">
        <v>-2.52</v>
      </c>
      <c r="X616" s="5">
        <f t="shared" si="185"/>
        <v>2.12</v>
      </c>
      <c r="Y616" s="23">
        <f t="shared" si="186"/>
        <v>0.41355849056603772</v>
      </c>
      <c r="Z616" s="23">
        <f t="shared" si="170"/>
        <v>7609.4762264150941</v>
      </c>
      <c r="AA616" s="11">
        <f t="shared" si="171"/>
        <v>6.376662393843783</v>
      </c>
      <c r="AB616" s="11">
        <f t="shared" si="172"/>
        <v>117330.58804672561</v>
      </c>
    </row>
    <row r="617" spans="1:28" ht="17.25" customHeight="1" x14ac:dyDescent="0.2">
      <c r="A617" t="s">
        <v>7</v>
      </c>
      <c r="B617" s="20">
        <v>72</v>
      </c>
      <c r="C617" s="20">
        <v>155</v>
      </c>
      <c r="D617" s="20">
        <v>58</v>
      </c>
      <c r="E617" t="s">
        <v>77</v>
      </c>
      <c r="F617" s="26">
        <v>45178</v>
      </c>
      <c r="G617" t="s">
        <v>79</v>
      </c>
      <c r="H617" s="5">
        <v>9.81</v>
      </c>
      <c r="I617" s="5">
        <v>46.68</v>
      </c>
      <c r="J617" s="5">
        <v>40.65</v>
      </c>
      <c r="K617" s="5">
        <v>6.63</v>
      </c>
      <c r="L617" s="5">
        <v>0.2</v>
      </c>
      <c r="M617" s="3">
        <f t="shared" si="169"/>
        <v>200</v>
      </c>
      <c r="N617" s="5">
        <v>11.94</v>
      </c>
      <c r="O617" s="23">
        <f t="shared" si="180"/>
        <v>1.1939999999999999E-2</v>
      </c>
      <c r="P617" s="23">
        <f t="shared" si="181"/>
        <v>0.21492</v>
      </c>
      <c r="Q617" s="7">
        <f t="shared" si="182"/>
        <v>2.1492000000000001E-4</v>
      </c>
      <c r="R617" s="23">
        <f t="shared" si="183"/>
        <v>0.77371200000000007</v>
      </c>
      <c r="S617" s="5">
        <v>4.1100000000000003</v>
      </c>
      <c r="T617" s="5">
        <v>0.5</v>
      </c>
      <c r="U617" s="3">
        <f t="shared" si="184"/>
        <v>5000</v>
      </c>
      <c r="V617" s="8">
        <v>-0.4</v>
      </c>
      <c r="W617" s="8">
        <v>-2.41</v>
      </c>
      <c r="X617" s="5">
        <f t="shared" si="185"/>
        <v>2.0100000000000002</v>
      </c>
      <c r="Y617" s="23">
        <f t="shared" si="186"/>
        <v>0.38493134328358208</v>
      </c>
      <c r="Z617" s="23">
        <f t="shared" si="170"/>
        <v>1924.6567164179105</v>
      </c>
      <c r="AA617" s="11">
        <f t="shared" si="171"/>
        <v>5.9352601310847435</v>
      </c>
      <c r="AB617" s="11">
        <f t="shared" si="172"/>
        <v>29676.300655423718</v>
      </c>
    </row>
    <row r="618" spans="1:28" ht="17.25" customHeight="1" x14ac:dyDescent="0.2">
      <c r="A618" t="s">
        <v>7</v>
      </c>
      <c r="B618" s="20">
        <v>72</v>
      </c>
      <c r="C618" s="20">
        <v>155</v>
      </c>
      <c r="D618" s="20">
        <v>59</v>
      </c>
      <c r="E618" t="s">
        <v>77</v>
      </c>
      <c r="F618" s="26">
        <v>45178</v>
      </c>
      <c r="G618" t="s">
        <v>79</v>
      </c>
      <c r="H618" s="5">
        <v>9.74</v>
      </c>
      <c r="I618" s="5">
        <v>46.76</v>
      </c>
      <c r="J618" s="5">
        <v>41.99</v>
      </c>
      <c r="K618" s="5">
        <v>7.18</v>
      </c>
      <c r="L618" s="5">
        <v>0.13</v>
      </c>
      <c r="M618" s="3">
        <f t="shared" si="169"/>
        <v>130</v>
      </c>
      <c r="N618" s="5">
        <v>8.5399999999999991</v>
      </c>
      <c r="O618" s="23">
        <f t="shared" si="180"/>
        <v>8.539999999999999E-3</v>
      </c>
      <c r="P618" s="23">
        <f t="shared" si="181"/>
        <v>0.15371999999999997</v>
      </c>
      <c r="Q618" s="7">
        <f t="shared" si="182"/>
        <v>1.5371999999999996E-4</v>
      </c>
      <c r="R618" s="23">
        <f t="shared" si="183"/>
        <v>0.55339199999999988</v>
      </c>
      <c r="S618" s="5">
        <v>22.47</v>
      </c>
      <c r="T618" s="5">
        <v>2.37</v>
      </c>
      <c r="U618" s="3">
        <f t="shared" si="184"/>
        <v>23700</v>
      </c>
      <c r="V618" s="8">
        <v>-0.53</v>
      </c>
      <c r="W618" s="8">
        <v>-2.2200000000000002</v>
      </c>
      <c r="X618" s="5">
        <f t="shared" si="185"/>
        <v>1.6900000000000002</v>
      </c>
      <c r="Y618" s="23">
        <f t="shared" si="186"/>
        <v>0.3274508875739644</v>
      </c>
      <c r="Z618" s="23">
        <f t="shared" si="170"/>
        <v>7760.5860355029563</v>
      </c>
      <c r="AA618" s="11">
        <f t="shared" si="171"/>
        <v>5.0489684246737641</v>
      </c>
      <c r="AB618" s="11">
        <f t="shared" si="172"/>
        <v>119660.55166476821</v>
      </c>
    </row>
    <row r="619" spans="1:28" ht="17.25" customHeight="1" x14ac:dyDescent="0.2">
      <c r="A619" t="s">
        <v>7</v>
      </c>
      <c r="B619" s="20">
        <v>72</v>
      </c>
      <c r="C619" s="20">
        <v>155</v>
      </c>
      <c r="D619" s="20">
        <v>60</v>
      </c>
      <c r="E619" t="s">
        <v>77</v>
      </c>
      <c r="F619" s="26">
        <v>45178</v>
      </c>
      <c r="G619" t="s">
        <v>79</v>
      </c>
      <c r="H619" s="5">
        <v>9.75</v>
      </c>
      <c r="I619" s="5">
        <v>46.64</v>
      </c>
      <c r="J619" s="5">
        <v>46.04</v>
      </c>
      <c r="K619" s="5">
        <v>9.09</v>
      </c>
      <c r="L619" s="5">
        <v>0.01</v>
      </c>
      <c r="M619" s="3">
        <f t="shared" si="169"/>
        <v>10</v>
      </c>
      <c r="N619" s="5">
        <v>0.75</v>
      </c>
      <c r="O619" s="23">
        <f t="shared" si="180"/>
        <v>7.5000000000000002E-4</v>
      </c>
      <c r="P619" s="23">
        <f t="shared" si="181"/>
        <v>1.35E-2</v>
      </c>
      <c r="Q619" s="7">
        <f t="shared" si="182"/>
        <v>1.3499999999999999E-5</v>
      </c>
      <c r="R619" s="23">
        <f t="shared" si="183"/>
        <v>4.8599999999999997E-2</v>
      </c>
      <c r="S619" s="5">
        <v>10.28</v>
      </c>
      <c r="T619" s="5">
        <v>1.1299999999999999</v>
      </c>
      <c r="U619" s="5">
        <f t="shared" si="184"/>
        <v>11299.999999999998</v>
      </c>
      <c r="V619" s="8">
        <v>-0.25</v>
      </c>
      <c r="W619" s="8">
        <v>-2.0299999999999998</v>
      </c>
      <c r="X619" s="5">
        <f t="shared" si="185"/>
        <v>1.7799999999999998</v>
      </c>
      <c r="Y619" s="23">
        <f t="shared" si="186"/>
        <v>2.7303370786516856E-2</v>
      </c>
      <c r="Z619" s="23">
        <f t="shared" si="170"/>
        <v>308.52808988764042</v>
      </c>
      <c r="AA619" s="11">
        <f t="shared" si="171"/>
        <v>0.42099094007538868</v>
      </c>
      <c r="AB619" s="11">
        <f t="shared" si="172"/>
        <v>4757.1976228518915</v>
      </c>
    </row>
    <row r="620" spans="1:28" ht="17.25" customHeight="1" x14ac:dyDescent="0.2">
      <c r="A620" t="s">
        <v>7</v>
      </c>
      <c r="B620" s="20">
        <v>72</v>
      </c>
      <c r="C620" s="20">
        <v>5</v>
      </c>
      <c r="D620" s="20">
        <v>61</v>
      </c>
      <c r="E620" t="s">
        <v>77</v>
      </c>
      <c r="F620" s="26">
        <v>45178</v>
      </c>
      <c r="G620" t="s">
        <v>79</v>
      </c>
      <c r="H620" s="5">
        <v>10.07</v>
      </c>
      <c r="I620" s="5">
        <v>46.13</v>
      </c>
      <c r="J620" s="5">
        <v>42.82</v>
      </c>
      <c r="K620" s="5">
        <v>7.55</v>
      </c>
      <c r="L620" s="5">
        <v>0.09</v>
      </c>
      <c r="M620" s="3">
        <f t="shared" si="169"/>
        <v>90</v>
      </c>
      <c r="N620" s="5">
        <v>5.96</v>
      </c>
      <c r="O620" s="23">
        <f t="shared" si="180"/>
        <v>5.96E-3</v>
      </c>
      <c r="P620" s="23">
        <f t="shared" si="181"/>
        <v>0.10728</v>
      </c>
      <c r="Q620" s="7">
        <f t="shared" si="182"/>
        <v>1.0728E-4</v>
      </c>
      <c r="R620" s="23">
        <f t="shared" si="183"/>
        <v>0.386208</v>
      </c>
      <c r="S620" s="5">
        <v>20.64</v>
      </c>
      <c r="T620" s="5">
        <v>4.72</v>
      </c>
      <c r="U620" s="3">
        <f t="shared" si="184"/>
        <v>47200</v>
      </c>
      <c r="V620" s="8">
        <v>-0.24</v>
      </c>
      <c r="W620" s="8">
        <v>-1.92</v>
      </c>
      <c r="X620" s="5">
        <f t="shared" si="185"/>
        <v>1.68</v>
      </c>
      <c r="Y620" s="23">
        <f t="shared" si="186"/>
        <v>0.2298857142857143</v>
      </c>
      <c r="Z620" s="23">
        <f t="shared" si="170"/>
        <v>10850.605714285715</v>
      </c>
      <c r="AA620" s="11">
        <f t="shared" si="171"/>
        <v>3.5446100675172887</v>
      </c>
      <c r="AB620" s="11">
        <f t="shared" si="172"/>
        <v>167305.59518681603</v>
      </c>
    </row>
    <row r="621" spans="1:28" ht="17.25" customHeight="1" x14ac:dyDescent="0.2">
      <c r="A621" t="s">
        <v>7</v>
      </c>
      <c r="B621" s="20">
        <v>72</v>
      </c>
      <c r="C621" s="20">
        <v>5</v>
      </c>
      <c r="D621" s="20">
        <v>63</v>
      </c>
      <c r="E621" t="s">
        <v>77</v>
      </c>
      <c r="F621" s="26">
        <v>45178</v>
      </c>
      <c r="G621" t="s">
        <v>79</v>
      </c>
      <c r="H621" s="5">
        <v>10.11</v>
      </c>
      <c r="I621" s="5">
        <v>45.56</v>
      </c>
      <c r="J621" s="5">
        <v>41.88</v>
      </c>
      <c r="K621" s="5">
        <v>7.16</v>
      </c>
      <c r="L621" s="5">
        <v>7.0000000000000007E-2</v>
      </c>
      <c r="M621" s="3">
        <f t="shared" si="169"/>
        <v>70</v>
      </c>
      <c r="N621" s="5">
        <v>4.54</v>
      </c>
      <c r="O621" s="23">
        <f t="shared" si="180"/>
        <v>4.5399999999999998E-3</v>
      </c>
      <c r="P621" s="23">
        <f t="shared" si="181"/>
        <v>8.1720000000000001E-2</v>
      </c>
      <c r="Q621" s="7">
        <f t="shared" si="182"/>
        <v>8.1719999999999997E-5</v>
      </c>
      <c r="R621" s="23">
        <f t="shared" si="183"/>
        <v>0.29419200000000001</v>
      </c>
      <c r="S621" s="5">
        <v>20.28</v>
      </c>
      <c r="T621" s="5">
        <v>3.11</v>
      </c>
      <c r="U621" s="3">
        <f t="shared" si="184"/>
        <v>31100</v>
      </c>
      <c r="V621" s="8">
        <v>-1.1100000000000001</v>
      </c>
      <c r="W621" s="8">
        <v>-2.11</v>
      </c>
      <c r="X621" s="28">
        <f t="shared" si="185"/>
        <v>0.99999999999999978</v>
      </c>
      <c r="Y621" s="23">
        <f t="shared" si="186"/>
        <v>0.29419200000000006</v>
      </c>
      <c r="Z621" s="23">
        <f t="shared" si="170"/>
        <v>9149.3712000000014</v>
      </c>
      <c r="AA621" s="11">
        <f t="shared" si="171"/>
        <v>4.5361493132496422</v>
      </c>
      <c r="AB621" s="11">
        <f t="shared" si="172"/>
        <v>141074.24364206387</v>
      </c>
    </row>
    <row r="622" spans="1:28" ht="17.25" customHeight="1" x14ac:dyDescent="0.2">
      <c r="A622" t="s">
        <v>7</v>
      </c>
      <c r="B622" s="20">
        <v>72</v>
      </c>
      <c r="C622" s="20">
        <v>5</v>
      </c>
      <c r="D622" s="20">
        <v>85</v>
      </c>
      <c r="E622" t="s">
        <v>77</v>
      </c>
      <c r="F622" s="26">
        <v>45178</v>
      </c>
      <c r="G622" t="s">
        <v>79</v>
      </c>
      <c r="H622" s="5">
        <v>9.9600000000000009</v>
      </c>
      <c r="I622" s="5">
        <v>46.62</v>
      </c>
      <c r="J622" s="5">
        <v>43.5</v>
      </c>
      <c r="K622" s="5">
        <v>7.83</v>
      </c>
      <c r="L622" s="5">
        <v>0.04</v>
      </c>
      <c r="M622" s="3">
        <f t="shared" si="169"/>
        <v>40</v>
      </c>
      <c r="N622" s="5">
        <v>2.99</v>
      </c>
      <c r="O622" s="23">
        <f t="shared" si="180"/>
        <v>2.99E-3</v>
      </c>
      <c r="P622" s="23">
        <f t="shared" si="181"/>
        <v>5.382E-2</v>
      </c>
      <c r="Q622" s="7">
        <f t="shared" si="182"/>
        <v>5.3820000000000003E-5</v>
      </c>
      <c r="R622" s="23">
        <f t="shared" si="183"/>
        <v>0.19375200000000001</v>
      </c>
      <c r="S622" s="5">
        <v>7.85</v>
      </c>
      <c r="T622" s="5">
        <v>1.36</v>
      </c>
      <c r="U622" s="5">
        <f t="shared" si="184"/>
        <v>13600.000000000002</v>
      </c>
      <c r="V622" s="8">
        <v>-0.38</v>
      </c>
      <c r="W622" s="8">
        <v>-1.92</v>
      </c>
      <c r="X622" s="5">
        <f t="shared" si="185"/>
        <v>1.54</v>
      </c>
      <c r="Y622" s="23">
        <f t="shared" si="186"/>
        <v>0.12581298701298702</v>
      </c>
      <c r="Z622" s="23">
        <f t="shared" si="170"/>
        <v>1711.0566233766237</v>
      </c>
      <c r="AA622" s="11">
        <f t="shared" si="171"/>
        <v>1.9399116720945744</v>
      </c>
      <c r="AB622" s="11">
        <f t="shared" si="172"/>
        <v>26382.798740486214</v>
      </c>
    </row>
    <row r="623" spans="1:28" ht="17.25" customHeight="1" x14ac:dyDescent="0.2">
      <c r="A623" t="s">
        <v>8</v>
      </c>
      <c r="B623" s="20">
        <v>1521</v>
      </c>
      <c r="C623" s="20">
        <v>153</v>
      </c>
      <c r="D623" s="20">
        <v>69</v>
      </c>
      <c r="E623" t="s">
        <v>77</v>
      </c>
      <c r="F623" s="26">
        <v>45178</v>
      </c>
      <c r="G623" t="s">
        <v>79</v>
      </c>
      <c r="H623" s="5">
        <v>10.08</v>
      </c>
      <c r="I623" s="5">
        <v>46.12</v>
      </c>
      <c r="J623" s="5">
        <v>42.12</v>
      </c>
      <c r="K623" s="5">
        <v>7.24</v>
      </c>
      <c r="L623" s="5">
        <v>0.1</v>
      </c>
      <c r="M623" s="3">
        <f t="shared" si="169"/>
        <v>100</v>
      </c>
      <c r="N623" s="5">
        <v>6.4</v>
      </c>
      <c r="O623" s="23">
        <f t="shared" si="180"/>
        <v>6.4000000000000003E-3</v>
      </c>
      <c r="P623" s="23">
        <f t="shared" si="181"/>
        <v>0.11520000000000001</v>
      </c>
      <c r="Q623" s="7">
        <f t="shared" si="182"/>
        <v>1.1520000000000001E-4</v>
      </c>
      <c r="R623" s="23">
        <f t="shared" si="183"/>
        <v>0.41472000000000003</v>
      </c>
      <c r="S623" s="5">
        <v>1.69</v>
      </c>
      <c r="T623" s="5">
        <v>0.31</v>
      </c>
      <c r="U623" s="3">
        <f t="shared" si="184"/>
        <v>3100</v>
      </c>
      <c r="V623" s="8">
        <v>-0.33</v>
      </c>
      <c r="W623" s="8">
        <v>-1.6</v>
      </c>
      <c r="X623" s="5">
        <f t="shared" si="185"/>
        <v>1.27</v>
      </c>
      <c r="Y623" s="23">
        <f t="shared" si="186"/>
        <v>0.32655118110236225</v>
      </c>
      <c r="Z623" s="23">
        <f t="shared" si="170"/>
        <v>1012.308661417323</v>
      </c>
      <c r="AA623" s="11">
        <f t="shared" si="171"/>
        <v>5.0350958418255409</v>
      </c>
      <c r="AB623" s="11">
        <f t="shared" si="172"/>
        <v>15608.797109659177</v>
      </c>
    </row>
    <row r="624" spans="1:28" ht="17.25" customHeight="1" x14ac:dyDescent="0.2">
      <c r="A624" t="s">
        <v>8</v>
      </c>
      <c r="B624" s="20">
        <v>1521</v>
      </c>
      <c r="C624" s="20">
        <v>153</v>
      </c>
      <c r="D624" s="20">
        <v>76</v>
      </c>
      <c r="E624" t="s">
        <v>77</v>
      </c>
      <c r="F624" s="26">
        <v>45178</v>
      </c>
      <c r="G624" t="s">
        <v>79</v>
      </c>
      <c r="H624" s="5">
        <v>10.23</v>
      </c>
      <c r="I624" s="5">
        <v>46.28</v>
      </c>
      <c r="J624" s="5">
        <v>45.14</v>
      </c>
      <c r="K624" s="5">
        <v>8.61</v>
      </c>
      <c r="L624" s="5">
        <v>0.03</v>
      </c>
      <c r="M624" s="3">
        <f t="shared" si="169"/>
        <v>30</v>
      </c>
      <c r="N624" s="5">
        <v>2.74</v>
      </c>
      <c r="O624" s="23">
        <f t="shared" si="180"/>
        <v>2.7400000000000002E-3</v>
      </c>
      <c r="P624" s="23">
        <f t="shared" si="181"/>
        <v>4.9320000000000003E-2</v>
      </c>
      <c r="Q624" s="7">
        <f t="shared" si="182"/>
        <v>4.9320000000000002E-5</v>
      </c>
      <c r="R624" s="23">
        <f t="shared" si="183"/>
        <v>0.17755200000000002</v>
      </c>
      <c r="S624" s="5">
        <v>2.0299999999999998</v>
      </c>
      <c r="T624" s="5">
        <v>0.31</v>
      </c>
      <c r="U624" s="3">
        <f t="shared" si="184"/>
        <v>3100</v>
      </c>
      <c r="V624" s="8">
        <v>-0.57999999999999996</v>
      </c>
      <c r="W624" s="8">
        <v>-1.77</v>
      </c>
      <c r="X624" s="5">
        <f t="shared" si="185"/>
        <v>1.19</v>
      </c>
      <c r="Y624" s="23">
        <f t="shared" si="186"/>
        <v>0.14920336134453782</v>
      </c>
      <c r="Z624" s="23">
        <f t="shared" si="170"/>
        <v>462.53042016806722</v>
      </c>
      <c r="AA624" s="11">
        <f t="shared" si="171"/>
        <v>2.3005680817206562</v>
      </c>
      <c r="AB624" s="11">
        <f t="shared" si="172"/>
        <v>7131.7610533340339</v>
      </c>
    </row>
    <row r="625" spans="1:28" ht="17.25" customHeight="1" x14ac:dyDescent="0.2">
      <c r="A625" t="s">
        <v>8</v>
      </c>
      <c r="B625" s="20">
        <v>1521</v>
      </c>
      <c r="C625" s="20">
        <v>153</v>
      </c>
      <c r="D625" s="20">
        <v>90</v>
      </c>
      <c r="E625" t="s">
        <v>77</v>
      </c>
      <c r="F625" s="26">
        <v>45178</v>
      </c>
      <c r="G625" t="s">
        <v>79</v>
      </c>
      <c r="H625" s="5">
        <v>9.3800000000000008</v>
      </c>
      <c r="I625" s="5">
        <v>46.77</v>
      </c>
      <c r="J625" s="5">
        <v>45.72</v>
      </c>
      <c r="K625" s="5">
        <v>8.98</v>
      </c>
      <c r="L625" s="5">
        <v>0.03</v>
      </c>
      <c r="M625" s="3">
        <f t="shared" si="169"/>
        <v>30</v>
      </c>
      <c r="N625" s="5">
        <v>2.04</v>
      </c>
      <c r="O625" s="23">
        <f t="shared" si="180"/>
        <v>2.0400000000000001E-3</v>
      </c>
      <c r="P625" s="23">
        <f t="shared" si="181"/>
        <v>3.6720000000000003E-2</v>
      </c>
      <c r="Q625" s="7">
        <f t="shared" si="182"/>
        <v>3.6720000000000001E-5</v>
      </c>
      <c r="R625" s="23">
        <f t="shared" si="183"/>
        <v>0.132192</v>
      </c>
      <c r="S625" s="5">
        <v>1.27</v>
      </c>
      <c r="T625" s="5">
        <v>0.15</v>
      </c>
      <c r="U625" s="3">
        <f t="shared" si="184"/>
        <v>1500</v>
      </c>
      <c r="V625" s="8">
        <v>-1.06</v>
      </c>
      <c r="W625" s="8">
        <v>-2.11</v>
      </c>
      <c r="X625" s="5">
        <f t="shared" si="185"/>
        <v>1.0499999999999998</v>
      </c>
      <c r="Y625" s="23">
        <f t="shared" si="186"/>
        <v>0.12589714285714287</v>
      </c>
      <c r="Z625" s="23">
        <f t="shared" si="170"/>
        <v>188.84571428571431</v>
      </c>
      <c r="AA625" s="11">
        <f t="shared" si="171"/>
        <v>1.9412092718752401</v>
      </c>
      <c r="AB625" s="11">
        <f t="shared" si="172"/>
        <v>2911.8139078128602</v>
      </c>
    </row>
    <row r="626" spans="1:28" ht="17.25" customHeight="1" x14ac:dyDescent="0.2">
      <c r="A626" t="s">
        <v>8</v>
      </c>
      <c r="B626" s="20">
        <v>1521</v>
      </c>
      <c r="C626" s="20">
        <v>155</v>
      </c>
      <c r="D626" s="20">
        <v>62</v>
      </c>
      <c r="E626" t="s">
        <v>77</v>
      </c>
      <c r="F626" s="26">
        <v>45178</v>
      </c>
      <c r="G626" t="s">
        <v>79</v>
      </c>
      <c r="H626" s="5">
        <v>10.73</v>
      </c>
      <c r="I626" s="5">
        <v>46.43</v>
      </c>
      <c r="J626" s="5">
        <v>40.89</v>
      </c>
      <c r="K626" s="5">
        <v>6.64</v>
      </c>
      <c r="L626" s="5">
        <v>0.11</v>
      </c>
      <c r="M626" s="3">
        <f t="shared" si="169"/>
        <v>110</v>
      </c>
      <c r="N626" s="5">
        <v>6.58</v>
      </c>
      <c r="O626" s="23">
        <f t="shared" si="180"/>
        <v>6.5799999999999999E-3</v>
      </c>
      <c r="P626" s="23">
        <f t="shared" si="181"/>
        <v>0.11844</v>
      </c>
      <c r="Q626" s="7">
        <f t="shared" si="182"/>
        <v>1.1844E-4</v>
      </c>
      <c r="R626" s="23">
        <f t="shared" si="183"/>
        <v>0.42638399999999999</v>
      </c>
      <c r="S626" s="5">
        <v>2.31</v>
      </c>
      <c r="T626" s="5">
        <v>0.45</v>
      </c>
      <c r="U626" s="3">
        <f t="shared" si="184"/>
        <v>4500</v>
      </c>
      <c r="V626" s="8">
        <v>-1.21</v>
      </c>
      <c r="W626" s="8">
        <v>-2.71</v>
      </c>
      <c r="X626" s="5">
        <f t="shared" si="185"/>
        <v>1.5</v>
      </c>
      <c r="Y626" s="23">
        <f t="shared" si="186"/>
        <v>0.28425600000000001</v>
      </c>
      <c r="Z626" s="23">
        <f t="shared" si="170"/>
        <v>1279.152</v>
      </c>
      <c r="AA626" s="11">
        <f t="shared" si="171"/>
        <v>4.3829460324790954</v>
      </c>
      <c r="AB626" s="11">
        <f t="shared" si="172"/>
        <v>19723.257146155931</v>
      </c>
    </row>
    <row r="627" spans="1:28" ht="17.25" customHeight="1" x14ac:dyDescent="0.2">
      <c r="A627" t="s">
        <v>8</v>
      </c>
      <c r="B627" s="20">
        <v>1521</v>
      </c>
      <c r="C627" s="20">
        <v>155</v>
      </c>
      <c r="D627" s="20">
        <v>64</v>
      </c>
      <c r="E627" t="s">
        <v>77</v>
      </c>
      <c r="F627" s="26">
        <v>45178</v>
      </c>
      <c r="G627" t="s">
        <v>79</v>
      </c>
      <c r="H627" s="5">
        <v>11.2</v>
      </c>
      <c r="I627" s="5">
        <v>45.43</v>
      </c>
      <c r="J627" s="5">
        <v>40.94</v>
      </c>
      <c r="K627" s="5">
        <v>6.66</v>
      </c>
      <c r="L627" s="5">
        <v>7.0000000000000007E-2</v>
      </c>
      <c r="M627" s="3">
        <f t="shared" si="169"/>
        <v>70</v>
      </c>
      <c r="N627" s="5">
        <v>4.47</v>
      </c>
      <c r="O627" s="23">
        <f t="shared" si="180"/>
        <v>4.47E-3</v>
      </c>
      <c r="P627" s="23">
        <f t="shared" si="181"/>
        <v>8.0460000000000004E-2</v>
      </c>
      <c r="Q627" s="7">
        <f t="shared" si="182"/>
        <v>8.0459999999999999E-5</v>
      </c>
      <c r="R627" s="23">
        <f t="shared" si="183"/>
        <v>0.28965599999999997</v>
      </c>
      <c r="S627" s="5">
        <v>2.25</v>
      </c>
      <c r="T627" s="5">
        <v>0.5</v>
      </c>
      <c r="U627" s="3">
        <f t="shared" si="184"/>
        <v>5000</v>
      </c>
      <c r="V627" s="8">
        <v>-1.17</v>
      </c>
      <c r="W627" s="8">
        <v>-1.79</v>
      </c>
      <c r="X627" s="5">
        <f t="shared" si="185"/>
        <v>0.62000000000000011</v>
      </c>
      <c r="Y627" s="23">
        <f t="shared" si="186"/>
        <v>0.4671870967741934</v>
      </c>
      <c r="Z627" s="23">
        <f t="shared" si="170"/>
        <v>2335.9354838709669</v>
      </c>
      <c r="AA627" s="11">
        <f t="shared" si="171"/>
        <v>7.2035623952770678</v>
      </c>
      <c r="AB627" s="11">
        <f t="shared" si="172"/>
        <v>36017.811976385339</v>
      </c>
    </row>
    <row r="628" spans="1:28" ht="17.25" customHeight="1" x14ac:dyDescent="0.2">
      <c r="A628" t="s">
        <v>8</v>
      </c>
      <c r="B628" s="20">
        <v>1521</v>
      </c>
      <c r="C628" s="20">
        <v>155</v>
      </c>
      <c r="D628" s="20">
        <v>66</v>
      </c>
      <c r="E628" t="s">
        <v>77</v>
      </c>
      <c r="F628" s="26">
        <v>45178</v>
      </c>
      <c r="G628" t="s">
        <v>79</v>
      </c>
      <c r="H628" s="5">
        <v>10.93</v>
      </c>
      <c r="I628" s="5">
        <v>45.66</v>
      </c>
      <c r="J628" s="5">
        <v>41.61</v>
      </c>
      <c r="K628" s="5">
        <v>6.96</v>
      </c>
      <c r="L628" s="5">
        <v>0.11</v>
      </c>
      <c r="M628" s="3">
        <f t="shared" si="169"/>
        <v>110</v>
      </c>
      <c r="N628" s="5">
        <v>6.9</v>
      </c>
      <c r="O628" s="23">
        <f t="shared" si="180"/>
        <v>6.9000000000000008E-3</v>
      </c>
      <c r="P628" s="23">
        <f t="shared" si="181"/>
        <v>0.12420000000000002</v>
      </c>
      <c r="Q628" s="7">
        <f t="shared" si="182"/>
        <v>1.2420000000000001E-4</v>
      </c>
      <c r="R628" s="23">
        <f t="shared" si="183"/>
        <v>0.44712000000000002</v>
      </c>
      <c r="S628" s="5">
        <v>3.09</v>
      </c>
      <c r="T628" s="5">
        <v>0.44</v>
      </c>
      <c r="U628" s="3">
        <f t="shared" si="184"/>
        <v>4400</v>
      </c>
      <c r="V628" s="8">
        <v>-0.44</v>
      </c>
      <c r="W628" s="8">
        <v>-2.21</v>
      </c>
      <c r="X628" s="5">
        <f t="shared" si="185"/>
        <v>1.77</v>
      </c>
      <c r="Y628" s="23">
        <f t="shared" si="186"/>
        <v>0.25261016949152543</v>
      </c>
      <c r="Z628" s="23">
        <f t="shared" si="170"/>
        <v>1111.4847457627118</v>
      </c>
      <c r="AA628" s="11">
        <f t="shared" si="171"/>
        <v>3.8949986636579466</v>
      </c>
      <c r="AB628" s="11">
        <f t="shared" si="172"/>
        <v>17137.994120094965</v>
      </c>
    </row>
    <row r="629" spans="1:28" ht="17.25" customHeight="1" x14ac:dyDescent="0.2">
      <c r="A629" t="s">
        <v>8</v>
      </c>
      <c r="B629" s="20">
        <v>1521</v>
      </c>
      <c r="C629" s="20">
        <v>156</v>
      </c>
      <c r="D629" s="20">
        <v>71</v>
      </c>
      <c r="E629" t="s">
        <v>77</v>
      </c>
      <c r="F629" s="26">
        <v>45178</v>
      </c>
      <c r="G629" t="s">
        <v>79</v>
      </c>
      <c r="H629" s="5">
        <v>10.44</v>
      </c>
      <c r="I629" s="5">
        <v>46.33</v>
      </c>
      <c r="J629" s="5">
        <v>42.18</v>
      </c>
      <c r="K629" s="5">
        <v>7.22</v>
      </c>
      <c r="L629" s="5">
        <v>0.05</v>
      </c>
      <c r="M629" s="3">
        <f t="shared" si="169"/>
        <v>50</v>
      </c>
      <c r="N629" s="5">
        <v>3.57</v>
      </c>
      <c r="O629" s="23">
        <f t="shared" si="180"/>
        <v>3.5699999999999998E-3</v>
      </c>
      <c r="P629" s="23">
        <f t="shared" si="181"/>
        <v>6.4259999999999998E-2</v>
      </c>
      <c r="Q629" s="7">
        <f t="shared" si="182"/>
        <v>6.4259999999999998E-5</v>
      </c>
      <c r="R629" s="23">
        <f t="shared" si="183"/>
        <v>0.23133599999999999</v>
      </c>
      <c r="S629" s="5">
        <v>1.53</v>
      </c>
      <c r="T629" s="5">
        <v>0.24</v>
      </c>
      <c r="U629" s="3">
        <f t="shared" si="184"/>
        <v>2400</v>
      </c>
      <c r="V629" s="8">
        <v>-0.45</v>
      </c>
      <c r="W629" s="8">
        <v>-1.85</v>
      </c>
      <c r="X629" s="5">
        <f t="shared" si="185"/>
        <v>1.4000000000000001</v>
      </c>
      <c r="Y629" s="23">
        <f t="shared" si="186"/>
        <v>0.16523999999999997</v>
      </c>
      <c r="Z629" s="23">
        <f t="shared" si="170"/>
        <v>396.57599999999991</v>
      </c>
      <c r="AA629" s="11">
        <f t="shared" si="171"/>
        <v>2.5478371693362516</v>
      </c>
      <c r="AB629" s="11">
        <f t="shared" si="172"/>
        <v>6114.8092064070042</v>
      </c>
    </row>
    <row r="630" spans="1:28" ht="17.25" customHeight="1" x14ac:dyDescent="0.2">
      <c r="A630" t="s">
        <v>8</v>
      </c>
      <c r="B630" s="20">
        <v>1521</v>
      </c>
      <c r="C630" s="20">
        <v>156</v>
      </c>
      <c r="D630" s="20">
        <v>74</v>
      </c>
      <c r="E630" t="s">
        <v>77</v>
      </c>
      <c r="F630" s="26">
        <v>45178</v>
      </c>
      <c r="G630" t="s">
        <v>79</v>
      </c>
      <c r="H630" s="5">
        <v>9.92</v>
      </c>
      <c r="I630" s="5">
        <v>46.44</v>
      </c>
      <c r="J630" s="5">
        <v>43.86</v>
      </c>
      <c r="K630" s="5">
        <v>8.01</v>
      </c>
      <c r="L630" s="5">
        <v>0.04</v>
      </c>
      <c r="M630" s="3">
        <f t="shared" si="169"/>
        <v>40</v>
      </c>
      <c r="N630" s="5">
        <v>3.11</v>
      </c>
      <c r="O630" s="23">
        <f t="shared" si="180"/>
        <v>3.1099999999999999E-3</v>
      </c>
      <c r="P630" s="23">
        <f t="shared" si="181"/>
        <v>5.5980000000000002E-2</v>
      </c>
      <c r="Q630" s="7">
        <f t="shared" si="182"/>
        <v>5.5980000000000003E-5</v>
      </c>
      <c r="R630" s="23">
        <f t="shared" si="183"/>
        <v>0.20152800000000001</v>
      </c>
      <c r="S630" s="5">
        <v>2.2200000000000002</v>
      </c>
      <c r="T630" s="5">
        <v>0.32</v>
      </c>
      <c r="U630" s="3">
        <f t="shared" si="184"/>
        <v>3200</v>
      </c>
      <c r="V630" s="8">
        <v>-0.68</v>
      </c>
      <c r="W630" s="8">
        <v>-1.58</v>
      </c>
      <c r="X630" s="5">
        <f t="shared" si="185"/>
        <v>0.9</v>
      </c>
      <c r="Y630" s="23">
        <f t="shared" si="186"/>
        <v>0.22392000000000001</v>
      </c>
      <c r="Z630" s="23">
        <f t="shared" si="170"/>
        <v>716.54399999999998</v>
      </c>
      <c r="AA630" s="11">
        <f t="shared" si="171"/>
        <v>3.4526246608434623</v>
      </c>
      <c r="AB630" s="11">
        <f t="shared" si="172"/>
        <v>11048.398914699079</v>
      </c>
    </row>
    <row r="631" spans="1:28" ht="17.25" customHeight="1" x14ac:dyDescent="0.2">
      <c r="A631" t="s">
        <v>8</v>
      </c>
      <c r="B631" s="20">
        <v>1521</v>
      </c>
      <c r="C631" s="20">
        <v>156</v>
      </c>
      <c r="D631" s="20">
        <v>75</v>
      </c>
      <c r="E631" t="s">
        <v>77</v>
      </c>
      <c r="F631" s="26">
        <v>45178</v>
      </c>
      <c r="G631" t="s">
        <v>79</v>
      </c>
      <c r="H631" s="5">
        <v>10.39</v>
      </c>
      <c r="I631" s="5">
        <v>45.75</v>
      </c>
      <c r="J631" s="5">
        <v>43.84</v>
      </c>
      <c r="K631" s="3">
        <v>8</v>
      </c>
      <c r="L631" s="5">
        <v>0.03</v>
      </c>
      <c r="M631" s="3">
        <f t="shared" si="169"/>
        <v>30</v>
      </c>
      <c r="N631" s="5">
        <v>2.61</v>
      </c>
      <c r="O631" s="23">
        <f t="shared" si="180"/>
        <v>2.6099999999999999E-3</v>
      </c>
      <c r="P631" s="23">
        <f t="shared" si="181"/>
        <v>4.6980000000000001E-2</v>
      </c>
      <c r="Q631" s="7">
        <f t="shared" si="182"/>
        <v>4.6980000000000001E-5</v>
      </c>
      <c r="R631" s="23">
        <f t="shared" si="183"/>
        <v>0.169128</v>
      </c>
      <c r="S631" s="5">
        <v>3.2</v>
      </c>
      <c r="T631" s="5">
        <v>0.59</v>
      </c>
      <c r="U631" s="3">
        <f t="shared" si="184"/>
        <v>5900</v>
      </c>
      <c r="V631" s="8">
        <v>-0.53</v>
      </c>
      <c r="W631" s="8">
        <v>-1.72</v>
      </c>
      <c r="X631" s="5">
        <f t="shared" si="185"/>
        <v>1.19</v>
      </c>
      <c r="Y631" s="23">
        <f t="shared" si="186"/>
        <v>0.14212436974789916</v>
      </c>
      <c r="Z631" s="23">
        <f t="shared" si="170"/>
        <v>838.53378151260506</v>
      </c>
      <c r="AA631" s="11">
        <f t="shared" si="171"/>
        <v>2.1914170413470484</v>
      </c>
      <c r="AB631" s="11">
        <f t="shared" si="172"/>
        <v>12929.360543947585</v>
      </c>
    </row>
    <row r="632" spans="1:28" ht="17.25" customHeight="1" x14ac:dyDescent="0.2">
      <c r="A632" t="s">
        <v>8</v>
      </c>
      <c r="B632" s="20">
        <v>1521</v>
      </c>
      <c r="C632" s="20">
        <v>157</v>
      </c>
      <c r="D632" s="20">
        <v>67</v>
      </c>
      <c r="E632" t="s">
        <v>77</v>
      </c>
      <c r="F632" s="26">
        <v>45178</v>
      </c>
      <c r="G632" t="s">
        <v>79</v>
      </c>
      <c r="H632" s="5">
        <v>10.17</v>
      </c>
      <c r="I632" s="5">
        <v>46.57</v>
      </c>
      <c r="J632" s="5">
        <v>44.25</v>
      </c>
      <c r="K632" s="5">
        <v>8.16</v>
      </c>
      <c r="L632" s="5">
        <v>0.05</v>
      </c>
      <c r="M632" s="3">
        <f t="shared" si="169"/>
        <v>50</v>
      </c>
      <c r="N632" s="5">
        <v>3.73</v>
      </c>
      <c r="O632" s="23">
        <f t="shared" si="180"/>
        <v>3.7299999999999998E-3</v>
      </c>
      <c r="P632" s="23">
        <f t="shared" si="181"/>
        <v>6.7139999999999991E-2</v>
      </c>
      <c r="Q632" s="7">
        <f t="shared" si="182"/>
        <v>6.7139999999999998E-5</v>
      </c>
      <c r="R632" s="23">
        <f t="shared" si="183"/>
        <v>0.241704</v>
      </c>
      <c r="S632" s="5">
        <v>2.02</v>
      </c>
      <c r="T632" s="5">
        <v>0.35</v>
      </c>
      <c r="U632" s="3">
        <f t="shared" si="184"/>
        <v>3500</v>
      </c>
      <c r="V632" s="8">
        <v>-0.73</v>
      </c>
      <c r="W632" s="8">
        <v>-1.98</v>
      </c>
      <c r="X632" s="5">
        <f t="shared" si="185"/>
        <v>1.25</v>
      </c>
      <c r="Y632" s="23">
        <f t="shared" si="186"/>
        <v>0.19336320000000001</v>
      </c>
      <c r="Z632" s="23">
        <f t="shared" si="170"/>
        <v>676.77120000000002</v>
      </c>
      <c r="AA632" s="11">
        <f t="shared" si="171"/>
        <v>2.9814690640389716</v>
      </c>
      <c r="AB632" s="11">
        <f t="shared" si="172"/>
        <v>10435.1417241364</v>
      </c>
    </row>
    <row r="633" spans="1:28" ht="17.25" customHeight="1" x14ac:dyDescent="0.2">
      <c r="A633" t="s">
        <v>8</v>
      </c>
      <c r="B633" s="20">
        <v>1521</v>
      </c>
      <c r="C633" s="20">
        <v>157</v>
      </c>
      <c r="D633" s="20">
        <v>68</v>
      </c>
      <c r="E633" t="s">
        <v>77</v>
      </c>
      <c r="F633" s="26">
        <v>45178</v>
      </c>
      <c r="G633" t="s">
        <v>79</v>
      </c>
      <c r="H633" s="5">
        <v>9.5399999999999991</v>
      </c>
      <c r="I633" s="5">
        <v>46.72</v>
      </c>
      <c r="J633" s="5">
        <v>44.27</v>
      </c>
      <c r="K633" s="5">
        <v>8.23</v>
      </c>
      <c r="L633" s="5">
        <v>0.05</v>
      </c>
      <c r="M633" s="3">
        <f t="shared" si="169"/>
        <v>50</v>
      </c>
      <c r="N633" s="5">
        <v>3.54</v>
      </c>
      <c r="O633" s="23">
        <f t="shared" si="180"/>
        <v>3.5400000000000002E-3</v>
      </c>
      <c r="P633" s="23">
        <f t="shared" si="181"/>
        <v>6.3719999999999999E-2</v>
      </c>
      <c r="Q633" s="7">
        <f t="shared" si="182"/>
        <v>6.3719999999999993E-5</v>
      </c>
      <c r="R633" s="23">
        <f t="shared" si="183"/>
        <v>0.22939199999999998</v>
      </c>
      <c r="S633" s="5">
        <v>2.2400000000000002</v>
      </c>
      <c r="T633" s="5">
        <v>0.41</v>
      </c>
      <c r="U633" s="3">
        <f t="shared" si="184"/>
        <v>4100</v>
      </c>
      <c r="V633" s="8">
        <v>-0.84</v>
      </c>
      <c r="W633" s="8">
        <v>-2.2599999999999998</v>
      </c>
      <c r="X633" s="5">
        <f t="shared" si="185"/>
        <v>1.42</v>
      </c>
      <c r="Y633" s="23">
        <f t="shared" si="186"/>
        <v>0.16154366197183098</v>
      </c>
      <c r="Z633" s="23">
        <f t="shared" si="170"/>
        <v>662.32901408450698</v>
      </c>
      <c r="AA633" s="11">
        <f t="shared" si="171"/>
        <v>2.4908432972798487</v>
      </c>
      <c r="AB633" s="11">
        <f t="shared" si="172"/>
        <v>10212.457518847379</v>
      </c>
    </row>
    <row r="634" spans="1:28" ht="17.25" customHeight="1" x14ac:dyDescent="0.2">
      <c r="A634" t="s">
        <v>8</v>
      </c>
      <c r="B634" s="20">
        <v>1521</v>
      </c>
      <c r="C634" s="20">
        <v>157</v>
      </c>
      <c r="D634" s="20">
        <v>72</v>
      </c>
      <c r="E634" t="s">
        <v>77</v>
      </c>
      <c r="F634" s="26">
        <v>45178</v>
      </c>
      <c r="G634" t="s">
        <v>79</v>
      </c>
      <c r="H634" s="5">
        <v>9.89</v>
      </c>
      <c r="I634" s="5">
        <v>46.71</v>
      </c>
      <c r="J634" s="5">
        <v>43.65</v>
      </c>
      <c r="K634" s="5">
        <v>7.91</v>
      </c>
      <c r="L634" s="5">
        <v>0.04</v>
      </c>
      <c r="M634" s="3">
        <f t="shared" si="169"/>
        <v>40</v>
      </c>
      <c r="N634" s="5">
        <v>3.3</v>
      </c>
      <c r="O634" s="23">
        <f t="shared" si="180"/>
        <v>3.3E-3</v>
      </c>
      <c r="P634" s="23">
        <f t="shared" si="181"/>
        <v>5.9400000000000001E-2</v>
      </c>
      <c r="Q634" s="7">
        <f t="shared" si="182"/>
        <v>5.94E-5</v>
      </c>
      <c r="R634" s="23">
        <f t="shared" si="183"/>
        <v>0.21384</v>
      </c>
      <c r="S634" s="5">
        <v>2.52</v>
      </c>
      <c r="T634" s="5">
        <v>0.46</v>
      </c>
      <c r="U634" s="3">
        <f t="shared" si="184"/>
        <v>4600</v>
      </c>
      <c r="V634" s="8">
        <v>-1.19</v>
      </c>
      <c r="W634" s="8">
        <v>-2.08</v>
      </c>
      <c r="X634" s="5">
        <f t="shared" si="185"/>
        <v>0.89000000000000012</v>
      </c>
      <c r="Y634" s="23">
        <f t="shared" si="186"/>
        <v>0.24026966292134827</v>
      </c>
      <c r="Z634" s="23">
        <f t="shared" si="170"/>
        <v>1105.2404494382019</v>
      </c>
      <c r="AA634" s="11">
        <f t="shared" si="171"/>
        <v>3.7047202726634194</v>
      </c>
      <c r="AB634" s="11">
        <f t="shared" si="172"/>
        <v>17041.713254251728</v>
      </c>
    </row>
    <row r="635" spans="1:28" ht="17.25" customHeight="1" x14ac:dyDescent="0.2">
      <c r="A635" t="s">
        <v>8</v>
      </c>
      <c r="B635" s="20">
        <v>1521</v>
      </c>
      <c r="C635" s="20">
        <v>158</v>
      </c>
      <c r="D635" s="20">
        <v>70</v>
      </c>
      <c r="E635" t="s">
        <v>77</v>
      </c>
      <c r="F635" s="26">
        <v>45178</v>
      </c>
      <c r="G635" t="s">
        <v>79</v>
      </c>
      <c r="H635" s="5">
        <v>10.63</v>
      </c>
      <c r="I635" s="5">
        <v>45.36</v>
      </c>
      <c r="J635" s="5">
        <v>43.58</v>
      </c>
      <c r="K635" s="5">
        <v>7.87</v>
      </c>
      <c r="L635" s="5">
        <v>7.0000000000000007E-2</v>
      </c>
      <c r="M635" s="3">
        <f t="shared" si="169"/>
        <v>70</v>
      </c>
      <c r="N635" s="5">
        <v>4.8899999999999997</v>
      </c>
      <c r="O635" s="23">
        <f t="shared" si="180"/>
        <v>4.8899999999999994E-3</v>
      </c>
      <c r="P635" s="23">
        <f t="shared" si="181"/>
        <v>8.8019999999999987E-2</v>
      </c>
      <c r="Q635" s="7">
        <f t="shared" si="182"/>
        <v>8.8019999999999987E-5</v>
      </c>
      <c r="R635" s="23">
        <f t="shared" si="183"/>
        <v>0.31687199999999993</v>
      </c>
      <c r="S635" s="5">
        <v>1.21</v>
      </c>
      <c r="T635" s="5">
        <v>0.27</v>
      </c>
      <c r="U635" s="3">
        <f t="shared" si="184"/>
        <v>2700</v>
      </c>
      <c r="V635" s="8">
        <v>-0.45</v>
      </c>
      <c r="W635" s="8">
        <v>-1.75</v>
      </c>
      <c r="X635" s="5">
        <f t="shared" si="185"/>
        <v>1.3</v>
      </c>
      <c r="Y635" s="23">
        <f t="shared" si="186"/>
        <v>0.24374769230769225</v>
      </c>
      <c r="Z635" s="23">
        <f t="shared" si="170"/>
        <v>658.11876923076909</v>
      </c>
      <c r="AA635" s="11">
        <f t="shared" si="171"/>
        <v>3.7583480416453305</v>
      </c>
      <c r="AB635" s="11">
        <f t="shared" si="172"/>
        <v>10147.539712442393</v>
      </c>
    </row>
    <row r="636" spans="1:28" ht="17.25" customHeight="1" x14ac:dyDescent="0.2">
      <c r="A636" t="s">
        <v>8</v>
      </c>
      <c r="B636" s="20">
        <v>1521</v>
      </c>
      <c r="C636" s="20">
        <v>158</v>
      </c>
      <c r="D636" s="20">
        <v>73</v>
      </c>
      <c r="E636" t="s">
        <v>77</v>
      </c>
      <c r="F636" s="26">
        <v>45178</v>
      </c>
      <c r="G636" t="s">
        <v>79</v>
      </c>
      <c r="H636" s="5">
        <v>10.07</v>
      </c>
      <c r="I636" s="5">
        <v>46.36</v>
      </c>
      <c r="J636" s="5">
        <v>43.83</v>
      </c>
      <c r="K636" s="5">
        <v>7.99</v>
      </c>
      <c r="L636" s="5">
        <v>0.06</v>
      </c>
      <c r="M636" s="3">
        <f t="shared" si="169"/>
        <v>60</v>
      </c>
      <c r="N636" s="5">
        <v>4.67</v>
      </c>
      <c r="O636" s="23">
        <f t="shared" si="180"/>
        <v>4.6699999999999997E-3</v>
      </c>
      <c r="P636" s="23">
        <f t="shared" si="181"/>
        <v>8.4059999999999996E-2</v>
      </c>
      <c r="Q636" s="7">
        <f t="shared" si="182"/>
        <v>8.4059999999999991E-5</v>
      </c>
      <c r="R636" s="23">
        <f t="shared" si="183"/>
        <v>0.302616</v>
      </c>
      <c r="S636" s="5">
        <v>0.73</v>
      </c>
      <c r="T636" s="5">
        <v>0.16</v>
      </c>
      <c r="U636" s="3">
        <f t="shared" si="184"/>
        <v>1600</v>
      </c>
      <c r="V636" s="8">
        <v>-0.48</v>
      </c>
      <c r="W636" s="8">
        <v>-1.73</v>
      </c>
      <c r="X636" s="5">
        <f t="shared" si="185"/>
        <v>1.25</v>
      </c>
      <c r="Y636" s="23">
        <f t="shared" si="186"/>
        <v>0.2420928</v>
      </c>
      <c r="Z636" s="23">
        <f t="shared" si="170"/>
        <v>387.34848</v>
      </c>
      <c r="AA636" s="11">
        <f t="shared" si="171"/>
        <v>3.7328312410353881</v>
      </c>
      <c r="AB636" s="11">
        <f t="shared" si="172"/>
        <v>5972.5299856566207</v>
      </c>
    </row>
    <row r="637" spans="1:28" ht="17.25" customHeight="1" x14ac:dyDescent="0.2">
      <c r="A637" t="s">
        <v>8</v>
      </c>
      <c r="B637" s="20">
        <v>1521</v>
      </c>
      <c r="C637" s="20">
        <v>158</v>
      </c>
      <c r="D637" s="20">
        <v>81</v>
      </c>
      <c r="E637" t="s">
        <v>77</v>
      </c>
      <c r="F637" s="26">
        <v>45178</v>
      </c>
      <c r="G637" t="s">
        <v>79</v>
      </c>
      <c r="H637" s="5">
        <v>11.15</v>
      </c>
      <c r="I637" s="5">
        <v>45.03</v>
      </c>
      <c r="J637" s="5">
        <v>42.93</v>
      </c>
      <c r="K637" s="5">
        <v>7.55</v>
      </c>
      <c r="L637" s="5">
        <v>0.09</v>
      </c>
      <c r="M637" s="3">
        <f t="shared" si="169"/>
        <v>90</v>
      </c>
      <c r="N637" s="5">
        <v>6.18</v>
      </c>
      <c r="O637" s="23">
        <f t="shared" si="180"/>
        <v>6.1799999999999997E-3</v>
      </c>
      <c r="P637" s="23">
        <f t="shared" si="181"/>
        <v>0.11123999999999999</v>
      </c>
      <c r="Q637" s="7">
        <f t="shared" si="182"/>
        <v>1.1123999999999999E-4</v>
      </c>
      <c r="R637" s="23">
        <f t="shared" si="183"/>
        <v>0.40046399999999993</v>
      </c>
      <c r="S637" s="5">
        <v>0.69</v>
      </c>
      <c r="T637" s="5">
        <v>0.22</v>
      </c>
      <c r="U637" s="3">
        <f t="shared" si="184"/>
        <v>2200</v>
      </c>
      <c r="V637" s="8">
        <v>-0.42</v>
      </c>
      <c r="W637" s="8">
        <v>-2.09</v>
      </c>
      <c r="X637" s="5">
        <f t="shared" si="185"/>
        <v>1.67</v>
      </c>
      <c r="Y637" s="23">
        <f t="shared" si="186"/>
        <v>0.23979880239520954</v>
      </c>
      <c r="Z637" s="23">
        <f t="shared" si="170"/>
        <v>527.557365269461</v>
      </c>
      <c r="AA637" s="11">
        <f t="shared" si="171"/>
        <v>3.6974600696249942</v>
      </c>
      <c r="AB637" s="11">
        <f t="shared" si="172"/>
        <v>8134.412153174987</v>
      </c>
    </row>
    <row r="638" spans="1:28" ht="17.25" customHeight="1" x14ac:dyDescent="0.2">
      <c r="A638" t="s">
        <v>9</v>
      </c>
      <c r="B638" s="20">
        <v>666</v>
      </c>
      <c r="C638" s="20">
        <v>101</v>
      </c>
      <c r="D638" s="20">
        <v>1</v>
      </c>
      <c r="E638" t="s">
        <v>77</v>
      </c>
      <c r="F638" s="26">
        <v>45178</v>
      </c>
      <c r="G638" t="s">
        <v>79</v>
      </c>
      <c r="H638" s="5">
        <v>10.15</v>
      </c>
      <c r="I638" s="5">
        <v>46.81</v>
      </c>
      <c r="J638" s="5">
        <v>43.68</v>
      </c>
      <c r="K638" s="5">
        <v>7.89</v>
      </c>
      <c r="L638" s="5">
        <v>0.06</v>
      </c>
      <c r="M638" s="3">
        <f t="shared" si="169"/>
        <v>60</v>
      </c>
      <c r="N638" s="3">
        <v>4</v>
      </c>
      <c r="O638" s="23">
        <f t="shared" si="180"/>
        <v>4.0000000000000001E-3</v>
      </c>
      <c r="P638" s="23">
        <f t="shared" si="181"/>
        <v>7.2000000000000008E-2</v>
      </c>
      <c r="Q638" s="7">
        <f t="shared" si="182"/>
        <v>7.2000000000000002E-5</v>
      </c>
      <c r="R638" s="23">
        <f t="shared" si="183"/>
        <v>0.25919999999999999</v>
      </c>
      <c r="S638" s="5">
        <v>5.48</v>
      </c>
      <c r="T638" s="5">
        <v>0.73</v>
      </c>
      <c r="U638" s="3">
        <f t="shared" si="184"/>
        <v>7300</v>
      </c>
      <c r="V638" s="8">
        <v>-0.26</v>
      </c>
      <c r="W638" s="8">
        <v>-2.2999999999999998</v>
      </c>
      <c r="X638" s="5">
        <f t="shared" si="185"/>
        <v>2.04</v>
      </c>
      <c r="Y638" s="23">
        <f t="shared" si="186"/>
        <v>0.12705882352941175</v>
      </c>
      <c r="Z638" s="23">
        <f t="shared" si="170"/>
        <v>927.52941176470574</v>
      </c>
      <c r="AA638" s="11">
        <f t="shared" si="171"/>
        <v>1.9591212374750111</v>
      </c>
      <c r="AB638" s="11">
        <f t="shared" si="172"/>
        <v>14301.58503356758</v>
      </c>
    </row>
    <row r="639" spans="1:28" ht="17.25" customHeight="1" x14ac:dyDescent="0.2">
      <c r="A639" t="s">
        <v>9</v>
      </c>
      <c r="B639" s="20">
        <v>666</v>
      </c>
      <c r="C639" s="20">
        <v>101</v>
      </c>
      <c r="D639" s="20">
        <v>2</v>
      </c>
      <c r="E639" t="s">
        <v>77</v>
      </c>
      <c r="F639" s="26">
        <v>45178</v>
      </c>
      <c r="G639" t="s">
        <v>79</v>
      </c>
      <c r="H639" s="5">
        <v>10.1</v>
      </c>
      <c r="I639" s="5">
        <v>46.82</v>
      </c>
      <c r="J639" s="5">
        <v>45.19</v>
      </c>
      <c r="K639" s="5">
        <v>8.6300000000000008</v>
      </c>
      <c r="L639" s="5">
        <v>0.05</v>
      </c>
      <c r="M639" s="3">
        <f t="shared" si="169"/>
        <v>50</v>
      </c>
      <c r="N639" s="5">
        <v>3.83</v>
      </c>
      <c r="O639" s="23">
        <f t="shared" si="180"/>
        <v>3.8300000000000001E-3</v>
      </c>
      <c r="P639" s="23">
        <f t="shared" si="181"/>
        <v>6.8940000000000001E-2</v>
      </c>
      <c r="Q639" s="7">
        <f t="shared" si="182"/>
        <v>6.8940000000000001E-5</v>
      </c>
      <c r="R639" s="23">
        <f t="shared" si="183"/>
        <v>0.24818400000000002</v>
      </c>
      <c r="S639" s="5">
        <v>4.08</v>
      </c>
      <c r="T639" s="5">
        <v>0.49</v>
      </c>
      <c r="U639" s="3">
        <f t="shared" si="184"/>
        <v>4900</v>
      </c>
      <c r="V639" s="8">
        <v>-1.3</v>
      </c>
      <c r="W639" s="8">
        <v>-2.2000000000000002</v>
      </c>
      <c r="X639" s="5">
        <f t="shared" si="185"/>
        <v>0.90000000000000013</v>
      </c>
      <c r="Y639" s="23">
        <f t="shared" si="186"/>
        <v>0.27575999999999995</v>
      </c>
      <c r="Z639" s="23">
        <f t="shared" si="170"/>
        <v>1351.2239999999997</v>
      </c>
      <c r="AA639" s="11">
        <f t="shared" si="171"/>
        <v>4.2519461257332658</v>
      </c>
      <c r="AB639" s="11">
        <f t="shared" si="172"/>
        <v>20834.536016093003</v>
      </c>
    </row>
    <row r="640" spans="1:28" ht="17.25" customHeight="1" x14ac:dyDescent="0.2">
      <c r="A640" t="s">
        <v>9</v>
      </c>
      <c r="B640" s="20">
        <v>666</v>
      </c>
      <c r="C640" s="20">
        <v>101</v>
      </c>
      <c r="D640" s="20">
        <v>3</v>
      </c>
      <c r="E640" t="s">
        <v>77</v>
      </c>
      <c r="F640" s="26">
        <v>45178</v>
      </c>
      <c r="G640" t="s">
        <v>79</v>
      </c>
      <c r="H640" s="5">
        <v>9.5</v>
      </c>
      <c r="I640" s="5">
        <v>46.8</v>
      </c>
      <c r="J640" s="5">
        <v>42.89</v>
      </c>
      <c r="K640" s="5">
        <v>7.6</v>
      </c>
      <c r="L640" s="5">
        <v>0.05</v>
      </c>
      <c r="M640" s="3">
        <f t="shared" si="169"/>
        <v>50</v>
      </c>
      <c r="N640" s="5">
        <v>3.76</v>
      </c>
      <c r="O640" s="23">
        <f t="shared" si="180"/>
        <v>3.7599999999999999E-3</v>
      </c>
      <c r="P640" s="23">
        <f t="shared" si="181"/>
        <v>6.7680000000000004E-2</v>
      </c>
      <c r="Q640" s="7">
        <f t="shared" si="182"/>
        <v>6.7680000000000003E-5</v>
      </c>
      <c r="R640" s="23">
        <f t="shared" si="183"/>
        <v>0.243648</v>
      </c>
      <c r="S640" s="5">
        <v>6.39</v>
      </c>
      <c r="T640" s="5">
        <v>0.75</v>
      </c>
      <c r="U640" s="3">
        <f t="shared" si="184"/>
        <v>7500</v>
      </c>
      <c r="V640" s="8">
        <v>-1.1100000000000001</v>
      </c>
      <c r="W640" s="8">
        <v>-2.37</v>
      </c>
      <c r="X640" s="5">
        <f t="shared" si="185"/>
        <v>1.26</v>
      </c>
      <c r="Y640" s="23">
        <f t="shared" si="186"/>
        <v>0.19337142857142858</v>
      </c>
      <c r="Z640" s="23">
        <f t="shared" si="170"/>
        <v>1450.2857142857144</v>
      </c>
      <c r="AA640" s="11">
        <f t="shared" si="171"/>
        <v>2.9815959404619701</v>
      </c>
      <c r="AB640" s="11">
        <f t="shared" si="172"/>
        <v>22361.969553464776</v>
      </c>
    </row>
    <row r="641" spans="1:28" ht="17.25" customHeight="1" x14ac:dyDescent="0.2">
      <c r="A641" t="s">
        <v>9</v>
      </c>
      <c r="B641" s="20">
        <v>666</v>
      </c>
      <c r="C641" s="20">
        <v>105</v>
      </c>
      <c r="D641" s="20">
        <v>7</v>
      </c>
      <c r="E641" t="s">
        <v>77</v>
      </c>
      <c r="F641" s="26">
        <v>45178</v>
      </c>
      <c r="G641" t="s">
        <v>79</v>
      </c>
      <c r="H641" s="5">
        <v>10.37</v>
      </c>
      <c r="I641" s="5">
        <v>46.28</v>
      </c>
      <c r="J641" s="5">
        <v>43.81</v>
      </c>
      <c r="K641" s="5">
        <v>7.95</v>
      </c>
      <c r="L641" s="5">
        <v>0.04</v>
      </c>
      <c r="M641" s="3">
        <f t="shared" si="169"/>
        <v>40</v>
      </c>
      <c r="N641" s="5">
        <v>3.06</v>
      </c>
      <c r="O641" s="23">
        <f t="shared" si="180"/>
        <v>3.0600000000000002E-3</v>
      </c>
      <c r="P641" s="23">
        <f t="shared" si="181"/>
        <v>5.5080000000000004E-2</v>
      </c>
      <c r="Q641" s="7">
        <f t="shared" si="182"/>
        <v>5.5080000000000001E-5</v>
      </c>
      <c r="R641" s="23">
        <f t="shared" si="183"/>
        <v>0.19828799999999999</v>
      </c>
      <c r="S641" s="5">
        <v>3.32</v>
      </c>
      <c r="T641" s="5">
        <v>0.56000000000000005</v>
      </c>
      <c r="U641" s="5">
        <f t="shared" si="184"/>
        <v>5600.0000000000009</v>
      </c>
      <c r="V641" s="8">
        <v>-1.32</v>
      </c>
      <c r="W641" s="8">
        <v>-1.82</v>
      </c>
      <c r="X641" s="5">
        <f t="shared" si="185"/>
        <v>0.5</v>
      </c>
      <c r="Y641" s="23">
        <f t="shared" si="186"/>
        <v>0.39657599999999998</v>
      </c>
      <c r="Z641" s="23">
        <f t="shared" si="170"/>
        <v>2220.8256000000001</v>
      </c>
      <c r="AA641" s="11">
        <f t="shared" si="171"/>
        <v>6.1148092064070045</v>
      </c>
      <c r="AB641" s="11">
        <f t="shared" si="172"/>
        <v>34242.93155587923</v>
      </c>
    </row>
    <row r="642" spans="1:28" ht="17.25" customHeight="1" x14ac:dyDescent="0.2">
      <c r="A642" t="s">
        <v>9</v>
      </c>
      <c r="B642" s="20">
        <v>666</v>
      </c>
      <c r="C642" s="20">
        <v>105</v>
      </c>
      <c r="D642" s="20">
        <v>8</v>
      </c>
      <c r="E642" t="s">
        <v>77</v>
      </c>
      <c r="F642" s="26">
        <v>45178</v>
      </c>
      <c r="G642" t="s">
        <v>79</v>
      </c>
      <c r="H642" s="5">
        <v>9.92</v>
      </c>
      <c r="I642" s="5">
        <v>46.61</v>
      </c>
      <c r="J642" s="5">
        <v>40.92</v>
      </c>
      <c r="K642" s="5">
        <v>6.74</v>
      </c>
      <c r="L642" s="5">
        <v>0.18</v>
      </c>
      <c r="M642" s="3">
        <f t="shared" si="169"/>
        <v>180</v>
      </c>
      <c r="N642" s="5">
        <v>11.09</v>
      </c>
      <c r="O642" s="23">
        <f t="shared" si="180"/>
        <v>1.1089999999999999E-2</v>
      </c>
      <c r="P642" s="23">
        <f t="shared" si="181"/>
        <v>0.19961999999999999</v>
      </c>
      <c r="Q642" s="7">
        <f t="shared" si="182"/>
        <v>1.9961999999999999E-4</v>
      </c>
      <c r="R642" s="23">
        <f t="shared" si="183"/>
        <v>0.71863199999999994</v>
      </c>
      <c r="S642" s="5">
        <v>1.18</v>
      </c>
      <c r="T642" s="5">
        <v>0.18</v>
      </c>
      <c r="U642" s="3">
        <f t="shared" si="184"/>
        <v>1800</v>
      </c>
      <c r="V642" s="8">
        <v>-1.2</v>
      </c>
      <c r="W642" s="8">
        <v>-2.1</v>
      </c>
      <c r="X642" s="5">
        <f t="shared" si="185"/>
        <v>0.90000000000000013</v>
      </c>
      <c r="Y642" s="23">
        <f t="shared" si="186"/>
        <v>0.79847999999999986</v>
      </c>
      <c r="Z642" s="23">
        <f t="shared" si="170"/>
        <v>1437.2639999999997</v>
      </c>
      <c r="AA642" s="11">
        <f t="shared" si="171"/>
        <v>12.311770896705461</v>
      </c>
      <c r="AB642" s="11">
        <f t="shared" si="172"/>
        <v>22161.18761406983</v>
      </c>
    </row>
    <row r="643" spans="1:28" ht="17.25" customHeight="1" x14ac:dyDescent="0.2">
      <c r="A643" t="s">
        <v>9</v>
      </c>
      <c r="B643" s="20">
        <v>666</v>
      </c>
      <c r="C643" s="20">
        <v>105</v>
      </c>
      <c r="D643" s="20">
        <v>9</v>
      </c>
      <c r="E643" t="s">
        <v>77</v>
      </c>
      <c r="F643" s="26">
        <v>45178</v>
      </c>
      <c r="G643" t="s">
        <v>79</v>
      </c>
      <c r="H643" s="5">
        <v>10.76</v>
      </c>
      <c r="I643" s="5">
        <v>46.49</v>
      </c>
      <c r="J643" s="5">
        <v>44.36</v>
      </c>
      <c r="K643" s="5">
        <v>8.18</v>
      </c>
      <c r="L643" s="5">
        <v>0.05</v>
      </c>
      <c r="M643" s="3">
        <f t="shared" ref="M643:M706" si="187">L643*1000</f>
        <v>50</v>
      </c>
      <c r="N643" s="5">
        <v>4.01</v>
      </c>
      <c r="O643" s="23">
        <f t="shared" si="180"/>
        <v>4.0099999999999997E-3</v>
      </c>
      <c r="P643" s="23">
        <f t="shared" si="181"/>
        <v>7.2179999999999994E-2</v>
      </c>
      <c r="Q643" s="7">
        <f t="shared" si="182"/>
        <v>7.217999999999999E-5</v>
      </c>
      <c r="R643" s="23">
        <f t="shared" si="183"/>
        <v>0.25984799999999997</v>
      </c>
      <c r="S643" s="5">
        <v>4.63</v>
      </c>
      <c r="T643" s="5">
        <v>0.75</v>
      </c>
      <c r="U643" s="3">
        <f t="shared" si="184"/>
        <v>7500</v>
      </c>
      <c r="V643" s="8">
        <v>-0.56000000000000005</v>
      </c>
      <c r="W643" s="8">
        <v>-2.61</v>
      </c>
      <c r="X643" s="5">
        <f t="shared" si="185"/>
        <v>2.0499999999999998</v>
      </c>
      <c r="Y643" s="23">
        <f t="shared" si="186"/>
        <v>0.12675512195121952</v>
      </c>
      <c r="Z643" s="23">
        <f t="shared" ref="Z643:Z706" si="188">Y643*U643</f>
        <v>950.66341463414642</v>
      </c>
      <c r="AA643" s="11">
        <f t="shared" ref="AA643:AA706" si="189">Y643 * 1000 * 1000 / 18.01528 / 3600</f>
        <v>1.954438459882998</v>
      </c>
      <c r="AB643" s="11">
        <f t="shared" ref="AB643:AB706" si="190">AA643*U643</f>
        <v>14658.288449122485</v>
      </c>
    </row>
    <row r="644" spans="1:28" ht="17.25" customHeight="1" x14ac:dyDescent="0.2">
      <c r="A644" t="s">
        <v>9</v>
      </c>
      <c r="B644" s="20">
        <v>666</v>
      </c>
      <c r="C644" s="20">
        <v>118</v>
      </c>
      <c r="D644" s="20">
        <v>10</v>
      </c>
      <c r="E644" t="s">
        <v>77</v>
      </c>
      <c r="F644" s="26">
        <v>45178</v>
      </c>
      <c r="G644" t="s">
        <v>79</v>
      </c>
      <c r="H644" s="5">
        <v>10.79</v>
      </c>
      <c r="I644" s="5">
        <v>45.2</v>
      </c>
      <c r="J644" s="5">
        <v>44.11</v>
      </c>
      <c r="K644" s="5">
        <v>8.1300000000000008</v>
      </c>
      <c r="L644" s="5">
        <v>0.04</v>
      </c>
      <c r="M644" s="3">
        <f t="shared" si="187"/>
        <v>40</v>
      </c>
      <c r="N644" s="5">
        <v>3.19</v>
      </c>
      <c r="O644" s="23">
        <f t="shared" ref="O644:O667" si="191">N644/1000</f>
        <v>3.1900000000000001E-3</v>
      </c>
      <c r="P644" s="23">
        <f t="shared" ref="P644:P667" si="192">O644*18</f>
        <v>5.7419999999999999E-2</v>
      </c>
      <c r="Q644" s="7">
        <f t="shared" ref="Q644:Q667" si="193">P644/1000</f>
        <v>5.7419999999999996E-5</v>
      </c>
      <c r="R644" s="23">
        <f t="shared" ref="R644:R667" si="194">Q644*3600</f>
        <v>0.20671199999999998</v>
      </c>
      <c r="S644" s="5">
        <v>10.06</v>
      </c>
      <c r="T644" s="5">
        <v>1.55</v>
      </c>
      <c r="U644" s="3">
        <f t="shared" ref="U644:U667" si="195">T644*10000</f>
        <v>15500</v>
      </c>
      <c r="V644" s="8">
        <v>-0.26</v>
      </c>
      <c r="W644" s="8">
        <v>-1.83</v>
      </c>
      <c r="X644" s="5">
        <f t="shared" ref="X644:X667" si="196">V644-W644</f>
        <v>1.57</v>
      </c>
      <c r="Y644" s="23">
        <f t="shared" ref="Y644:Y667" si="197">R644/X644</f>
        <v>0.1316636942675159</v>
      </c>
      <c r="Z644" s="23">
        <f t="shared" si="188"/>
        <v>2040.7872611464963</v>
      </c>
      <c r="AA644" s="11">
        <f t="shared" si="189"/>
        <v>2.0301237842344557</v>
      </c>
      <c r="AB644" s="11">
        <f t="shared" si="190"/>
        <v>31466.918655634065</v>
      </c>
    </row>
    <row r="645" spans="1:28" ht="17.25" customHeight="1" x14ac:dyDescent="0.2">
      <c r="A645" t="s">
        <v>9</v>
      </c>
      <c r="B645" s="20">
        <v>666</v>
      </c>
      <c r="C645" s="20">
        <v>118</v>
      </c>
      <c r="D645" s="20">
        <v>11</v>
      </c>
      <c r="E645" t="s">
        <v>77</v>
      </c>
      <c r="F645" s="26">
        <v>45178</v>
      </c>
      <c r="G645" t="s">
        <v>79</v>
      </c>
      <c r="H645" s="5">
        <v>9.8800000000000008</v>
      </c>
      <c r="I645" s="5">
        <v>46.49</v>
      </c>
      <c r="J645" s="5">
        <v>45.47</v>
      </c>
      <c r="K645" s="5">
        <v>8.81</v>
      </c>
      <c r="L645" s="5">
        <v>0.03</v>
      </c>
      <c r="M645" s="3">
        <f t="shared" si="187"/>
        <v>30</v>
      </c>
      <c r="N645" s="5">
        <v>2.2200000000000002</v>
      </c>
      <c r="O645" s="23">
        <f t="shared" si="191"/>
        <v>2.2200000000000002E-3</v>
      </c>
      <c r="P645" s="23">
        <f t="shared" si="192"/>
        <v>3.9960000000000002E-2</v>
      </c>
      <c r="Q645" s="7">
        <f t="shared" si="193"/>
        <v>3.9960000000000004E-5</v>
      </c>
      <c r="R645" s="23">
        <f t="shared" si="194"/>
        <v>0.14385600000000001</v>
      </c>
      <c r="S645" s="5">
        <v>2.44</v>
      </c>
      <c r="T645" s="5">
        <v>0.45</v>
      </c>
      <c r="U645" s="3">
        <f t="shared" si="195"/>
        <v>4500</v>
      </c>
      <c r="V645" s="8">
        <v>-0.36</v>
      </c>
      <c r="W645" s="8">
        <v>-1.71</v>
      </c>
      <c r="X645" s="5">
        <f t="shared" si="196"/>
        <v>1.35</v>
      </c>
      <c r="Y645" s="23">
        <f t="shared" si="197"/>
        <v>0.10656</v>
      </c>
      <c r="Z645" s="23">
        <f t="shared" si="188"/>
        <v>479.52</v>
      </c>
      <c r="AA645" s="11">
        <f t="shared" si="189"/>
        <v>1.6430496778290429</v>
      </c>
      <c r="AB645" s="11">
        <f t="shared" si="190"/>
        <v>7393.723550230693</v>
      </c>
    </row>
    <row r="646" spans="1:28" ht="17.25" customHeight="1" x14ac:dyDescent="0.2">
      <c r="A646" t="s">
        <v>9</v>
      </c>
      <c r="B646" s="20">
        <v>666</v>
      </c>
      <c r="C646" s="20">
        <v>118</v>
      </c>
      <c r="D646" s="20">
        <v>12</v>
      </c>
      <c r="E646" t="s">
        <v>77</v>
      </c>
      <c r="F646" s="26">
        <v>45178</v>
      </c>
      <c r="G646" t="s">
        <v>79</v>
      </c>
      <c r="H646" s="5">
        <v>10.38</v>
      </c>
      <c r="I646" s="5">
        <v>45.64</v>
      </c>
      <c r="J646" s="5">
        <v>44.16</v>
      </c>
      <c r="K646" s="5">
        <v>8.15</v>
      </c>
      <c r="L646" s="5">
        <v>0.02</v>
      </c>
      <c r="M646" s="3">
        <f t="shared" si="187"/>
        <v>20</v>
      </c>
      <c r="N646" s="5">
        <v>1.24</v>
      </c>
      <c r="O646" s="23">
        <f t="shared" si="191"/>
        <v>1.24E-3</v>
      </c>
      <c r="P646" s="23">
        <f t="shared" si="192"/>
        <v>2.232E-2</v>
      </c>
      <c r="Q646" s="7">
        <f t="shared" si="193"/>
        <v>2.232E-5</v>
      </c>
      <c r="R646" s="23">
        <f t="shared" si="194"/>
        <v>8.0351999999999993E-2</v>
      </c>
      <c r="S646" s="5">
        <v>1.93</v>
      </c>
      <c r="T646" s="5">
        <v>0.33</v>
      </c>
      <c r="U646" s="3">
        <f t="shared" si="195"/>
        <v>3300</v>
      </c>
      <c r="V646" s="8">
        <v>-0.47</v>
      </c>
      <c r="W646" s="8">
        <v>-1.91</v>
      </c>
      <c r="X646" s="5">
        <f t="shared" si="196"/>
        <v>1.44</v>
      </c>
      <c r="Y646" s="23">
        <f t="shared" si="197"/>
        <v>5.5799999999999995E-2</v>
      </c>
      <c r="Z646" s="23">
        <f t="shared" si="188"/>
        <v>184.14</v>
      </c>
      <c r="AA646" s="11">
        <f t="shared" si="189"/>
        <v>0.86038074345777582</v>
      </c>
      <c r="AB646" s="11">
        <f t="shared" si="190"/>
        <v>2839.25645341066</v>
      </c>
    </row>
    <row r="647" spans="1:28" ht="17.25" customHeight="1" x14ac:dyDescent="0.2">
      <c r="A647" t="s">
        <v>9</v>
      </c>
      <c r="B647" s="20">
        <v>666</v>
      </c>
      <c r="C647" s="20">
        <v>122</v>
      </c>
      <c r="D647" s="20">
        <v>16</v>
      </c>
      <c r="E647" t="s">
        <v>77</v>
      </c>
      <c r="F647" s="26">
        <v>45178</v>
      </c>
      <c r="G647" t="s">
        <v>79</v>
      </c>
      <c r="H647" s="5">
        <v>10.48</v>
      </c>
      <c r="I647" s="5">
        <v>46.2</v>
      </c>
      <c r="J647" s="5">
        <v>45.25</v>
      </c>
      <c r="K647" s="5">
        <v>8.65</v>
      </c>
      <c r="L647" s="5">
        <v>0.04</v>
      </c>
      <c r="M647" s="3">
        <f t="shared" si="187"/>
        <v>40</v>
      </c>
      <c r="N647" s="5">
        <v>3.22</v>
      </c>
      <c r="O647" s="23">
        <f t="shared" si="191"/>
        <v>3.2200000000000002E-3</v>
      </c>
      <c r="P647" s="23">
        <f t="shared" si="192"/>
        <v>5.7960000000000005E-2</v>
      </c>
      <c r="Q647" s="7">
        <f t="shared" si="193"/>
        <v>5.7960000000000007E-5</v>
      </c>
      <c r="R647" s="23">
        <f t="shared" si="194"/>
        <v>0.20865600000000004</v>
      </c>
      <c r="S647" s="5">
        <v>8.4700000000000006</v>
      </c>
      <c r="T647" s="5">
        <v>1.37</v>
      </c>
      <c r="U647" s="5">
        <f t="shared" si="195"/>
        <v>13700.000000000002</v>
      </c>
      <c r="V647" s="8">
        <v>-0.27</v>
      </c>
      <c r="W647" s="8">
        <v>-1.65</v>
      </c>
      <c r="X647" s="5">
        <f t="shared" si="196"/>
        <v>1.38</v>
      </c>
      <c r="Y647" s="23">
        <f t="shared" si="197"/>
        <v>0.15120000000000003</v>
      </c>
      <c r="Z647" s="23">
        <f t="shared" si="188"/>
        <v>2071.4400000000005</v>
      </c>
      <c r="AA647" s="11">
        <f t="shared" si="189"/>
        <v>2.3313542725952638</v>
      </c>
      <c r="AB647" s="11">
        <f t="shared" si="190"/>
        <v>31939.553534555118</v>
      </c>
    </row>
    <row r="648" spans="1:28" ht="17.25" customHeight="1" x14ac:dyDescent="0.2">
      <c r="A648" t="s">
        <v>9</v>
      </c>
      <c r="B648" s="20">
        <v>666</v>
      </c>
      <c r="C648" s="20">
        <v>122</v>
      </c>
      <c r="D648" s="20">
        <v>17</v>
      </c>
      <c r="E648" t="s">
        <v>77</v>
      </c>
      <c r="F648" s="26">
        <v>45178</v>
      </c>
      <c r="G648" t="s">
        <v>79</v>
      </c>
      <c r="H648" s="5">
        <v>10.3</v>
      </c>
      <c r="I648" s="5">
        <v>45.95</v>
      </c>
      <c r="J648" s="5">
        <v>44.41</v>
      </c>
      <c r="K648" s="5">
        <v>8.26</v>
      </c>
      <c r="L648" s="5">
        <v>0.05</v>
      </c>
      <c r="M648" s="3">
        <f t="shared" si="187"/>
        <v>50</v>
      </c>
      <c r="N648" s="5">
        <v>3.87</v>
      </c>
      <c r="O648" s="23">
        <f t="shared" si="191"/>
        <v>3.8700000000000002E-3</v>
      </c>
      <c r="P648" s="23">
        <f t="shared" si="192"/>
        <v>6.966E-2</v>
      </c>
      <c r="Q648" s="7">
        <f t="shared" si="193"/>
        <v>6.9659999999999994E-5</v>
      </c>
      <c r="R648" s="23">
        <f t="shared" si="194"/>
        <v>0.250776</v>
      </c>
      <c r="S648" s="5">
        <v>8.18</v>
      </c>
      <c r="T648" s="5">
        <v>1.23</v>
      </c>
      <c r="U648" s="3">
        <f t="shared" si="195"/>
        <v>12300</v>
      </c>
      <c r="V648" s="8">
        <v>-0.26</v>
      </c>
      <c r="W648" s="8">
        <v>-2.09</v>
      </c>
      <c r="X648" s="5">
        <f t="shared" si="196"/>
        <v>1.8299999999999998</v>
      </c>
      <c r="Y648" s="23">
        <f t="shared" si="197"/>
        <v>0.13703606557377052</v>
      </c>
      <c r="Z648" s="23">
        <f t="shared" si="188"/>
        <v>1685.5436065573774</v>
      </c>
      <c r="AA648" s="11">
        <f t="shared" si="189"/>
        <v>2.1129604297291973</v>
      </c>
      <c r="AB648" s="11">
        <f t="shared" si="190"/>
        <v>25989.413285669125</v>
      </c>
    </row>
    <row r="649" spans="1:28" ht="17.25" customHeight="1" x14ac:dyDescent="0.2">
      <c r="A649" t="s">
        <v>9</v>
      </c>
      <c r="B649" s="20">
        <v>666</v>
      </c>
      <c r="C649" s="20">
        <v>122</v>
      </c>
      <c r="D649" s="20">
        <v>18</v>
      </c>
      <c r="E649" t="s">
        <v>77</v>
      </c>
      <c r="F649" s="26">
        <v>45178</v>
      </c>
      <c r="G649" t="s">
        <v>79</v>
      </c>
      <c r="H649" s="5">
        <v>9.57</v>
      </c>
      <c r="I649" s="5">
        <v>46.84</v>
      </c>
      <c r="J649" s="5">
        <v>45.45</v>
      </c>
      <c r="K649" s="5">
        <v>8.8000000000000007</v>
      </c>
      <c r="L649" s="5">
        <v>0.02</v>
      </c>
      <c r="M649" s="3">
        <f t="shared" si="187"/>
        <v>20</v>
      </c>
      <c r="N649" s="5">
        <v>1.69</v>
      </c>
      <c r="O649" s="23">
        <f t="shared" si="191"/>
        <v>1.6899999999999999E-3</v>
      </c>
      <c r="P649" s="23">
        <f t="shared" si="192"/>
        <v>3.0419999999999999E-2</v>
      </c>
      <c r="Q649" s="7">
        <f t="shared" si="193"/>
        <v>3.042E-5</v>
      </c>
      <c r="R649" s="23">
        <f t="shared" si="194"/>
        <v>0.109512</v>
      </c>
      <c r="S649" s="5">
        <v>7.71</v>
      </c>
      <c r="T649" s="5">
        <v>1.2</v>
      </c>
      <c r="U649" s="3">
        <f t="shared" si="195"/>
        <v>12000</v>
      </c>
      <c r="V649" s="8">
        <v>-0.88</v>
      </c>
      <c r="W649" s="8">
        <v>-1.99</v>
      </c>
      <c r="X649" s="5">
        <f t="shared" si="196"/>
        <v>1.1099999999999999</v>
      </c>
      <c r="Y649" s="23">
        <f t="shared" si="197"/>
        <v>9.8659459459459475E-2</v>
      </c>
      <c r="Z649" s="23">
        <f t="shared" si="188"/>
        <v>1183.9135135135136</v>
      </c>
      <c r="AA649" s="11">
        <f t="shared" si="189"/>
        <v>1.5212311662880291</v>
      </c>
      <c r="AB649" s="11">
        <f t="shared" si="190"/>
        <v>18254.773995456351</v>
      </c>
    </row>
    <row r="650" spans="1:28" ht="17.25" customHeight="1" x14ac:dyDescent="0.2">
      <c r="A650" t="s">
        <v>9</v>
      </c>
      <c r="B650" s="20">
        <v>666</v>
      </c>
      <c r="C650" s="20">
        <v>123</v>
      </c>
      <c r="D650" s="20">
        <v>19</v>
      </c>
      <c r="E650" t="s">
        <v>77</v>
      </c>
      <c r="F650" s="26">
        <v>45178</v>
      </c>
      <c r="G650" t="s">
        <v>79</v>
      </c>
      <c r="H650" s="5">
        <v>11.05</v>
      </c>
      <c r="I650" s="5">
        <v>45.39</v>
      </c>
      <c r="J650" s="5">
        <v>39.18</v>
      </c>
      <c r="K650" s="5">
        <v>5.99</v>
      </c>
      <c r="L650" s="5">
        <v>0.13</v>
      </c>
      <c r="M650" s="3">
        <f t="shared" si="187"/>
        <v>130</v>
      </c>
      <c r="N650" s="5">
        <v>7.23</v>
      </c>
      <c r="O650" s="23">
        <f t="shared" si="191"/>
        <v>7.2300000000000003E-3</v>
      </c>
      <c r="P650" s="23">
        <f t="shared" si="192"/>
        <v>0.13014000000000001</v>
      </c>
      <c r="Q650" s="7">
        <f t="shared" si="193"/>
        <v>1.3014E-4</v>
      </c>
      <c r="R650" s="23">
        <f t="shared" si="194"/>
        <v>0.46850399999999998</v>
      </c>
      <c r="S650" s="5">
        <v>8.61</v>
      </c>
      <c r="T650" s="5">
        <v>1.52</v>
      </c>
      <c r="U650" s="3">
        <f t="shared" si="195"/>
        <v>15200</v>
      </c>
      <c r="V650" s="8">
        <v>-0.86</v>
      </c>
      <c r="W650" s="8">
        <v>-2.4300000000000002</v>
      </c>
      <c r="X650" s="5">
        <f t="shared" si="196"/>
        <v>1.5700000000000003</v>
      </c>
      <c r="Y650" s="23">
        <f t="shared" si="197"/>
        <v>0.29841019108280248</v>
      </c>
      <c r="Z650" s="23">
        <f t="shared" si="188"/>
        <v>4535.8349044585975</v>
      </c>
      <c r="AA650" s="11">
        <f t="shared" si="189"/>
        <v>4.6011896426379666</v>
      </c>
      <c r="AB650" s="11">
        <f t="shared" si="190"/>
        <v>69938.082568097088</v>
      </c>
    </row>
    <row r="651" spans="1:28" ht="17.25" customHeight="1" x14ac:dyDescent="0.2">
      <c r="A651" t="s">
        <v>9</v>
      </c>
      <c r="B651" s="20">
        <v>666</v>
      </c>
      <c r="C651" s="20">
        <v>123</v>
      </c>
      <c r="D651" s="20">
        <v>20</v>
      </c>
      <c r="E651" t="s">
        <v>77</v>
      </c>
      <c r="F651" s="26">
        <v>45178</v>
      </c>
      <c r="G651" t="s">
        <v>79</v>
      </c>
      <c r="H651" s="5">
        <v>11.56</v>
      </c>
      <c r="I651" s="5">
        <v>45.4</v>
      </c>
      <c r="J651" s="5">
        <v>41.91</v>
      </c>
      <c r="K651" s="5">
        <v>7.05</v>
      </c>
      <c r="L651" s="5">
        <v>0.06</v>
      </c>
      <c r="M651" s="3">
        <f t="shared" si="187"/>
        <v>60</v>
      </c>
      <c r="N651" s="5">
        <v>4.16</v>
      </c>
      <c r="O651" s="23">
        <f t="shared" si="191"/>
        <v>4.1600000000000005E-3</v>
      </c>
      <c r="P651" s="23">
        <f t="shared" si="192"/>
        <v>7.4880000000000002E-2</v>
      </c>
      <c r="Q651" s="7">
        <f t="shared" si="193"/>
        <v>7.4880000000000001E-5</v>
      </c>
      <c r="R651" s="23">
        <f t="shared" si="194"/>
        <v>0.26956800000000003</v>
      </c>
      <c r="S651" s="5">
        <v>1.94</v>
      </c>
      <c r="T651" s="5">
        <v>0.35</v>
      </c>
      <c r="U651" s="3">
        <f t="shared" si="195"/>
        <v>3500</v>
      </c>
      <c r="V651" s="8">
        <v>-1.21</v>
      </c>
      <c r="W651" s="8">
        <v>-1.88</v>
      </c>
      <c r="X651" s="5">
        <f t="shared" si="196"/>
        <v>0.66999999999999993</v>
      </c>
      <c r="Y651" s="23">
        <f t="shared" si="197"/>
        <v>0.40234029850746278</v>
      </c>
      <c r="Z651" s="23">
        <f t="shared" si="188"/>
        <v>1408.1910447761197</v>
      </c>
      <c r="AA651" s="11">
        <f t="shared" si="189"/>
        <v>6.2036889812343059</v>
      </c>
      <c r="AB651" s="11">
        <f t="shared" si="190"/>
        <v>21712.911434320071</v>
      </c>
    </row>
    <row r="652" spans="1:28" ht="17.25" customHeight="1" x14ac:dyDescent="0.2">
      <c r="A652" t="s">
        <v>9</v>
      </c>
      <c r="B652" s="20">
        <v>666</v>
      </c>
      <c r="C652" s="20">
        <v>123</v>
      </c>
      <c r="D652" s="20">
        <v>22</v>
      </c>
      <c r="E652" t="s">
        <v>77</v>
      </c>
      <c r="F652" s="26">
        <v>45178</v>
      </c>
      <c r="G652" t="s">
        <v>79</v>
      </c>
      <c r="H652" s="5">
        <v>10.57</v>
      </c>
      <c r="I652" s="5">
        <v>46.75</v>
      </c>
      <c r="J652" s="5">
        <v>43.66</v>
      </c>
      <c r="K652" s="5">
        <v>7.86</v>
      </c>
      <c r="L652" s="5">
        <v>0.05</v>
      </c>
      <c r="M652" s="3">
        <f t="shared" si="187"/>
        <v>50</v>
      </c>
      <c r="N652" s="5">
        <v>3.44</v>
      </c>
      <c r="O652" s="23">
        <f t="shared" si="191"/>
        <v>3.4399999999999999E-3</v>
      </c>
      <c r="P652" s="23">
        <f t="shared" si="192"/>
        <v>6.1919999999999996E-2</v>
      </c>
      <c r="Q652" s="7">
        <f t="shared" si="193"/>
        <v>6.191999999999999E-5</v>
      </c>
      <c r="R652" s="23">
        <f t="shared" si="194"/>
        <v>0.22291199999999997</v>
      </c>
      <c r="S652" s="5">
        <v>7.09</v>
      </c>
      <c r="T652" s="5">
        <v>0.5</v>
      </c>
      <c r="U652" s="3">
        <f t="shared" si="195"/>
        <v>5000</v>
      </c>
      <c r="V652" s="8">
        <v>-0.92</v>
      </c>
      <c r="W652" s="8">
        <v>-1.96</v>
      </c>
      <c r="X652" s="5">
        <f t="shared" si="196"/>
        <v>1.04</v>
      </c>
      <c r="Y652" s="23">
        <f t="shared" si="197"/>
        <v>0.21433846153846151</v>
      </c>
      <c r="Z652" s="23">
        <f t="shared" si="188"/>
        <v>1071.6923076923076</v>
      </c>
      <c r="AA652" s="11">
        <f t="shared" si="189"/>
        <v>3.3048868259866917</v>
      </c>
      <c r="AB652" s="11">
        <f t="shared" si="190"/>
        <v>16524.434129933459</v>
      </c>
    </row>
    <row r="653" spans="1:28" ht="17.25" customHeight="1" x14ac:dyDescent="0.2">
      <c r="A653" t="s">
        <v>10</v>
      </c>
      <c r="B653" s="20">
        <v>1212</v>
      </c>
      <c r="C653" s="20">
        <v>3</v>
      </c>
      <c r="D653" s="20">
        <v>29</v>
      </c>
      <c r="E653" t="s">
        <v>77</v>
      </c>
      <c r="F653" s="26">
        <v>45178</v>
      </c>
      <c r="G653" t="s">
        <v>79</v>
      </c>
      <c r="H653" s="5">
        <v>9.92</v>
      </c>
      <c r="I653" s="5">
        <v>45.78</v>
      </c>
      <c r="J653" s="5">
        <v>44.96</v>
      </c>
      <c r="K653" s="5">
        <v>8.58</v>
      </c>
      <c r="L653" s="5">
        <v>0.01</v>
      </c>
      <c r="M653" s="3">
        <f t="shared" si="187"/>
        <v>10</v>
      </c>
      <c r="N653" s="5">
        <v>1.1599999999999999</v>
      </c>
      <c r="O653" s="23">
        <f t="shared" si="191"/>
        <v>1.16E-3</v>
      </c>
      <c r="P653" s="23">
        <f t="shared" si="192"/>
        <v>2.0879999999999999E-2</v>
      </c>
      <c r="Q653" s="7">
        <f t="shared" si="193"/>
        <v>2.088E-5</v>
      </c>
      <c r="R653" s="23">
        <f t="shared" si="194"/>
        <v>7.5167999999999999E-2</v>
      </c>
      <c r="S653" s="5">
        <v>0.9</v>
      </c>
      <c r="T653" s="5">
        <v>0.17</v>
      </c>
      <c r="U653" s="5">
        <f t="shared" si="195"/>
        <v>1700.0000000000002</v>
      </c>
      <c r="V653" s="8">
        <v>-0.74</v>
      </c>
      <c r="W653" s="8">
        <v>-2.06</v>
      </c>
      <c r="X653" s="5">
        <f t="shared" si="196"/>
        <v>1.32</v>
      </c>
      <c r="Y653" s="23">
        <f t="shared" si="197"/>
        <v>5.6945454545454542E-2</v>
      </c>
      <c r="Z653" s="23">
        <f t="shared" si="188"/>
        <v>96.807272727272732</v>
      </c>
      <c r="AA653" s="11">
        <f t="shared" si="189"/>
        <v>0.87804251825016411</v>
      </c>
      <c r="AB653" s="11">
        <f t="shared" si="190"/>
        <v>1492.6722810252793</v>
      </c>
    </row>
    <row r="654" spans="1:28" ht="17.25" customHeight="1" x14ac:dyDescent="0.2">
      <c r="A654" t="s">
        <v>10</v>
      </c>
      <c r="B654" s="20">
        <v>1212</v>
      </c>
      <c r="C654" s="20">
        <v>3</v>
      </c>
      <c r="D654" s="20">
        <v>30</v>
      </c>
      <c r="E654" t="s">
        <v>77</v>
      </c>
      <c r="F654" s="26">
        <v>45178</v>
      </c>
      <c r="G654" t="s">
        <v>79</v>
      </c>
      <c r="H654" s="5">
        <v>10.02</v>
      </c>
      <c r="I654" s="5">
        <v>46.85</v>
      </c>
      <c r="J654" s="5">
        <v>43.23</v>
      </c>
      <c r="K654" s="5">
        <v>7.69</v>
      </c>
      <c r="L654" s="5">
        <v>0.06</v>
      </c>
      <c r="M654" s="3">
        <f t="shared" si="187"/>
        <v>60</v>
      </c>
      <c r="N654" s="5">
        <v>4.3</v>
      </c>
      <c r="O654" s="23">
        <f t="shared" si="191"/>
        <v>4.3E-3</v>
      </c>
      <c r="P654" s="23">
        <f t="shared" si="192"/>
        <v>7.7399999999999997E-2</v>
      </c>
      <c r="Q654" s="7">
        <f t="shared" si="193"/>
        <v>7.7399999999999998E-5</v>
      </c>
      <c r="R654" s="23">
        <f t="shared" si="194"/>
        <v>0.27864</v>
      </c>
      <c r="S654" s="5">
        <v>7.13</v>
      </c>
      <c r="T654" s="5">
        <v>1.39</v>
      </c>
      <c r="U654" s="5">
        <f t="shared" si="195"/>
        <v>13899.999999999998</v>
      </c>
      <c r="V654" s="8">
        <v>-0.86</v>
      </c>
      <c r="W654" s="8">
        <v>-2.41</v>
      </c>
      <c r="X654" s="5">
        <f t="shared" si="196"/>
        <v>1.5500000000000003</v>
      </c>
      <c r="Y654" s="23">
        <f t="shared" si="197"/>
        <v>0.17976774193548384</v>
      </c>
      <c r="Z654" s="23">
        <f t="shared" si="188"/>
        <v>2498.7716129032251</v>
      </c>
      <c r="AA654" s="11">
        <f t="shared" si="189"/>
        <v>2.7718405637307733</v>
      </c>
      <c r="AB654" s="11">
        <f t="shared" si="190"/>
        <v>38528.583835857746</v>
      </c>
    </row>
    <row r="655" spans="1:28" ht="17.25" customHeight="1" x14ac:dyDescent="0.2">
      <c r="A655" t="s">
        <v>10</v>
      </c>
      <c r="B655" s="20">
        <v>1212</v>
      </c>
      <c r="C655" s="20">
        <v>3</v>
      </c>
      <c r="D655" s="20">
        <v>31</v>
      </c>
      <c r="E655" t="s">
        <v>77</v>
      </c>
      <c r="F655" s="26">
        <v>45178</v>
      </c>
      <c r="G655" t="s">
        <v>79</v>
      </c>
      <c r="H655" s="5">
        <v>10.59</v>
      </c>
      <c r="I655" s="5">
        <v>46.39</v>
      </c>
      <c r="J655" s="5">
        <v>43.29</v>
      </c>
      <c r="K655" s="5">
        <v>7.69</v>
      </c>
      <c r="L655" s="5">
        <v>0.05</v>
      </c>
      <c r="M655" s="3">
        <f t="shared" si="187"/>
        <v>50</v>
      </c>
      <c r="N655" s="5">
        <v>3.9</v>
      </c>
      <c r="O655" s="23">
        <f t="shared" si="191"/>
        <v>3.8999999999999998E-3</v>
      </c>
      <c r="P655" s="23">
        <f t="shared" si="192"/>
        <v>7.0199999999999999E-2</v>
      </c>
      <c r="Q655" s="7">
        <f t="shared" si="193"/>
        <v>7.0199999999999999E-5</v>
      </c>
      <c r="R655" s="23">
        <f t="shared" si="194"/>
        <v>0.25272</v>
      </c>
      <c r="S655" s="5">
        <v>4.1399999999999997</v>
      </c>
      <c r="T655" s="5">
        <v>0.74</v>
      </c>
      <c r="U655" s="3">
        <f t="shared" si="195"/>
        <v>7400</v>
      </c>
      <c r="V655" s="8">
        <v>-0.52</v>
      </c>
      <c r="W655" s="8">
        <v>-2.13</v>
      </c>
      <c r="X655" s="5">
        <f t="shared" si="196"/>
        <v>1.6099999999999999</v>
      </c>
      <c r="Y655" s="23">
        <f t="shared" si="197"/>
        <v>0.15696894409937889</v>
      </c>
      <c r="Z655" s="23">
        <f t="shared" si="188"/>
        <v>1161.5701863354038</v>
      </c>
      <c r="AA655" s="11">
        <f t="shared" si="189"/>
        <v>2.4203056778495635</v>
      </c>
      <c r="AB655" s="11">
        <f t="shared" si="190"/>
        <v>17910.26201608677</v>
      </c>
    </row>
    <row r="656" spans="1:28" ht="17.25" customHeight="1" x14ac:dyDescent="0.2">
      <c r="A656" t="s">
        <v>10</v>
      </c>
      <c r="B656" s="20">
        <v>1212</v>
      </c>
      <c r="C656" s="20">
        <v>4</v>
      </c>
      <c r="D656" s="20">
        <v>32</v>
      </c>
      <c r="E656" t="s">
        <v>77</v>
      </c>
      <c r="F656" s="26">
        <v>45178</v>
      </c>
      <c r="G656" t="s">
        <v>79</v>
      </c>
      <c r="H656" s="5">
        <v>9.48</v>
      </c>
      <c r="I656" s="5">
        <v>46.79</v>
      </c>
      <c r="J656" s="5">
        <v>46.05</v>
      </c>
      <c r="K656" s="5">
        <v>9.1199999999999992</v>
      </c>
      <c r="L656" s="5">
        <v>0.01</v>
      </c>
      <c r="M656" s="3">
        <f t="shared" si="187"/>
        <v>10</v>
      </c>
      <c r="N656" s="5">
        <v>0.6</v>
      </c>
      <c r="O656" s="23">
        <f t="shared" si="191"/>
        <v>5.9999999999999995E-4</v>
      </c>
      <c r="P656" s="23">
        <f t="shared" si="192"/>
        <v>1.0799999999999999E-2</v>
      </c>
      <c r="Q656" s="7">
        <f t="shared" si="193"/>
        <v>1.0799999999999998E-5</v>
      </c>
      <c r="R656" s="23">
        <f t="shared" si="194"/>
        <v>3.8879999999999991E-2</v>
      </c>
      <c r="S656" s="5">
        <v>7.33</v>
      </c>
      <c r="T656" s="5">
        <v>1.02</v>
      </c>
      <c r="U656" s="3">
        <f t="shared" si="195"/>
        <v>10200</v>
      </c>
      <c r="V656" s="8">
        <v>-0.86</v>
      </c>
      <c r="W656" s="8">
        <v>-2.06</v>
      </c>
      <c r="X656" s="5">
        <f t="shared" si="196"/>
        <v>1.2000000000000002</v>
      </c>
      <c r="Y656" s="23">
        <f t="shared" si="197"/>
        <v>3.2399999999999984E-2</v>
      </c>
      <c r="Z656" s="23">
        <f t="shared" si="188"/>
        <v>330.47999999999985</v>
      </c>
      <c r="AA656" s="11">
        <f t="shared" si="189"/>
        <v>0.49957591555612768</v>
      </c>
      <c r="AB656" s="11">
        <f t="shared" si="190"/>
        <v>5095.674338672502</v>
      </c>
    </row>
    <row r="657" spans="1:28" ht="17.25" customHeight="1" x14ac:dyDescent="0.2">
      <c r="A657" t="s">
        <v>10</v>
      </c>
      <c r="B657" s="20">
        <v>1212</v>
      </c>
      <c r="C657" s="20">
        <v>4</v>
      </c>
      <c r="D657" s="20">
        <v>33</v>
      </c>
      <c r="E657" t="s">
        <v>77</v>
      </c>
      <c r="F657" s="26">
        <v>45178</v>
      </c>
      <c r="G657" t="s">
        <v>79</v>
      </c>
      <c r="H657" s="5">
        <v>10.3</v>
      </c>
      <c r="I657" s="5">
        <v>46.08</v>
      </c>
      <c r="J657" s="5">
        <v>45.5</v>
      </c>
      <c r="K657" s="5">
        <v>8.7899999999999991</v>
      </c>
      <c r="L657" s="5">
        <v>0.02</v>
      </c>
      <c r="M657" s="3">
        <f t="shared" si="187"/>
        <v>20</v>
      </c>
      <c r="N657" s="5">
        <v>1.57</v>
      </c>
      <c r="O657" s="23">
        <f t="shared" si="191"/>
        <v>1.57E-3</v>
      </c>
      <c r="P657" s="23">
        <f t="shared" si="192"/>
        <v>2.826E-2</v>
      </c>
      <c r="Q657" s="7">
        <f t="shared" si="193"/>
        <v>2.826E-5</v>
      </c>
      <c r="R657" s="23">
        <f t="shared" si="194"/>
        <v>0.10173600000000001</v>
      </c>
      <c r="S657" s="5">
        <v>19.41</v>
      </c>
      <c r="T657" s="5">
        <v>3.48</v>
      </c>
      <c r="U657" s="3">
        <f t="shared" si="195"/>
        <v>34800</v>
      </c>
      <c r="V657" s="8">
        <v>-0.52</v>
      </c>
      <c r="W657" s="8">
        <v>-1.95</v>
      </c>
      <c r="X657" s="5">
        <f t="shared" si="196"/>
        <v>1.43</v>
      </c>
      <c r="Y657" s="23">
        <f t="shared" si="197"/>
        <v>7.1144055944055956E-2</v>
      </c>
      <c r="Z657" s="23">
        <f t="shared" si="188"/>
        <v>2475.8131468531474</v>
      </c>
      <c r="AA657" s="11">
        <f t="shared" si="189"/>
        <v>1.0969708915008682</v>
      </c>
      <c r="AB657" s="11">
        <f t="shared" si="190"/>
        <v>38174.587024230212</v>
      </c>
    </row>
    <row r="658" spans="1:28" ht="17.25" customHeight="1" x14ac:dyDescent="0.2">
      <c r="A658" t="s">
        <v>10</v>
      </c>
      <c r="B658" s="20">
        <v>1212</v>
      </c>
      <c r="C658" s="20">
        <v>4</v>
      </c>
      <c r="D658" s="20">
        <v>34</v>
      </c>
      <c r="E658" t="s">
        <v>77</v>
      </c>
      <c r="F658" s="26">
        <v>45178</v>
      </c>
      <c r="G658" t="s">
        <v>79</v>
      </c>
      <c r="H658" s="5">
        <v>10.14</v>
      </c>
      <c r="I658" s="5">
        <v>46.82</v>
      </c>
      <c r="J658" s="5">
        <v>43.77</v>
      </c>
      <c r="K658" s="5">
        <v>7.93</v>
      </c>
      <c r="L658" s="5">
        <v>0.04</v>
      </c>
      <c r="M658" s="3">
        <f t="shared" si="187"/>
        <v>40</v>
      </c>
      <c r="N658" s="5">
        <v>3.25</v>
      </c>
      <c r="O658" s="23">
        <f t="shared" si="191"/>
        <v>3.2499999999999999E-3</v>
      </c>
      <c r="P658" s="23">
        <f t="shared" si="192"/>
        <v>5.8499999999999996E-2</v>
      </c>
      <c r="Q658" s="7">
        <f t="shared" si="193"/>
        <v>5.8499999999999999E-5</v>
      </c>
      <c r="R658" s="23">
        <f t="shared" si="194"/>
        <v>0.21060000000000001</v>
      </c>
      <c r="S658" s="5">
        <v>6.58</v>
      </c>
      <c r="T658" s="5">
        <v>1.1499999999999999</v>
      </c>
      <c r="U658" s="3">
        <f t="shared" si="195"/>
        <v>11500</v>
      </c>
      <c r="V658" s="8">
        <v>-0.38</v>
      </c>
      <c r="W658" s="8">
        <v>-1.82</v>
      </c>
      <c r="X658" s="5">
        <f t="shared" si="196"/>
        <v>1.44</v>
      </c>
      <c r="Y658" s="23">
        <f t="shared" si="197"/>
        <v>0.14625000000000002</v>
      </c>
      <c r="Z658" s="23">
        <f t="shared" si="188"/>
        <v>1681.8750000000002</v>
      </c>
      <c r="AA658" s="11">
        <f t="shared" si="189"/>
        <v>2.2550301743853001</v>
      </c>
      <c r="AB658" s="11">
        <f t="shared" si="190"/>
        <v>25932.847005430951</v>
      </c>
    </row>
    <row r="659" spans="1:28" ht="17.25" customHeight="1" x14ac:dyDescent="0.2">
      <c r="A659" t="s">
        <v>10</v>
      </c>
      <c r="B659" s="20">
        <v>1212</v>
      </c>
      <c r="C659" s="20">
        <v>7</v>
      </c>
      <c r="D659" s="20">
        <v>36</v>
      </c>
      <c r="E659" t="s">
        <v>77</v>
      </c>
      <c r="F659" s="26">
        <v>45178</v>
      </c>
      <c r="G659" t="s">
        <v>79</v>
      </c>
      <c r="H659" s="5">
        <v>10.08</v>
      </c>
      <c r="I659" s="5">
        <v>46.89</v>
      </c>
      <c r="J659" s="5">
        <v>45.43</v>
      </c>
      <c r="K659" s="5">
        <v>8.74</v>
      </c>
      <c r="L659" s="5">
        <v>0.03</v>
      </c>
      <c r="M659" s="3">
        <f t="shared" si="187"/>
        <v>30</v>
      </c>
      <c r="N659" s="5">
        <v>2.67</v>
      </c>
      <c r="O659" s="23">
        <f t="shared" si="191"/>
        <v>2.6700000000000001E-3</v>
      </c>
      <c r="P659" s="23">
        <f t="shared" si="192"/>
        <v>4.8059999999999999E-2</v>
      </c>
      <c r="Q659" s="7">
        <f t="shared" si="193"/>
        <v>4.8059999999999997E-5</v>
      </c>
      <c r="R659" s="23">
        <f t="shared" si="194"/>
        <v>0.173016</v>
      </c>
      <c r="S659" s="5">
        <v>8.77</v>
      </c>
      <c r="T659" s="5">
        <v>0.91</v>
      </c>
      <c r="U659" s="3">
        <f t="shared" si="195"/>
        <v>9100</v>
      </c>
      <c r="V659" s="8">
        <v>-0.41</v>
      </c>
      <c r="W659" s="8">
        <v>-2.19</v>
      </c>
      <c r="X659" s="5">
        <f t="shared" si="196"/>
        <v>1.78</v>
      </c>
      <c r="Y659" s="23">
        <f t="shared" si="197"/>
        <v>9.7199999999999995E-2</v>
      </c>
      <c r="Z659" s="23">
        <f t="shared" si="188"/>
        <v>884.52</v>
      </c>
      <c r="AA659" s="11">
        <f t="shared" si="189"/>
        <v>1.4987277466683835</v>
      </c>
      <c r="AB659" s="11">
        <f t="shared" si="190"/>
        <v>13638.422494682291</v>
      </c>
    </row>
    <row r="660" spans="1:28" ht="17.25" customHeight="1" x14ac:dyDescent="0.2">
      <c r="A660" t="s">
        <v>10</v>
      </c>
      <c r="B660" s="20">
        <v>1212</v>
      </c>
      <c r="C660" s="20">
        <v>7</v>
      </c>
      <c r="D660" s="20">
        <v>37</v>
      </c>
      <c r="E660" t="s">
        <v>77</v>
      </c>
      <c r="F660" s="26">
        <v>45178</v>
      </c>
      <c r="G660" t="s">
        <v>79</v>
      </c>
      <c r="H660" s="5">
        <v>11.1</v>
      </c>
      <c r="I660" s="5">
        <v>46.77</v>
      </c>
      <c r="J660" s="5">
        <v>41.76</v>
      </c>
      <c r="K660" s="5">
        <v>6.93</v>
      </c>
      <c r="L660" s="5">
        <v>0.11</v>
      </c>
      <c r="M660" s="3">
        <f t="shared" si="187"/>
        <v>110</v>
      </c>
      <c r="N660" s="5">
        <v>7.01</v>
      </c>
      <c r="O660" s="23">
        <f t="shared" si="191"/>
        <v>7.0099999999999997E-3</v>
      </c>
      <c r="P660" s="23">
        <f t="shared" si="192"/>
        <v>0.12617999999999999</v>
      </c>
      <c r="Q660" s="7">
        <f t="shared" si="193"/>
        <v>1.2617999999999999E-4</v>
      </c>
      <c r="R660" s="23">
        <f t="shared" si="194"/>
        <v>0.45424799999999993</v>
      </c>
      <c r="S660" s="5">
        <v>4.8499999999999996</v>
      </c>
      <c r="T660" s="5">
        <v>0.94</v>
      </c>
      <c r="U660" s="3">
        <f t="shared" si="195"/>
        <v>9400</v>
      </c>
      <c r="V660" s="8">
        <v>-0.71</v>
      </c>
      <c r="W660" s="8">
        <v>-2.1</v>
      </c>
      <c r="X660" s="5">
        <f t="shared" si="196"/>
        <v>1.3900000000000001</v>
      </c>
      <c r="Y660" s="23">
        <f t="shared" si="197"/>
        <v>0.32679712230215818</v>
      </c>
      <c r="Z660" s="23">
        <f t="shared" si="188"/>
        <v>3071.892949640287</v>
      </c>
      <c r="AA660" s="11">
        <f t="shared" si="189"/>
        <v>5.0388880115805126</v>
      </c>
      <c r="AB660" s="11">
        <f t="shared" si="190"/>
        <v>47365.547308856818</v>
      </c>
    </row>
    <row r="661" spans="1:28" ht="17.25" customHeight="1" x14ac:dyDescent="0.2">
      <c r="A661" t="s">
        <v>10</v>
      </c>
      <c r="B661" s="20">
        <v>1212</v>
      </c>
      <c r="C661" s="20">
        <v>7</v>
      </c>
      <c r="D661" s="20">
        <v>83</v>
      </c>
      <c r="E661" t="s">
        <v>77</v>
      </c>
      <c r="F661" s="26">
        <v>45178</v>
      </c>
      <c r="G661" t="s">
        <v>79</v>
      </c>
      <c r="H661" s="5">
        <v>10.15</v>
      </c>
      <c r="I661" s="5">
        <v>45.61</v>
      </c>
      <c r="J661" s="5">
        <v>44.5</v>
      </c>
      <c r="K661" s="5">
        <v>8.34</v>
      </c>
      <c r="L661" s="5">
        <v>0.04</v>
      </c>
      <c r="M661" s="3">
        <f t="shared" si="187"/>
        <v>40</v>
      </c>
      <c r="N661" s="5">
        <v>2.94</v>
      </c>
      <c r="O661" s="23">
        <f t="shared" si="191"/>
        <v>2.9399999999999999E-3</v>
      </c>
      <c r="P661" s="23">
        <f t="shared" si="192"/>
        <v>5.2919999999999995E-2</v>
      </c>
      <c r="Q661" s="7">
        <f t="shared" si="193"/>
        <v>5.2919999999999995E-5</v>
      </c>
      <c r="R661" s="23">
        <f t="shared" si="194"/>
        <v>0.19051199999999999</v>
      </c>
      <c r="S661" s="5">
        <v>11.85</v>
      </c>
      <c r="T661" s="5">
        <v>1.4</v>
      </c>
      <c r="U661" s="3">
        <f t="shared" si="195"/>
        <v>14000</v>
      </c>
      <c r="V661" s="8">
        <v>-1.08</v>
      </c>
      <c r="W661" s="8">
        <v>-2.33</v>
      </c>
      <c r="X661" s="5">
        <f t="shared" si="196"/>
        <v>1.25</v>
      </c>
      <c r="Y661" s="23">
        <f t="shared" si="197"/>
        <v>0.15240959999999998</v>
      </c>
      <c r="Z661" s="23">
        <f t="shared" si="188"/>
        <v>2133.7343999999998</v>
      </c>
      <c r="AA661" s="11">
        <f t="shared" si="189"/>
        <v>2.3500051067760253</v>
      </c>
      <c r="AB661" s="11">
        <f t="shared" si="190"/>
        <v>32900.071494864351</v>
      </c>
    </row>
    <row r="662" spans="1:28" ht="17.25" customHeight="1" x14ac:dyDescent="0.2">
      <c r="A662" t="s">
        <v>10</v>
      </c>
      <c r="B662" s="20">
        <v>1212</v>
      </c>
      <c r="C662" s="20">
        <v>8</v>
      </c>
      <c r="D662" s="20">
        <v>38</v>
      </c>
      <c r="E662" t="s">
        <v>77</v>
      </c>
      <c r="F662" s="26">
        <v>45178</v>
      </c>
      <c r="G662" t="s">
        <v>79</v>
      </c>
      <c r="H662" s="5">
        <v>9.6999999999999993</v>
      </c>
      <c r="I662" s="5">
        <v>46.53</v>
      </c>
      <c r="J662" s="5">
        <v>42.67</v>
      </c>
      <c r="K662" s="5">
        <v>7.49</v>
      </c>
      <c r="L662" s="5">
        <v>0.1</v>
      </c>
      <c r="M662" s="3">
        <f t="shared" si="187"/>
        <v>100</v>
      </c>
      <c r="N662" s="5">
        <v>7.25</v>
      </c>
      <c r="O662" s="23">
        <f t="shared" si="191"/>
        <v>7.2500000000000004E-3</v>
      </c>
      <c r="P662" s="23">
        <f t="shared" si="192"/>
        <v>0.1305</v>
      </c>
      <c r="Q662" s="7">
        <f t="shared" si="193"/>
        <v>1.305E-4</v>
      </c>
      <c r="R662" s="23">
        <f t="shared" si="194"/>
        <v>0.4698</v>
      </c>
      <c r="S662" s="5">
        <v>26.5</v>
      </c>
      <c r="T662" s="5">
        <v>3.13</v>
      </c>
      <c r="U662" s="3">
        <f t="shared" si="195"/>
        <v>31300</v>
      </c>
      <c r="V662" s="8">
        <v>-1.28</v>
      </c>
      <c r="W662" s="8">
        <v>-2.13</v>
      </c>
      <c r="X662" s="5">
        <f t="shared" si="196"/>
        <v>0.84999999999999987</v>
      </c>
      <c r="Y662" s="23">
        <f t="shared" si="197"/>
        <v>0.55270588235294127</v>
      </c>
      <c r="Z662" s="23">
        <f t="shared" si="188"/>
        <v>17299.694117647061</v>
      </c>
      <c r="AA662" s="11">
        <f t="shared" si="189"/>
        <v>8.5221773830162988</v>
      </c>
      <c r="AB662" s="11">
        <f t="shared" si="190"/>
        <v>266744.15208841016</v>
      </c>
    </row>
    <row r="663" spans="1:28" ht="17.25" customHeight="1" x14ac:dyDescent="0.2">
      <c r="A663" t="s">
        <v>10</v>
      </c>
      <c r="B663" s="20">
        <v>1212</v>
      </c>
      <c r="C663" s="20">
        <v>8</v>
      </c>
      <c r="D663" s="20">
        <v>39</v>
      </c>
      <c r="E663" t="s">
        <v>77</v>
      </c>
      <c r="F663" s="26">
        <v>45178</v>
      </c>
      <c r="G663" t="s">
        <v>79</v>
      </c>
      <c r="H663" s="5">
        <v>11.71</v>
      </c>
      <c r="I663" s="5">
        <v>44.78</v>
      </c>
      <c r="J663" s="5">
        <v>42.28</v>
      </c>
      <c r="K663" s="5">
        <v>7.26</v>
      </c>
      <c r="L663" s="5">
        <v>0.09</v>
      </c>
      <c r="M663" s="3">
        <f t="shared" si="187"/>
        <v>90</v>
      </c>
      <c r="N663" s="5">
        <v>5.59</v>
      </c>
      <c r="O663" s="23">
        <f t="shared" si="191"/>
        <v>5.5899999999999995E-3</v>
      </c>
      <c r="P663" s="23">
        <f t="shared" si="192"/>
        <v>0.10061999999999999</v>
      </c>
      <c r="Q663" s="7">
        <f t="shared" si="193"/>
        <v>1.0061999999999998E-4</v>
      </c>
      <c r="R663" s="23">
        <f t="shared" si="194"/>
        <v>0.36223199999999994</v>
      </c>
      <c r="S663" s="5">
        <v>11.76</v>
      </c>
      <c r="T663" s="5">
        <v>2.09</v>
      </c>
      <c r="U663" s="3">
        <f t="shared" si="195"/>
        <v>20900</v>
      </c>
      <c r="V663" s="8">
        <v>-0.6</v>
      </c>
      <c r="W663" s="8">
        <v>-1.94</v>
      </c>
      <c r="X663" s="5">
        <f t="shared" si="196"/>
        <v>1.3399999999999999</v>
      </c>
      <c r="Y663" s="23">
        <f t="shared" si="197"/>
        <v>0.27032238805970149</v>
      </c>
      <c r="Z663" s="23">
        <f t="shared" si="188"/>
        <v>5649.7379104477614</v>
      </c>
      <c r="AA663" s="11">
        <f t="shared" si="189"/>
        <v>4.1681035342667982</v>
      </c>
      <c r="AB663" s="11">
        <f t="shared" si="190"/>
        <v>87113.363866176078</v>
      </c>
    </row>
    <row r="664" spans="1:28" ht="17.25" customHeight="1" x14ac:dyDescent="0.2">
      <c r="A664" t="s">
        <v>10</v>
      </c>
      <c r="B664" s="20">
        <v>1212</v>
      </c>
      <c r="C664" s="20">
        <v>8</v>
      </c>
      <c r="D664" s="20">
        <v>40</v>
      </c>
      <c r="E664" t="s">
        <v>77</v>
      </c>
      <c r="F664" s="26">
        <v>45178</v>
      </c>
      <c r="G664" t="s">
        <v>79</v>
      </c>
      <c r="H664" s="5">
        <v>10.94</v>
      </c>
      <c r="I664" s="5">
        <v>46.41</v>
      </c>
      <c r="J664" s="5">
        <v>45.06</v>
      </c>
      <c r="K664" s="5">
        <v>8.49</v>
      </c>
      <c r="L664" s="5">
        <v>0.02</v>
      </c>
      <c r="M664" s="3">
        <f t="shared" si="187"/>
        <v>20</v>
      </c>
      <c r="N664" s="5">
        <v>1.43</v>
      </c>
      <c r="O664" s="23">
        <f t="shared" si="191"/>
        <v>1.4299999999999998E-3</v>
      </c>
      <c r="P664" s="23">
        <f t="shared" si="192"/>
        <v>2.5739999999999999E-2</v>
      </c>
      <c r="Q664" s="7">
        <f t="shared" si="193"/>
        <v>2.5739999999999998E-5</v>
      </c>
      <c r="R664" s="23">
        <f t="shared" si="194"/>
        <v>9.2663999999999996E-2</v>
      </c>
      <c r="S664" s="5">
        <v>3.51</v>
      </c>
      <c r="T664" s="5">
        <v>0.74</v>
      </c>
      <c r="U664" s="3">
        <f t="shared" si="195"/>
        <v>7400</v>
      </c>
      <c r="V664" s="8">
        <v>-0.39</v>
      </c>
      <c r="W664" s="8">
        <v>-1.94</v>
      </c>
      <c r="X664" s="5">
        <f t="shared" si="196"/>
        <v>1.5499999999999998</v>
      </c>
      <c r="Y664" s="23">
        <f t="shared" si="197"/>
        <v>5.9783225806451616E-2</v>
      </c>
      <c r="Z664" s="23">
        <f t="shared" si="188"/>
        <v>442.39587096774198</v>
      </c>
      <c r="AA664" s="11">
        <f t="shared" si="189"/>
        <v>0.9217981409616296</v>
      </c>
      <c r="AB664" s="11">
        <f t="shared" si="190"/>
        <v>6821.3062431160588</v>
      </c>
    </row>
    <row r="665" spans="1:28" ht="17.25" customHeight="1" x14ac:dyDescent="0.2">
      <c r="A665" t="s">
        <v>10</v>
      </c>
      <c r="B665" s="20">
        <v>1212</v>
      </c>
      <c r="C665" s="20">
        <v>10</v>
      </c>
      <c r="D665" s="20">
        <v>21</v>
      </c>
      <c r="E665" t="s">
        <v>77</v>
      </c>
      <c r="F665" s="26">
        <v>45178</v>
      </c>
      <c r="G665" t="s">
        <v>79</v>
      </c>
      <c r="H665" s="5">
        <v>10.79</v>
      </c>
      <c r="I665" s="5">
        <v>46.75</v>
      </c>
      <c r="J665" s="5">
        <v>41.81</v>
      </c>
      <c r="K665" s="5">
        <v>6.99</v>
      </c>
      <c r="L665" s="5">
        <v>0.06</v>
      </c>
      <c r="M665" s="3">
        <f t="shared" si="187"/>
        <v>60</v>
      </c>
      <c r="N665" s="5">
        <v>4.2300000000000004</v>
      </c>
      <c r="O665" s="23">
        <f t="shared" si="191"/>
        <v>4.2300000000000003E-3</v>
      </c>
      <c r="P665" s="23">
        <f t="shared" si="192"/>
        <v>7.6139999999999999E-2</v>
      </c>
      <c r="Q665" s="7">
        <f t="shared" si="193"/>
        <v>7.6139999999999999E-5</v>
      </c>
      <c r="R665" s="23">
        <f t="shared" si="194"/>
        <v>0.27410400000000001</v>
      </c>
      <c r="S665" s="5">
        <v>7.09</v>
      </c>
      <c r="T665" s="5">
        <v>1.0900000000000001</v>
      </c>
      <c r="U665" s="3">
        <f t="shared" si="195"/>
        <v>10900</v>
      </c>
      <c r="V665" s="8">
        <v>-0.59</v>
      </c>
      <c r="W665" s="8">
        <v>-2.3199999999999998</v>
      </c>
      <c r="X665" s="5">
        <f t="shared" si="196"/>
        <v>1.73</v>
      </c>
      <c r="Y665" s="23">
        <f t="shared" si="197"/>
        <v>0.15844161849710983</v>
      </c>
      <c r="Z665" s="23">
        <f t="shared" si="188"/>
        <v>1727.0136416184971</v>
      </c>
      <c r="AA665" s="11">
        <f t="shared" si="189"/>
        <v>2.4430128587311226</v>
      </c>
      <c r="AB665" s="11">
        <f t="shared" si="190"/>
        <v>26628.840160169235</v>
      </c>
    </row>
    <row r="666" spans="1:28" ht="17.25" customHeight="1" x14ac:dyDescent="0.2">
      <c r="A666" t="s">
        <v>10</v>
      </c>
      <c r="B666" s="20">
        <v>1212</v>
      </c>
      <c r="C666" s="20">
        <v>10</v>
      </c>
      <c r="D666" s="20">
        <v>41</v>
      </c>
      <c r="E666" t="s">
        <v>77</v>
      </c>
      <c r="F666" s="26">
        <v>45178</v>
      </c>
      <c r="G666" t="s">
        <v>79</v>
      </c>
      <c r="H666" s="5">
        <v>10.62</v>
      </c>
      <c r="I666" s="5">
        <v>45.6</v>
      </c>
      <c r="J666" s="5">
        <v>44.86</v>
      </c>
      <c r="K666" s="5">
        <v>8.48</v>
      </c>
      <c r="L666" s="5">
        <v>0.04</v>
      </c>
      <c r="M666" s="3">
        <f t="shared" si="187"/>
        <v>40</v>
      </c>
      <c r="N666" s="5">
        <v>3.1</v>
      </c>
      <c r="O666" s="23">
        <f t="shared" si="191"/>
        <v>3.0999999999999999E-3</v>
      </c>
      <c r="P666" s="23">
        <f t="shared" si="192"/>
        <v>5.5799999999999995E-2</v>
      </c>
      <c r="Q666" s="7">
        <f t="shared" si="193"/>
        <v>5.5799999999999994E-5</v>
      </c>
      <c r="R666" s="23">
        <f t="shared" si="194"/>
        <v>0.20087999999999998</v>
      </c>
      <c r="S666" s="5">
        <v>19.809999999999999</v>
      </c>
      <c r="T666" s="5">
        <v>2.92</v>
      </c>
      <c r="U666" s="3">
        <f t="shared" si="195"/>
        <v>29200</v>
      </c>
      <c r="V666" s="8">
        <v>-0.42</v>
      </c>
      <c r="W666" s="8">
        <v>-2.31</v>
      </c>
      <c r="X666" s="5">
        <f t="shared" si="196"/>
        <v>1.8900000000000001</v>
      </c>
      <c r="Y666" s="23">
        <f t="shared" si="197"/>
        <v>0.10628571428571426</v>
      </c>
      <c r="Z666" s="23">
        <f t="shared" si="188"/>
        <v>3103.5428571428565</v>
      </c>
      <c r="AA666" s="11">
        <f t="shared" si="189"/>
        <v>1.6388204637290964</v>
      </c>
      <c r="AB666" s="11">
        <f t="shared" si="190"/>
        <v>47853.557540889618</v>
      </c>
    </row>
    <row r="667" spans="1:28" ht="17.25" customHeight="1" x14ac:dyDescent="0.2">
      <c r="A667" t="s">
        <v>10</v>
      </c>
      <c r="B667" s="20">
        <v>1212</v>
      </c>
      <c r="C667" s="20">
        <v>10</v>
      </c>
      <c r="D667" s="20">
        <v>42</v>
      </c>
      <c r="E667" t="s">
        <v>77</v>
      </c>
      <c r="F667" s="26">
        <v>45178</v>
      </c>
      <c r="G667" t="s">
        <v>79</v>
      </c>
      <c r="H667" s="5">
        <v>9.9</v>
      </c>
      <c r="I667" s="5">
        <v>46.14</v>
      </c>
      <c r="J667" s="5">
        <v>42.33</v>
      </c>
      <c r="K667" s="5">
        <v>7.34</v>
      </c>
      <c r="L667" s="5">
        <v>0.08</v>
      </c>
      <c r="M667" s="3">
        <f t="shared" si="187"/>
        <v>80</v>
      </c>
      <c r="N667" s="5">
        <v>5.86</v>
      </c>
      <c r="O667" s="23">
        <f t="shared" si="191"/>
        <v>5.8600000000000006E-3</v>
      </c>
      <c r="P667" s="23">
        <f t="shared" si="192"/>
        <v>0.10548000000000002</v>
      </c>
      <c r="Q667" s="7">
        <f t="shared" si="193"/>
        <v>1.0548000000000001E-4</v>
      </c>
      <c r="R667" s="23">
        <f t="shared" si="194"/>
        <v>0.37972800000000007</v>
      </c>
      <c r="S667" s="5">
        <v>2.74</v>
      </c>
      <c r="T667" s="5">
        <v>0.32</v>
      </c>
      <c r="U667" s="3">
        <f t="shared" si="195"/>
        <v>3200</v>
      </c>
      <c r="V667" s="8">
        <v>-0.3</v>
      </c>
      <c r="W667" s="8">
        <v>-1.82</v>
      </c>
      <c r="X667" s="5">
        <f t="shared" si="196"/>
        <v>1.52</v>
      </c>
      <c r="Y667" s="23">
        <f t="shared" si="197"/>
        <v>0.249821052631579</v>
      </c>
      <c r="Z667" s="23">
        <f t="shared" si="188"/>
        <v>799.42736842105285</v>
      </c>
      <c r="AA667" s="11">
        <f t="shared" si="189"/>
        <v>3.8519932436301447</v>
      </c>
      <c r="AB667" s="11">
        <f t="shared" si="190"/>
        <v>12326.378379616463</v>
      </c>
    </row>
    <row r="668" spans="1:28" ht="17.25" customHeight="1" x14ac:dyDescent="0.2">
      <c r="F668" s="26"/>
      <c r="M668" s="3">
        <f t="shared" si="187"/>
        <v>0</v>
      </c>
      <c r="O668" s="23"/>
      <c r="P668" s="23"/>
      <c r="Q668" s="7"/>
      <c r="R668" s="23"/>
      <c r="W668" s="8"/>
      <c r="Y668" s="23"/>
      <c r="Z668" s="23">
        <f t="shared" si="188"/>
        <v>0</v>
      </c>
      <c r="AA668" s="20">
        <f t="shared" si="189"/>
        <v>0</v>
      </c>
      <c r="AB668" s="20">
        <f t="shared" si="190"/>
        <v>0</v>
      </c>
    </row>
    <row r="669" spans="1:28" ht="17.25" customHeight="1" x14ac:dyDescent="0.2">
      <c r="A669" t="s">
        <v>7</v>
      </c>
      <c r="B669" s="20">
        <v>72</v>
      </c>
      <c r="C669" s="20">
        <v>156</v>
      </c>
      <c r="D669" s="20">
        <v>43</v>
      </c>
      <c r="E669" t="s">
        <v>75</v>
      </c>
      <c r="F669" s="26">
        <v>45190</v>
      </c>
      <c r="G669" t="s">
        <v>79</v>
      </c>
      <c r="H669" s="5">
        <v>20.91</v>
      </c>
      <c r="I669" s="5">
        <v>30.24</v>
      </c>
      <c r="J669" s="5">
        <v>29.3</v>
      </c>
      <c r="K669" s="5">
        <v>3.18</v>
      </c>
      <c r="L669" s="5">
        <v>0.16</v>
      </c>
      <c r="M669" s="3">
        <f t="shared" si="187"/>
        <v>160</v>
      </c>
      <c r="N669" s="5">
        <v>4.8099999999999996</v>
      </c>
      <c r="O669" s="23">
        <f t="shared" ref="O669:O700" si="198">N669/1000</f>
        <v>4.81E-3</v>
      </c>
      <c r="P669" s="23">
        <f t="shared" ref="P669:P700" si="199">O669*18</f>
        <v>8.6580000000000004E-2</v>
      </c>
      <c r="Q669" s="7">
        <f t="shared" ref="Q669:Q700" si="200">P669/1000</f>
        <v>8.6580000000000001E-5</v>
      </c>
      <c r="R669" s="23">
        <f t="shared" ref="R669:R700" si="201">Q669*3600</f>
        <v>0.31168800000000002</v>
      </c>
      <c r="S669" s="5">
        <v>17.37</v>
      </c>
      <c r="T669" s="5">
        <v>2.1</v>
      </c>
      <c r="U669" s="3">
        <f t="shared" ref="U669:U700" si="202">T669*10000</f>
        <v>21000</v>
      </c>
      <c r="V669" s="8">
        <v>-0.52</v>
      </c>
      <c r="W669" s="8">
        <v>-1.85</v>
      </c>
      <c r="X669" s="5">
        <f t="shared" ref="X669:X700" si="203">V669-W669</f>
        <v>1.33</v>
      </c>
      <c r="Y669" s="23">
        <f t="shared" ref="Y669:Y700" si="204">R669/X669</f>
        <v>0.23435187969924812</v>
      </c>
      <c r="Z669" s="23">
        <f t="shared" si="188"/>
        <v>4921.3894736842103</v>
      </c>
      <c r="AA669" s="11">
        <f t="shared" si="189"/>
        <v>3.6134739155262787</v>
      </c>
      <c r="AB669" s="11">
        <f t="shared" si="190"/>
        <v>75882.952226051857</v>
      </c>
    </row>
    <row r="670" spans="1:28" ht="17.25" customHeight="1" x14ac:dyDescent="0.2">
      <c r="A670" t="s">
        <v>7</v>
      </c>
      <c r="B670" s="20">
        <v>72</v>
      </c>
      <c r="C670" s="20">
        <v>156</v>
      </c>
      <c r="D670" s="20">
        <v>44</v>
      </c>
      <c r="E670" t="s">
        <v>75</v>
      </c>
      <c r="F670" s="26">
        <v>45191</v>
      </c>
      <c r="G670" t="s">
        <v>79</v>
      </c>
      <c r="H670" s="5">
        <v>22.34</v>
      </c>
      <c r="I670" s="5">
        <v>31.68</v>
      </c>
      <c r="J670" s="5">
        <v>31.13</v>
      </c>
      <c r="K670" s="5">
        <v>3.49</v>
      </c>
      <c r="L670" s="5">
        <v>0.12</v>
      </c>
      <c r="M670" s="3">
        <f t="shared" si="187"/>
        <v>120</v>
      </c>
      <c r="N670" s="5">
        <v>3.67</v>
      </c>
      <c r="O670" s="23">
        <f t="shared" si="198"/>
        <v>3.6700000000000001E-3</v>
      </c>
      <c r="P670" s="23">
        <f t="shared" si="199"/>
        <v>6.6060000000000008E-2</v>
      </c>
      <c r="Q670" s="7">
        <f t="shared" si="200"/>
        <v>6.6060000000000001E-5</v>
      </c>
      <c r="R670" s="23">
        <f t="shared" si="201"/>
        <v>0.237816</v>
      </c>
      <c r="S670" s="5">
        <v>12.19</v>
      </c>
      <c r="T670" s="5">
        <v>2.64</v>
      </c>
      <c r="U670" s="3">
        <f t="shared" si="202"/>
        <v>26400</v>
      </c>
      <c r="V670" s="8">
        <v>-0.45</v>
      </c>
      <c r="W670" s="8">
        <v>-1.76</v>
      </c>
      <c r="X670" s="5">
        <f t="shared" si="203"/>
        <v>1.31</v>
      </c>
      <c r="Y670" s="23">
        <f t="shared" si="204"/>
        <v>0.18153893129770993</v>
      </c>
      <c r="Z670" s="23">
        <f t="shared" si="188"/>
        <v>4792.6277862595425</v>
      </c>
      <c r="AA670" s="11">
        <f t="shared" si="189"/>
        <v>2.7991505497572362</v>
      </c>
      <c r="AB670" s="11">
        <f t="shared" si="190"/>
        <v>73897.57451359104</v>
      </c>
    </row>
    <row r="671" spans="1:28" ht="17.25" customHeight="1" x14ac:dyDescent="0.2">
      <c r="A671" t="s">
        <v>7</v>
      </c>
      <c r="B671" s="20">
        <v>72</v>
      </c>
      <c r="C671" s="20">
        <v>156</v>
      </c>
      <c r="D671" s="20">
        <v>45</v>
      </c>
      <c r="E671" t="s">
        <v>75</v>
      </c>
      <c r="F671" s="26">
        <v>45190</v>
      </c>
      <c r="G671" t="s">
        <v>79</v>
      </c>
      <c r="H671" s="5">
        <v>17.84</v>
      </c>
      <c r="I671" s="5">
        <v>31.62</v>
      </c>
      <c r="J671" s="5">
        <v>29.84</v>
      </c>
      <c r="K671" s="5">
        <v>3.39</v>
      </c>
      <c r="L671" s="5">
        <v>0.12</v>
      </c>
      <c r="M671" s="3">
        <f t="shared" si="187"/>
        <v>120</v>
      </c>
      <c r="N671" s="5">
        <v>3.63</v>
      </c>
      <c r="O671" s="23">
        <f t="shared" si="198"/>
        <v>3.63E-3</v>
      </c>
      <c r="P671" s="23">
        <f t="shared" si="199"/>
        <v>6.5339999999999995E-2</v>
      </c>
      <c r="Q671" s="7">
        <f t="shared" si="200"/>
        <v>6.5339999999999994E-5</v>
      </c>
      <c r="R671" s="23">
        <f t="shared" si="201"/>
        <v>0.23522399999999999</v>
      </c>
      <c r="S671" s="5">
        <v>9.84</v>
      </c>
      <c r="T671" s="5">
        <v>1.55</v>
      </c>
      <c r="U671" s="3">
        <f t="shared" si="202"/>
        <v>15500</v>
      </c>
      <c r="V671" s="8">
        <v>-0.48</v>
      </c>
      <c r="W671" s="8">
        <v>-2.09</v>
      </c>
      <c r="X671" s="5">
        <f t="shared" si="203"/>
        <v>1.6099999999999999</v>
      </c>
      <c r="Y671" s="23">
        <f t="shared" si="204"/>
        <v>0.14610186335403727</v>
      </c>
      <c r="Z671" s="23">
        <f t="shared" si="188"/>
        <v>2264.5788819875779</v>
      </c>
      <c r="AA671" s="11">
        <f t="shared" si="189"/>
        <v>2.2527460539984401</v>
      </c>
      <c r="AB671" s="11">
        <f t="shared" si="190"/>
        <v>34917.563836975824</v>
      </c>
    </row>
    <row r="672" spans="1:28" ht="17.25" customHeight="1" x14ac:dyDescent="0.2">
      <c r="A672" t="s">
        <v>7</v>
      </c>
      <c r="B672" s="20">
        <v>72</v>
      </c>
      <c r="C672" s="20">
        <v>149</v>
      </c>
      <c r="D672" s="20">
        <v>46</v>
      </c>
      <c r="E672" t="s">
        <v>75</v>
      </c>
      <c r="F672" s="26">
        <v>45190</v>
      </c>
      <c r="G672" t="s">
        <v>79</v>
      </c>
      <c r="H672" s="5">
        <v>18.239999999999998</v>
      </c>
      <c r="I672" s="5">
        <v>30.63</v>
      </c>
      <c r="J672" s="5">
        <v>27.93</v>
      </c>
      <c r="K672" s="5">
        <v>2.98</v>
      </c>
      <c r="L672" s="5">
        <v>0.2</v>
      </c>
      <c r="M672" s="3">
        <f t="shared" si="187"/>
        <v>200</v>
      </c>
      <c r="N672" s="5">
        <v>5.43</v>
      </c>
      <c r="O672" s="23">
        <f t="shared" si="198"/>
        <v>5.4299999999999999E-3</v>
      </c>
      <c r="P672" s="23">
        <f t="shared" si="199"/>
        <v>9.7739999999999994E-2</v>
      </c>
      <c r="Q672" s="7">
        <f t="shared" si="200"/>
        <v>9.7739999999999996E-5</v>
      </c>
      <c r="R672" s="23">
        <f t="shared" si="201"/>
        <v>0.35186400000000001</v>
      </c>
      <c r="S672" s="5">
        <v>11.24</v>
      </c>
      <c r="T672" s="5">
        <v>1.25</v>
      </c>
      <c r="U672" s="3">
        <f t="shared" si="202"/>
        <v>12500</v>
      </c>
      <c r="V672" s="8">
        <v>-0.4</v>
      </c>
      <c r="W672" s="8">
        <v>-1.99</v>
      </c>
      <c r="X672" s="5">
        <f t="shared" si="203"/>
        <v>1.5899999999999999</v>
      </c>
      <c r="Y672" s="23">
        <f t="shared" si="204"/>
        <v>0.22129811320754719</v>
      </c>
      <c r="Z672" s="23">
        <f t="shared" si="188"/>
        <v>2766.2264150943397</v>
      </c>
      <c r="AA672" s="11">
        <f t="shared" si="189"/>
        <v>3.4121977628550626</v>
      </c>
      <c r="AB672" s="11">
        <f t="shared" si="190"/>
        <v>42652.472035688283</v>
      </c>
    </row>
    <row r="673" spans="1:28" ht="17.25" customHeight="1" x14ac:dyDescent="0.2">
      <c r="A673" t="s">
        <v>7</v>
      </c>
      <c r="B673" s="20">
        <v>72</v>
      </c>
      <c r="C673" s="20">
        <v>149</v>
      </c>
      <c r="D673" s="20">
        <v>47</v>
      </c>
      <c r="E673" t="s">
        <v>75</v>
      </c>
      <c r="F673" s="26">
        <v>45191</v>
      </c>
      <c r="G673" t="s">
        <v>79</v>
      </c>
      <c r="H673" s="5">
        <v>36.03</v>
      </c>
      <c r="I673" s="5">
        <v>25.78</v>
      </c>
      <c r="J673" s="5">
        <v>23.16</v>
      </c>
      <c r="K673" s="5">
        <v>1.64</v>
      </c>
      <c r="L673" s="5">
        <v>0.18</v>
      </c>
      <c r="M673" s="3">
        <f t="shared" si="187"/>
        <v>180</v>
      </c>
      <c r="N673" s="5">
        <v>2.82</v>
      </c>
      <c r="O673" s="23">
        <f t="shared" si="198"/>
        <v>2.82E-3</v>
      </c>
      <c r="P673" s="23">
        <f t="shared" si="199"/>
        <v>5.076E-2</v>
      </c>
      <c r="Q673" s="7">
        <f t="shared" si="200"/>
        <v>5.0760000000000002E-5</v>
      </c>
      <c r="R673" s="23">
        <f t="shared" si="201"/>
        <v>0.18273600000000001</v>
      </c>
      <c r="S673" s="5">
        <v>20.43</v>
      </c>
      <c r="T673" s="5">
        <v>2.5299999999999998</v>
      </c>
      <c r="U673" s="5">
        <f t="shared" si="202"/>
        <v>25299.999999999996</v>
      </c>
      <c r="V673" s="8">
        <v>-0.36</v>
      </c>
      <c r="W673" s="8">
        <v>-2.2999999999999998</v>
      </c>
      <c r="X673" s="5">
        <f t="shared" si="203"/>
        <v>1.94</v>
      </c>
      <c r="Y673" s="23">
        <f t="shared" si="204"/>
        <v>9.41938144329897E-2</v>
      </c>
      <c r="Z673" s="23">
        <f t="shared" si="188"/>
        <v>2383.1035051546392</v>
      </c>
      <c r="AA673" s="11">
        <f t="shared" si="189"/>
        <v>1.4523753421322483</v>
      </c>
      <c r="AB673" s="11">
        <f t="shared" si="190"/>
        <v>36745.096155945874</v>
      </c>
    </row>
    <row r="674" spans="1:28" ht="17.25" customHeight="1" x14ac:dyDescent="0.2">
      <c r="A674" t="s">
        <v>7</v>
      </c>
      <c r="B674" s="20">
        <v>72</v>
      </c>
      <c r="C674" s="20">
        <v>149</v>
      </c>
      <c r="D674" s="20">
        <v>48</v>
      </c>
      <c r="E674" t="s">
        <v>75</v>
      </c>
      <c r="F674" s="26">
        <v>45191</v>
      </c>
      <c r="G674" t="s">
        <v>79</v>
      </c>
      <c r="H674" s="5">
        <v>29.93</v>
      </c>
      <c r="I674" s="5">
        <v>29.62</v>
      </c>
      <c r="J674" s="5">
        <v>28.71</v>
      </c>
      <c r="K674" s="5">
        <v>2.72</v>
      </c>
      <c r="L674" s="5">
        <v>0.18</v>
      </c>
      <c r="M674" s="3">
        <f t="shared" si="187"/>
        <v>180</v>
      </c>
      <c r="N674" s="5">
        <v>4.13</v>
      </c>
      <c r="O674" s="23">
        <f t="shared" si="198"/>
        <v>4.13E-3</v>
      </c>
      <c r="P674" s="23">
        <f t="shared" si="199"/>
        <v>7.4340000000000003E-2</v>
      </c>
      <c r="Q674" s="7">
        <f t="shared" si="200"/>
        <v>7.434000000000001E-5</v>
      </c>
      <c r="R674" s="23">
        <f t="shared" si="201"/>
        <v>0.26762400000000003</v>
      </c>
      <c r="S674" s="5">
        <v>21.78</v>
      </c>
      <c r="T674" s="5">
        <v>2.31</v>
      </c>
      <c r="U674" s="3">
        <f t="shared" si="202"/>
        <v>23100</v>
      </c>
      <c r="V674" s="8">
        <v>-0.89</v>
      </c>
      <c r="W674" s="8">
        <v>-1.65</v>
      </c>
      <c r="X674" s="5">
        <f t="shared" si="203"/>
        <v>0.7599999999999999</v>
      </c>
      <c r="Y674" s="23">
        <f t="shared" si="204"/>
        <v>0.35213684210526325</v>
      </c>
      <c r="Z674" s="23">
        <f t="shared" si="188"/>
        <v>8134.3610526315806</v>
      </c>
      <c r="AA674" s="11">
        <f t="shared" si="189"/>
        <v>5.4296013980179181</v>
      </c>
      <c r="AB674" s="11">
        <f t="shared" si="190"/>
        <v>125423.79229421391</v>
      </c>
    </row>
    <row r="675" spans="1:28" ht="17.25" customHeight="1" x14ac:dyDescent="0.2">
      <c r="A675" t="s">
        <v>7</v>
      </c>
      <c r="B675" s="20">
        <v>72</v>
      </c>
      <c r="C675" s="20">
        <v>152</v>
      </c>
      <c r="D675" s="20">
        <v>49</v>
      </c>
      <c r="E675" t="s">
        <v>75</v>
      </c>
      <c r="F675" s="26">
        <v>45190</v>
      </c>
      <c r="G675" t="s">
        <v>79</v>
      </c>
      <c r="H675" s="5">
        <v>20.82</v>
      </c>
      <c r="I675" s="5">
        <v>28.62</v>
      </c>
      <c r="J675" s="5">
        <v>25.03</v>
      </c>
      <c r="K675" s="5">
        <v>2.36</v>
      </c>
      <c r="L675" s="5">
        <v>0.37</v>
      </c>
      <c r="M675" s="3">
        <f t="shared" si="187"/>
        <v>370</v>
      </c>
      <c r="N675" s="5">
        <v>8.2200000000000006</v>
      </c>
      <c r="O675" s="23">
        <f t="shared" si="198"/>
        <v>8.2199999999999999E-3</v>
      </c>
      <c r="P675" s="23">
        <f t="shared" si="199"/>
        <v>0.14796000000000001</v>
      </c>
      <c r="Q675" s="7">
        <f t="shared" si="200"/>
        <v>1.4796000000000001E-4</v>
      </c>
      <c r="R675" s="23">
        <f t="shared" si="201"/>
        <v>0.53265600000000002</v>
      </c>
      <c r="S675" s="5">
        <v>27.89</v>
      </c>
      <c r="T675" s="5">
        <v>2.35</v>
      </c>
      <c r="U675" s="3">
        <f t="shared" si="202"/>
        <v>23500</v>
      </c>
      <c r="V675" s="8">
        <v>-0.33</v>
      </c>
      <c r="W675" s="8">
        <v>-2.2400000000000002</v>
      </c>
      <c r="X675" s="5">
        <f t="shared" si="203"/>
        <v>1.9100000000000001</v>
      </c>
      <c r="Y675" s="23">
        <f t="shared" si="204"/>
        <v>0.27887748691099473</v>
      </c>
      <c r="Z675" s="23">
        <f t="shared" si="188"/>
        <v>6553.6209424083763</v>
      </c>
      <c r="AA675" s="11">
        <f t="shared" si="189"/>
        <v>4.3000146867763052</v>
      </c>
      <c r="AB675" s="11">
        <f t="shared" si="190"/>
        <v>101050.34513924317</v>
      </c>
    </row>
    <row r="676" spans="1:28" ht="17.25" customHeight="1" x14ac:dyDescent="0.2">
      <c r="A676" t="s">
        <v>7</v>
      </c>
      <c r="B676" s="20">
        <v>72</v>
      </c>
      <c r="C676" s="20">
        <v>152</v>
      </c>
      <c r="D676" s="20">
        <v>50</v>
      </c>
      <c r="E676" t="s">
        <v>75</v>
      </c>
      <c r="F676" s="26">
        <v>45191</v>
      </c>
      <c r="G676" t="s">
        <v>79</v>
      </c>
      <c r="H676" s="5">
        <v>33.11</v>
      </c>
      <c r="I676" s="5">
        <v>27.73</v>
      </c>
      <c r="J676" s="5">
        <v>25.65</v>
      </c>
      <c r="K676" s="5">
        <v>2.0699999999999998</v>
      </c>
      <c r="L676" s="5">
        <v>0.26</v>
      </c>
      <c r="M676" s="3">
        <f t="shared" si="187"/>
        <v>260</v>
      </c>
      <c r="N676" s="5">
        <v>4.97</v>
      </c>
      <c r="O676" s="23">
        <f t="shared" si="198"/>
        <v>4.9699999999999996E-3</v>
      </c>
      <c r="P676" s="23">
        <f t="shared" si="199"/>
        <v>8.9459999999999998E-2</v>
      </c>
      <c r="Q676" s="7">
        <f t="shared" si="200"/>
        <v>8.9460000000000001E-5</v>
      </c>
      <c r="R676" s="23">
        <f t="shared" si="201"/>
        <v>0.32205600000000001</v>
      </c>
      <c r="S676" s="5">
        <v>25.57</v>
      </c>
      <c r="T676" s="5">
        <v>2.29</v>
      </c>
      <c r="U676" s="3">
        <f t="shared" si="202"/>
        <v>22900</v>
      </c>
      <c r="V676" s="8">
        <v>-0.33</v>
      </c>
      <c r="W676" s="8">
        <v>-1.38</v>
      </c>
      <c r="X676" s="5">
        <f t="shared" si="203"/>
        <v>1.0499999999999998</v>
      </c>
      <c r="Y676" s="23">
        <f t="shared" si="204"/>
        <v>0.30672000000000005</v>
      </c>
      <c r="Z676" s="23">
        <f t="shared" si="188"/>
        <v>7023.8880000000008</v>
      </c>
      <c r="AA676" s="11">
        <f t="shared" si="189"/>
        <v>4.7293186672646783</v>
      </c>
      <c r="AB676" s="11">
        <f t="shared" si="190"/>
        <v>108301.39748036113</v>
      </c>
    </row>
    <row r="677" spans="1:28" ht="17.25" customHeight="1" x14ac:dyDescent="0.2">
      <c r="A677" t="s">
        <v>7</v>
      </c>
      <c r="B677" s="20">
        <v>72</v>
      </c>
      <c r="C677" s="20">
        <v>152</v>
      </c>
      <c r="D677" s="20">
        <v>51</v>
      </c>
      <c r="E677" t="s">
        <v>75</v>
      </c>
      <c r="F677" s="26">
        <v>45191</v>
      </c>
      <c r="G677" t="s">
        <v>79</v>
      </c>
      <c r="H677" s="5">
        <v>23.12</v>
      </c>
      <c r="I677" s="5">
        <v>31.9</v>
      </c>
      <c r="J677" s="5">
        <v>28.32</v>
      </c>
      <c r="K677" s="5">
        <v>2.76</v>
      </c>
      <c r="L677" s="5">
        <v>0.41</v>
      </c>
      <c r="M677" s="3">
        <f t="shared" si="187"/>
        <v>410</v>
      </c>
      <c r="N677" s="5">
        <v>10.7</v>
      </c>
      <c r="O677" s="23">
        <f t="shared" si="198"/>
        <v>1.0699999999999999E-2</v>
      </c>
      <c r="P677" s="23">
        <f t="shared" si="199"/>
        <v>0.19259999999999999</v>
      </c>
      <c r="Q677" s="7">
        <f t="shared" si="200"/>
        <v>1.9259999999999999E-4</v>
      </c>
      <c r="R677" s="23">
        <f t="shared" si="201"/>
        <v>0.69335999999999998</v>
      </c>
      <c r="S677" s="5">
        <v>18.57</v>
      </c>
      <c r="T677" s="5">
        <v>1.84</v>
      </c>
      <c r="U677" s="3">
        <f t="shared" si="202"/>
        <v>18400</v>
      </c>
      <c r="V677" s="8">
        <v>-0.67</v>
      </c>
      <c r="W677" s="8">
        <v>-1.61</v>
      </c>
      <c r="X677" s="5">
        <f t="shared" si="203"/>
        <v>0.94000000000000006</v>
      </c>
      <c r="Y677" s="23">
        <f t="shared" si="204"/>
        <v>0.73761702127659567</v>
      </c>
      <c r="Z677" s="23">
        <f t="shared" si="188"/>
        <v>13572.15319148936</v>
      </c>
      <c r="AA677" s="11">
        <f t="shared" si="189"/>
        <v>11.373324035001207</v>
      </c>
      <c r="AB677" s="11">
        <f t="shared" si="190"/>
        <v>209269.16224402221</v>
      </c>
    </row>
    <row r="678" spans="1:28" ht="17.25" customHeight="1" x14ac:dyDescent="0.2">
      <c r="A678" t="s">
        <v>7</v>
      </c>
      <c r="B678" s="20">
        <v>72</v>
      </c>
      <c r="C678" s="20">
        <v>155</v>
      </c>
      <c r="D678" s="20">
        <v>58</v>
      </c>
      <c r="E678" t="s">
        <v>75</v>
      </c>
      <c r="F678" s="26">
        <v>45191</v>
      </c>
      <c r="G678" t="s">
        <v>79</v>
      </c>
      <c r="H678" s="5">
        <v>34.78</v>
      </c>
      <c r="I678" s="5">
        <v>25.81</v>
      </c>
      <c r="J678" s="5">
        <v>22.73</v>
      </c>
      <c r="K678" s="5">
        <v>1.61</v>
      </c>
      <c r="L678" s="5">
        <v>0.27</v>
      </c>
      <c r="M678" s="3">
        <f t="shared" si="187"/>
        <v>270</v>
      </c>
      <c r="N678" s="5">
        <v>4.12</v>
      </c>
      <c r="O678" s="23">
        <f t="shared" si="198"/>
        <v>4.1200000000000004E-3</v>
      </c>
      <c r="P678" s="23">
        <f t="shared" si="199"/>
        <v>7.4160000000000004E-2</v>
      </c>
      <c r="Q678" s="7">
        <f t="shared" si="200"/>
        <v>7.4160000000000008E-5</v>
      </c>
      <c r="R678" s="23">
        <f t="shared" si="201"/>
        <v>0.26697600000000005</v>
      </c>
      <c r="S678" s="5">
        <v>4.1100000000000003</v>
      </c>
      <c r="T678" s="5">
        <v>0.5</v>
      </c>
      <c r="U678" s="3">
        <f t="shared" si="202"/>
        <v>5000</v>
      </c>
      <c r="V678" s="8">
        <v>-0.34</v>
      </c>
      <c r="W678" s="8">
        <v>-2.08</v>
      </c>
      <c r="X678" s="5">
        <f t="shared" si="203"/>
        <v>1.74</v>
      </c>
      <c r="Y678" s="23">
        <f t="shared" si="204"/>
        <v>0.1534344827586207</v>
      </c>
      <c r="Z678" s="23">
        <f t="shared" si="188"/>
        <v>767.17241379310349</v>
      </c>
      <c r="AA678" s="11">
        <f t="shared" si="189"/>
        <v>2.3658077840129277</v>
      </c>
      <c r="AB678" s="11">
        <f t="shared" si="190"/>
        <v>11829.038920064639</v>
      </c>
    </row>
    <row r="679" spans="1:28" ht="17.25" customHeight="1" x14ac:dyDescent="0.2">
      <c r="A679" t="s">
        <v>7</v>
      </c>
      <c r="B679" s="20">
        <v>72</v>
      </c>
      <c r="C679" s="20">
        <v>155</v>
      </c>
      <c r="D679" s="20">
        <v>59</v>
      </c>
      <c r="E679" t="s">
        <v>75</v>
      </c>
      <c r="F679" s="26">
        <v>45190</v>
      </c>
      <c r="G679" t="s">
        <v>79</v>
      </c>
      <c r="H679" s="5">
        <v>20.329999999999998</v>
      </c>
      <c r="I679" s="5">
        <v>28.67</v>
      </c>
      <c r="J679" s="5">
        <v>25.37</v>
      </c>
      <c r="K679" s="5">
        <v>2.44</v>
      </c>
      <c r="L679" s="5">
        <v>0.33</v>
      </c>
      <c r="M679" s="3">
        <f t="shared" si="187"/>
        <v>330</v>
      </c>
      <c r="N679" s="5">
        <v>7.63</v>
      </c>
      <c r="O679" s="23">
        <f t="shared" si="198"/>
        <v>7.6299999999999996E-3</v>
      </c>
      <c r="P679" s="23">
        <f t="shared" si="199"/>
        <v>0.13733999999999999</v>
      </c>
      <c r="Q679" s="7">
        <f t="shared" si="200"/>
        <v>1.3733999999999998E-4</v>
      </c>
      <c r="R679" s="23">
        <f t="shared" si="201"/>
        <v>0.49442399999999992</v>
      </c>
      <c r="S679" s="5">
        <v>22.47</v>
      </c>
      <c r="T679" s="5">
        <v>2.37</v>
      </c>
      <c r="U679" s="3">
        <f t="shared" si="202"/>
        <v>23700</v>
      </c>
      <c r="V679" s="8">
        <v>-0.82</v>
      </c>
      <c r="W679" s="8">
        <v>-2.0499999999999998</v>
      </c>
      <c r="X679" s="5">
        <f t="shared" si="203"/>
        <v>1.23</v>
      </c>
      <c r="Y679" s="23">
        <f t="shared" si="204"/>
        <v>0.40197073170731701</v>
      </c>
      <c r="Z679" s="23">
        <f t="shared" si="188"/>
        <v>9526.706341463414</v>
      </c>
      <c r="AA679" s="11">
        <f t="shared" si="189"/>
        <v>6.1979906271435041</v>
      </c>
      <c r="AB679" s="11">
        <f t="shared" si="190"/>
        <v>146892.37786330105</v>
      </c>
    </row>
    <row r="680" spans="1:28" ht="17.25" customHeight="1" x14ac:dyDescent="0.2">
      <c r="A680" t="s">
        <v>7</v>
      </c>
      <c r="B680" s="20">
        <v>72</v>
      </c>
      <c r="C680" s="20">
        <v>155</v>
      </c>
      <c r="D680" s="20">
        <v>60</v>
      </c>
      <c r="E680" t="s">
        <v>75</v>
      </c>
      <c r="F680" s="26">
        <v>45191</v>
      </c>
      <c r="G680" t="s">
        <v>79</v>
      </c>
      <c r="H680" s="5">
        <v>34.86</v>
      </c>
      <c r="I680" s="5">
        <v>25.83</v>
      </c>
      <c r="J680" s="5">
        <v>23.2</v>
      </c>
      <c r="K680" s="5">
        <v>1.68</v>
      </c>
      <c r="L680" s="5">
        <v>0.2</v>
      </c>
      <c r="M680" s="3">
        <f t="shared" si="187"/>
        <v>200</v>
      </c>
      <c r="N680" s="5">
        <v>3.16</v>
      </c>
      <c r="O680" s="23">
        <f t="shared" si="198"/>
        <v>3.16E-3</v>
      </c>
      <c r="P680" s="23">
        <f t="shared" si="199"/>
        <v>5.688E-2</v>
      </c>
      <c r="Q680" s="7">
        <f t="shared" si="200"/>
        <v>5.6879999999999998E-5</v>
      </c>
      <c r="R680" s="23">
        <f t="shared" si="201"/>
        <v>0.20476799999999998</v>
      </c>
      <c r="S680" s="5">
        <v>10.28</v>
      </c>
      <c r="T680" s="5">
        <v>1.1299999999999999</v>
      </c>
      <c r="U680" s="5">
        <f t="shared" si="202"/>
        <v>11299.999999999998</v>
      </c>
      <c r="V680" s="8">
        <v>-0.45</v>
      </c>
      <c r="W680" s="8">
        <v>-1.24</v>
      </c>
      <c r="X680" s="5">
        <f t="shared" si="203"/>
        <v>0.79</v>
      </c>
      <c r="Y680" s="23">
        <f t="shared" si="204"/>
        <v>0.25919999999999999</v>
      </c>
      <c r="Z680" s="23">
        <f t="shared" si="188"/>
        <v>2928.9599999999996</v>
      </c>
      <c r="AA680" s="11">
        <f t="shared" si="189"/>
        <v>3.9966073244490232</v>
      </c>
      <c r="AB680" s="11">
        <f t="shared" si="190"/>
        <v>45161.662766273956</v>
      </c>
    </row>
    <row r="681" spans="1:28" ht="17.25" customHeight="1" x14ac:dyDescent="0.2">
      <c r="A681" t="s">
        <v>7</v>
      </c>
      <c r="B681" s="20">
        <v>72</v>
      </c>
      <c r="C681" s="20">
        <v>5</v>
      </c>
      <c r="D681" s="20">
        <v>61</v>
      </c>
      <c r="E681" t="s">
        <v>75</v>
      </c>
      <c r="F681" s="26">
        <v>45191</v>
      </c>
      <c r="G681" t="s">
        <v>79</v>
      </c>
      <c r="H681" s="5">
        <v>28.85</v>
      </c>
      <c r="I681" s="5">
        <v>30.21</v>
      </c>
      <c r="J681" s="5">
        <v>28.11</v>
      </c>
      <c r="K681" s="5">
        <v>2.57</v>
      </c>
      <c r="L681" s="5">
        <v>0.19</v>
      </c>
      <c r="M681" s="3">
        <f t="shared" si="187"/>
        <v>190</v>
      </c>
      <c r="N681" s="5">
        <v>4.62</v>
      </c>
      <c r="O681" s="23">
        <f t="shared" si="198"/>
        <v>4.62E-3</v>
      </c>
      <c r="P681" s="23">
        <f t="shared" si="199"/>
        <v>8.3159999999999998E-2</v>
      </c>
      <c r="Q681" s="7">
        <f t="shared" si="200"/>
        <v>8.3159999999999997E-5</v>
      </c>
      <c r="R681" s="23">
        <f t="shared" si="201"/>
        <v>0.29937599999999998</v>
      </c>
      <c r="S681" s="5">
        <v>20.64</v>
      </c>
      <c r="T681" s="5">
        <v>4.72</v>
      </c>
      <c r="U681" s="3">
        <f t="shared" si="202"/>
        <v>47200</v>
      </c>
      <c r="V681" s="8">
        <v>-0.42</v>
      </c>
      <c r="W681" s="8">
        <v>-1.82</v>
      </c>
      <c r="X681" s="5">
        <f t="shared" si="203"/>
        <v>1.4000000000000001</v>
      </c>
      <c r="Y681" s="23">
        <f t="shared" si="204"/>
        <v>0.21383999999999997</v>
      </c>
      <c r="Z681" s="23">
        <f t="shared" si="188"/>
        <v>10093.248</v>
      </c>
      <c r="AA681" s="11">
        <f t="shared" si="189"/>
        <v>3.2972010426704434</v>
      </c>
      <c r="AB681" s="11">
        <f t="shared" si="190"/>
        <v>155627.88921404493</v>
      </c>
    </row>
    <row r="682" spans="1:28" ht="17.25" customHeight="1" x14ac:dyDescent="0.2">
      <c r="A682" t="s">
        <v>7</v>
      </c>
      <c r="B682" s="20">
        <v>72</v>
      </c>
      <c r="C682" s="20">
        <v>5</v>
      </c>
      <c r="D682" s="20">
        <v>63</v>
      </c>
      <c r="E682" t="s">
        <v>75</v>
      </c>
      <c r="F682" s="26">
        <v>45190</v>
      </c>
      <c r="G682" t="s">
        <v>79</v>
      </c>
      <c r="H682" s="5">
        <v>19.77</v>
      </c>
      <c r="I682" s="5">
        <v>28.6</v>
      </c>
      <c r="J682" s="5">
        <v>26.3</v>
      </c>
      <c r="K682" s="5">
        <v>2.65</v>
      </c>
      <c r="L682" s="5">
        <v>0.25</v>
      </c>
      <c r="M682" s="3">
        <f t="shared" si="187"/>
        <v>250</v>
      </c>
      <c r="N682" s="5">
        <v>6.1</v>
      </c>
      <c r="O682" s="23">
        <f t="shared" si="198"/>
        <v>6.0999999999999995E-3</v>
      </c>
      <c r="P682" s="23">
        <f t="shared" si="199"/>
        <v>0.10979999999999999</v>
      </c>
      <c r="Q682" s="7">
        <f t="shared" si="200"/>
        <v>1.098E-4</v>
      </c>
      <c r="R682" s="23">
        <f t="shared" si="201"/>
        <v>0.39528000000000002</v>
      </c>
      <c r="S682" s="5">
        <v>20.28</v>
      </c>
      <c r="T682" s="5">
        <v>3.11</v>
      </c>
      <c r="U682" s="3">
        <f t="shared" si="202"/>
        <v>31100</v>
      </c>
      <c r="V682" s="8">
        <v>-0.27</v>
      </c>
      <c r="W682" s="8">
        <v>-2.06</v>
      </c>
      <c r="X682" s="5">
        <f t="shared" si="203"/>
        <v>1.79</v>
      </c>
      <c r="Y682" s="23">
        <f t="shared" si="204"/>
        <v>0.2208268156424581</v>
      </c>
      <c r="Z682" s="23">
        <f t="shared" si="188"/>
        <v>6867.7139664804472</v>
      </c>
      <c r="AA682" s="11">
        <f t="shared" si="189"/>
        <v>3.4049308211088043</v>
      </c>
      <c r="AB682" s="11">
        <f t="shared" si="190"/>
        <v>105893.34853648381</v>
      </c>
    </row>
    <row r="683" spans="1:28" ht="17.25" customHeight="1" x14ac:dyDescent="0.2">
      <c r="A683" t="s">
        <v>7</v>
      </c>
      <c r="B683" s="20">
        <v>72</v>
      </c>
      <c r="C683" s="20">
        <v>5</v>
      </c>
      <c r="D683" s="20">
        <v>85</v>
      </c>
      <c r="E683" t="s">
        <v>75</v>
      </c>
      <c r="F683" s="26">
        <v>45191</v>
      </c>
      <c r="G683" t="s">
        <v>79</v>
      </c>
      <c r="H683" s="5">
        <v>34.950000000000003</v>
      </c>
      <c r="I683" s="5">
        <v>25.89</v>
      </c>
      <c r="J683" s="5">
        <v>23.65</v>
      </c>
      <c r="K683" s="5">
        <v>1.75</v>
      </c>
      <c r="L683" s="5">
        <v>0.13</v>
      </c>
      <c r="M683" s="3">
        <f t="shared" si="187"/>
        <v>130</v>
      </c>
      <c r="N683" s="5">
        <v>2.15</v>
      </c>
      <c r="O683" s="23">
        <f t="shared" si="198"/>
        <v>2.15E-3</v>
      </c>
      <c r="P683" s="23">
        <f t="shared" si="199"/>
        <v>3.8699999999999998E-2</v>
      </c>
      <c r="Q683" s="7">
        <f t="shared" si="200"/>
        <v>3.8699999999999999E-5</v>
      </c>
      <c r="R683" s="23">
        <f t="shared" si="201"/>
        <v>0.13932</v>
      </c>
      <c r="S683" s="5">
        <v>7.85</v>
      </c>
      <c r="T683" s="5">
        <v>1.36</v>
      </c>
      <c r="U683" s="5">
        <f t="shared" si="202"/>
        <v>13600.000000000002</v>
      </c>
      <c r="V683" s="8">
        <v>-0.47</v>
      </c>
      <c r="W683" s="8">
        <v>-1.69</v>
      </c>
      <c r="X683" s="5">
        <f t="shared" si="203"/>
        <v>1.22</v>
      </c>
      <c r="Y683" s="23">
        <f t="shared" si="204"/>
        <v>0.11419672131147542</v>
      </c>
      <c r="Z683" s="23">
        <f t="shared" si="188"/>
        <v>1553.0754098360658</v>
      </c>
      <c r="AA683" s="11">
        <f t="shared" si="189"/>
        <v>1.7608003581076641</v>
      </c>
      <c r="AB683" s="11">
        <f t="shared" si="190"/>
        <v>23946.884870264235</v>
      </c>
    </row>
    <row r="684" spans="1:28" ht="17.25" customHeight="1" x14ac:dyDescent="0.2">
      <c r="A684" t="s">
        <v>8</v>
      </c>
      <c r="B684" s="20">
        <v>1521</v>
      </c>
      <c r="C684" s="20">
        <v>153</v>
      </c>
      <c r="D684" s="20">
        <v>69</v>
      </c>
      <c r="E684" t="s">
        <v>75</v>
      </c>
      <c r="F684" s="26">
        <v>45191</v>
      </c>
      <c r="G684" t="s">
        <v>79</v>
      </c>
      <c r="H684" s="5">
        <v>29.88</v>
      </c>
      <c r="I684" s="5">
        <v>29.89</v>
      </c>
      <c r="J684" s="5">
        <v>28.49</v>
      </c>
      <c r="K684" s="5">
        <v>2.64</v>
      </c>
      <c r="L684" s="5">
        <v>0.2</v>
      </c>
      <c r="M684" s="3">
        <f t="shared" si="187"/>
        <v>200</v>
      </c>
      <c r="N684" s="5">
        <v>5.09</v>
      </c>
      <c r="O684" s="23">
        <f t="shared" si="198"/>
        <v>5.0899999999999999E-3</v>
      </c>
      <c r="P684" s="23">
        <f t="shared" si="199"/>
        <v>9.1619999999999993E-2</v>
      </c>
      <c r="Q684" s="7">
        <f t="shared" si="200"/>
        <v>9.1619999999999994E-5</v>
      </c>
      <c r="R684" s="23">
        <f t="shared" si="201"/>
        <v>0.32983199999999996</v>
      </c>
      <c r="S684" s="5">
        <v>1.69</v>
      </c>
      <c r="T684" s="5">
        <v>0.31</v>
      </c>
      <c r="U684" s="3">
        <f t="shared" si="202"/>
        <v>3100</v>
      </c>
      <c r="V684" s="8">
        <v>-0.32</v>
      </c>
      <c r="W684" s="8">
        <v>-1.63</v>
      </c>
      <c r="X684" s="5">
        <f t="shared" si="203"/>
        <v>1.3099999999999998</v>
      </c>
      <c r="Y684" s="23">
        <f t="shared" si="204"/>
        <v>0.25178015267175574</v>
      </c>
      <c r="Z684" s="23">
        <f t="shared" si="188"/>
        <v>780.51847328244276</v>
      </c>
      <c r="AA684" s="11">
        <f t="shared" si="189"/>
        <v>3.8822006262300626</v>
      </c>
      <c r="AB684" s="11">
        <f t="shared" si="190"/>
        <v>12034.821941313194</v>
      </c>
    </row>
    <row r="685" spans="1:28" ht="17.25" customHeight="1" x14ac:dyDescent="0.2">
      <c r="A685" t="s">
        <v>8</v>
      </c>
      <c r="B685" s="20">
        <v>1521</v>
      </c>
      <c r="C685" s="20">
        <v>153</v>
      </c>
      <c r="D685" s="20">
        <v>76</v>
      </c>
      <c r="E685" t="s">
        <v>75</v>
      </c>
      <c r="F685" s="26">
        <v>45191</v>
      </c>
      <c r="G685" t="s">
        <v>79</v>
      </c>
      <c r="H685" s="5">
        <v>30.69</v>
      </c>
      <c r="I685" s="3">
        <v>29</v>
      </c>
      <c r="J685" s="5">
        <v>28.25</v>
      </c>
      <c r="K685" s="5">
        <v>2.61</v>
      </c>
      <c r="L685" s="5">
        <v>0.19</v>
      </c>
      <c r="M685" s="3">
        <f t="shared" si="187"/>
        <v>190</v>
      </c>
      <c r="N685" s="5">
        <v>4.71</v>
      </c>
      <c r="O685" s="23">
        <f t="shared" si="198"/>
        <v>4.7099999999999998E-3</v>
      </c>
      <c r="P685" s="23">
        <f t="shared" si="199"/>
        <v>8.4779999999999994E-2</v>
      </c>
      <c r="Q685" s="7">
        <f t="shared" si="200"/>
        <v>8.4779999999999998E-5</v>
      </c>
      <c r="R685" s="23">
        <f t="shared" si="201"/>
        <v>0.30520799999999998</v>
      </c>
      <c r="S685" s="5">
        <v>2.0299999999999998</v>
      </c>
      <c r="T685" s="5">
        <v>0.31</v>
      </c>
      <c r="U685" s="3">
        <f t="shared" si="202"/>
        <v>3100</v>
      </c>
      <c r="V685" s="8">
        <v>-0.45</v>
      </c>
      <c r="W685" s="8">
        <v>-2.36</v>
      </c>
      <c r="X685" s="5">
        <f t="shared" si="203"/>
        <v>1.91</v>
      </c>
      <c r="Y685" s="23">
        <f t="shared" si="204"/>
        <v>0.15979476439790574</v>
      </c>
      <c r="Z685" s="23">
        <f t="shared" si="188"/>
        <v>495.36376963350779</v>
      </c>
      <c r="AA685" s="11">
        <f t="shared" si="189"/>
        <v>2.4638770285543057</v>
      </c>
      <c r="AB685" s="11">
        <f t="shared" si="190"/>
        <v>7638.0187885183477</v>
      </c>
    </row>
    <row r="686" spans="1:28" ht="17.25" customHeight="1" x14ac:dyDescent="0.2">
      <c r="A686" t="s">
        <v>8</v>
      </c>
      <c r="B686" s="20">
        <v>1521</v>
      </c>
      <c r="C686" s="20">
        <v>153</v>
      </c>
      <c r="D686" s="20">
        <v>90</v>
      </c>
      <c r="E686" t="s">
        <v>75</v>
      </c>
      <c r="F686" s="26">
        <v>45190</v>
      </c>
      <c r="G686" t="s">
        <v>79</v>
      </c>
      <c r="H686" s="5">
        <v>17.489999999999998</v>
      </c>
      <c r="I686" s="5">
        <v>30.99</v>
      </c>
      <c r="J686" s="5">
        <v>29.71</v>
      </c>
      <c r="K686" s="5">
        <v>3.39</v>
      </c>
      <c r="L686" s="5">
        <v>0.14000000000000001</v>
      </c>
      <c r="M686" s="3">
        <f t="shared" si="187"/>
        <v>140</v>
      </c>
      <c r="N686" s="5">
        <v>4.51</v>
      </c>
      <c r="O686" s="23">
        <f t="shared" si="198"/>
        <v>4.5100000000000001E-3</v>
      </c>
      <c r="P686" s="23">
        <f t="shared" si="199"/>
        <v>8.1180000000000002E-2</v>
      </c>
      <c r="Q686" s="7">
        <f t="shared" si="200"/>
        <v>8.1180000000000005E-5</v>
      </c>
      <c r="R686" s="23">
        <f t="shared" si="201"/>
        <v>0.29224800000000001</v>
      </c>
      <c r="S686" s="5">
        <v>1.27</v>
      </c>
      <c r="T686" s="5">
        <v>0.15</v>
      </c>
      <c r="U686" s="3">
        <f t="shared" si="202"/>
        <v>1500</v>
      </c>
      <c r="V686" s="8">
        <v>-0.37</v>
      </c>
      <c r="W686" s="8">
        <v>-1.46</v>
      </c>
      <c r="X686" s="5">
        <f t="shared" si="203"/>
        <v>1.0899999999999999</v>
      </c>
      <c r="Y686" s="23">
        <f t="shared" si="204"/>
        <v>0.26811743119266057</v>
      </c>
      <c r="Z686" s="23">
        <f t="shared" si="188"/>
        <v>402.17614678899088</v>
      </c>
      <c r="AA686" s="11">
        <f t="shared" si="189"/>
        <v>4.1341052828589664</v>
      </c>
      <c r="AB686" s="11">
        <f t="shared" si="190"/>
        <v>6201.15792428845</v>
      </c>
    </row>
    <row r="687" spans="1:28" ht="17.25" customHeight="1" x14ac:dyDescent="0.2">
      <c r="A687" t="s">
        <v>8</v>
      </c>
      <c r="B687" s="20">
        <v>1521</v>
      </c>
      <c r="C687" s="20">
        <v>155</v>
      </c>
      <c r="D687" s="20">
        <v>62</v>
      </c>
      <c r="E687" t="s">
        <v>75</v>
      </c>
      <c r="F687" s="26">
        <v>45190</v>
      </c>
      <c r="G687" t="s">
        <v>79</v>
      </c>
      <c r="H687" s="5">
        <v>20.59</v>
      </c>
      <c r="I687" s="5">
        <v>29.32</v>
      </c>
      <c r="J687" s="5">
        <v>26.02</v>
      </c>
      <c r="K687" s="5">
        <v>2.5299999999999998</v>
      </c>
      <c r="L687" s="5">
        <v>0.25</v>
      </c>
      <c r="M687" s="3">
        <f t="shared" si="187"/>
        <v>250</v>
      </c>
      <c r="N687" s="5">
        <v>5.95</v>
      </c>
      <c r="O687" s="23">
        <f t="shared" si="198"/>
        <v>5.9500000000000004E-3</v>
      </c>
      <c r="P687" s="23">
        <f t="shared" si="199"/>
        <v>0.1071</v>
      </c>
      <c r="Q687" s="7">
        <f t="shared" si="200"/>
        <v>1.071E-4</v>
      </c>
      <c r="R687" s="23">
        <f t="shared" si="201"/>
        <v>0.38556000000000001</v>
      </c>
      <c r="S687" s="5">
        <v>2.31</v>
      </c>
      <c r="T687" s="5">
        <v>0.45</v>
      </c>
      <c r="U687" s="3">
        <f t="shared" si="202"/>
        <v>4500</v>
      </c>
      <c r="V687" s="8">
        <v>-0.46</v>
      </c>
      <c r="W687" s="8">
        <v>-1.97</v>
      </c>
      <c r="X687" s="5">
        <f t="shared" si="203"/>
        <v>1.51</v>
      </c>
      <c r="Y687" s="23">
        <f t="shared" si="204"/>
        <v>0.2553377483443709</v>
      </c>
      <c r="Z687" s="23">
        <f t="shared" si="188"/>
        <v>1149.019867549669</v>
      </c>
      <c r="AA687" s="11">
        <f t="shared" si="189"/>
        <v>3.9370552285549163</v>
      </c>
      <c r="AB687" s="11">
        <f t="shared" si="190"/>
        <v>17716.748528497123</v>
      </c>
    </row>
    <row r="688" spans="1:28" ht="17.25" customHeight="1" x14ac:dyDescent="0.2">
      <c r="A688" t="s">
        <v>8</v>
      </c>
      <c r="B688" s="20">
        <v>1521</v>
      </c>
      <c r="C688" s="20">
        <v>155</v>
      </c>
      <c r="D688" s="20">
        <v>64</v>
      </c>
      <c r="E688" t="s">
        <v>75</v>
      </c>
      <c r="F688" s="26">
        <v>45190</v>
      </c>
      <c r="G688" t="s">
        <v>79</v>
      </c>
      <c r="H688" s="5">
        <v>22.23</v>
      </c>
      <c r="I688" s="5">
        <v>28.62</v>
      </c>
      <c r="J688" s="5">
        <v>26.25</v>
      </c>
      <c r="K688" s="5">
        <v>2.54</v>
      </c>
      <c r="L688" s="5">
        <v>0.21</v>
      </c>
      <c r="M688" s="3">
        <f t="shared" si="187"/>
        <v>210</v>
      </c>
      <c r="N688" s="5">
        <v>4.9400000000000004</v>
      </c>
      <c r="O688" s="23">
        <f t="shared" si="198"/>
        <v>4.9400000000000008E-3</v>
      </c>
      <c r="P688" s="23">
        <f t="shared" si="199"/>
        <v>8.8920000000000013E-2</v>
      </c>
      <c r="Q688" s="7">
        <f t="shared" si="200"/>
        <v>8.8920000000000009E-5</v>
      </c>
      <c r="R688" s="23">
        <f t="shared" si="201"/>
        <v>0.32011200000000001</v>
      </c>
      <c r="S688" s="5">
        <v>2.25</v>
      </c>
      <c r="T688" s="5">
        <v>0.5</v>
      </c>
      <c r="U688" s="3">
        <f t="shared" si="202"/>
        <v>5000</v>
      </c>
      <c r="V688" s="8">
        <v>-0.46</v>
      </c>
      <c r="W688" s="8">
        <v>-1.83</v>
      </c>
      <c r="X688" s="5">
        <f t="shared" si="203"/>
        <v>1.37</v>
      </c>
      <c r="Y688" s="23">
        <f t="shared" si="204"/>
        <v>0.23365839416058393</v>
      </c>
      <c r="Z688" s="23">
        <f t="shared" si="188"/>
        <v>1168.2919708029196</v>
      </c>
      <c r="AA688" s="11">
        <f t="shared" si="189"/>
        <v>3.6027810552514912</v>
      </c>
      <c r="AB688" s="11">
        <f t="shared" si="190"/>
        <v>18013.905276257457</v>
      </c>
    </row>
    <row r="689" spans="1:28" ht="17.25" customHeight="1" x14ac:dyDescent="0.2">
      <c r="A689" t="s">
        <v>8</v>
      </c>
      <c r="B689" s="20">
        <v>1521</v>
      </c>
      <c r="C689" s="20">
        <v>155</v>
      </c>
      <c r="D689" s="20">
        <v>66</v>
      </c>
      <c r="E689" t="s">
        <v>75</v>
      </c>
      <c r="F689" s="26">
        <v>45191</v>
      </c>
      <c r="G689" t="s">
        <v>79</v>
      </c>
      <c r="H689" s="5">
        <v>24.45</v>
      </c>
      <c r="I689" s="5">
        <v>31.43</v>
      </c>
      <c r="J689" s="5">
        <v>29.17</v>
      </c>
      <c r="K689" s="5">
        <v>2.92</v>
      </c>
      <c r="L689" s="5">
        <v>0.11</v>
      </c>
      <c r="M689" s="3">
        <f t="shared" si="187"/>
        <v>110</v>
      </c>
      <c r="N689" s="5">
        <v>3.14</v>
      </c>
      <c r="O689" s="23">
        <f t="shared" si="198"/>
        <v>3.14E-3</v>
      </c>
      <c r="P689" s="23">
        <f t="shared" si="199"/>
        <v>5.6520000000000001E-2</v>
      </c>
      <c r="Q689" s="7">
        <f t="shared" si="200"/>
        <v>5.6520000000000001E-5</v>
      </c>
      <c r="R689" s="23">
        <f t="shared" si="201"/>
        <v>0.20347200000000001</v>
      </c>
      <c r="S689" s="5">
        <v>3.09</v>
      </c>
      <c r="T689" s="5">
        <v>0.44</v>
      </c>
      <c r="U689" s="3">
        <f t="shared" si="202"/>
        <v>4400</v>
      </c>
      <c r="V689" s="8">
        <v>-0.4</v>
      </c>
      <c r="W689" s="8">
        <v>-1.6</v>
      </c>
      <c r="X689" s="5">
        <f t="shared" si="203"/>
        <v>1.2000000000000002</v>
      </c>
      <c r="Y689" s="23">
        <f t="shared" si="204"/>
        <v>0.16955999999999999</v>
      </c>
      <c r="Z689" s="23">
        <f t="shared" si="188"/>
        <v>746.06399999999996</v>
      </c>
      <c r="AA689" s="11">
        <f t="shared" si="189"/>
        <v>2.6144472914104027</v>
      </c>
      <c r="AB689" s="11">
        <f t="shared" si="190"/>
        <v>11503.568082205771</v>
      </c>
    </row>
    <row r="690" spans="1:28" ht="17.25" customHeight="1" x14ac:dyDescent="0.2">
      <c r="A690" t="s">
        <v>8</v>
      </c>
      <c r="B690" s="20">
        <v>1521</v>
      </c>
      <c r="C690" s="20">
        <v>156</v>
      </c>
      <c r="D690" s="20">
        <v>71</v>
      </c>
      <c r="E690" t="s">
        <v>75</v>
      </c>
      <c r="F690" s="26">
        <v>45190</v>
      </c>
      <c r="G690" t="s">
        <v>79</v>
      </c>
      <c r="H690" s="5">
        <v>19.989999999999998</v>
      </c>
      <c r="I690" s="5">
        <v>29.55</v>
      </c>
      <c r="J690" s="5">
        <v>27.91</v>
      </c>
      <c r="K690" s="5">
        <v>2.95</v>
      </c>
      <c r="L690" s="5">
        <v>0.18</v>
      </c>
      <c r="M690" s="3">
        <f t="shared" si="187"/>
        <v>180</v>
      </c>
      <c r="N690" s="5">
        <v>5.0999999999999996</v>
      </c>
      <c r="O690" s="23">
        <f t="shared" si="198"/>
        <v>5.0999999999999995E-3</v>
      </c>
      <c r="P690" s="23">
        <f t="shared" si="199"/>
        <v>9.1799999999999993E-2</v>
      </c>
      <c r="Q690" s="7">
        <f t="shared" si="200"/>
        <v>9.1799999999999995E-5</v>
      </c>
      <c r="R690" s="23">
        <f t="shared" si="201"/>
        <v>0.33048</v>
      </c>
      <c r="S690" s="5">
        <v>1.53</v>
      </c>
      <c r="T690" s="5">
        <v>0.24</v>
      </c>
      <c r="U690" s="3">
        <f t="shared" si="202"/>
        <v>2400</v>
      </c>
      <c r="V690" s="8">
        <v>-0.26</v>
      </c>
      <c r="W690" s="8">
        <v>-1.83</v>
      </c>
      <c r="X690" s="5">
        <f t="shared" si="203"/>
        <v>1.57</v>
      </c>
      <c r="Y690" s="23">
        <f t="shared" si="204"/>
        <v>0.2104968152866242</v>
      </c>
      <c r="Z690" s="23">
        <f t="shared" si="188"/>
        <v>505.1923566878981</v>
      </c>
      <c r="AA690" s="11">
        <f t="shared" si="189"/>
        <v>3.2456524450143345</v>
      </c>
      <c r="AB690" s="11">
        <f t="shared" si="190"/>
        <v>7789.5658680344031</v>
      </c>
    </row>
    <row r="691" spans="1:28" ht="17.25" customHeight="1" x14ac:dyDescent="0.2">
      <c r="A691" t="s">
        <v>8</v>
      </c>
      <c r="B691" s="20">
        <v>1521</v>
      </c>
      <c r="C691" s="20">
        <v>156</v>
      </c>
      <c r="D691" s="20">
        <v>74</v>
      </c>
      <c r="E691" t="s">
        <v>75</v>
      </c>
      <c r="F691" s="26">
        <v>45191</v>
      </c>
      <c r="G691" t="s">
        <v>79</v>
      </c>
      <c r="H691" s="5">
        <v>32.200000000000003</v>
      </c>
      <c r="I691" s="5">
        <v>28.28</v>
      </c>
      <c r="J691" s="5">
        <v>26.02</v>
      </c>
      <c r="K691" s="5">
        <v>2.13</v>
      </c>
      <c r="L691" s="5">
        <v>0.19</v>
      </c>
      <c r="M691" s="3">
        <f t="shared" si="187"/>
        <v>190</v>
      </c>
      <c r="N691" s="5">
        <v>3.82</v>
      </c>
      <c r="O691" s="23">
        <f t="shared" si="198"/>
        <v>3.82E-3</v>
      </c>
      <c r="P691" s="23">
        <f t="shared" si="199"/>
        <v>6.8760000000000002E-2</v>
      </c>
      <c r="Q691" s="7">
        <f t="shared" si="200"/>
        <v>6.8759999999999999E-5</v>
      </c>
      <c r="R691" s="23">
        <f t="shared" si="201"/>
        <v>0.24753600000000001</v>
      </c>
      <c r="S691" s="5">
        <v>2.2200000000000002</v>
      </c>
      <c r="T691" s="5">
        <v>0.32</v>
      </c>
      <c r="U691" s="3">
        <f t="shared" si="202"/>
        <v>3200</v>
      </c>
      <c r="V691" s="8">
        <v>-0.35</v>
      </c>
      <c r="W691" s="8">
        <v>-1.82</v>
      </c>
      <c r="X691" s="5">
        <f t="shared" si="203"/>
        <v>1.4700000000000002</v>
      </c>
      <c r="Y691" s="23">
        <f t="shared" si="204"/>
        <v>0.16839183673469385</v>
      </c>
      <c r="Z691" s="23">
        <f t="shared" si="188"/>
        <v>538.85387755102033</v>
      </c>
      <c r="AA691" s="11">
        <f t="shared" si="189"/>
        <v>2.5964353706454535</v>
      </c>
      <c r="AB691" s="11">
        <f t="shared" si="190"/>
        <v>8308.5931860654509</v>
      </c>
    </row>
    <row r="692" spans="1:28" ht="17.25" customHeight="1" x14ac:dyDescent="0.2">
      <c r="A692" t="s">
        <v>8</v>
      </c>
      <c r="B692" s="20">
        <v>1521</v>
      </c>
      <c r="C692" s="20">
        <v>156</v>
      </c>
      <c r="D692" s="20">
        <v>75</v>
      </c>
      <c r="E692" t="s">
        <v>75</v>
      </c>
      <c r="F692" s="26">
        <v>45191</v>
      </c>
      <c r="G692" t="s">
        <v>79</v>
      </c>
      <c r="H692" s="5">
        <v>24.96</v>
      </c>
      <c r="I692" s="5">
        <v>31.35</v>
      </c>
      <c r="J692" s="5">
        <v>29.47</v>
      </c>
      <c r="K692" s="5">
        <v>2.98</v>
      </c>
      <c r="L692" s="5">
        <v>0.14000000000000001</v>
      </c>
      <c r="M692" s="3">
        <f t="shared" si="187"/>
        <v>140</v>
      </c>
      <c r="N692" s="5">
        <v>4.0599999999999996</v>
      </c>
      <c r="O692" s="23">
        <f t="shared" si="198"/>
        <v>4.0599999999999994E-3</v>
      </c>
      <c r="P692" s="23">
        <f t="shared" si="199"/>
        <v>7.3079999999999992E-2</v>
      </c>
      <c r="Q692" s="7">
        <f t="shared" si="200"/>
        <v>7.3079999999999998E-5</v>
      </c>
      <c r="R692" s="23">
        <f t="shared" si="201"/>
        <v>0.26308799999999999</v>
      </c>
      <c r="S692" s="5">
        <v>3.2</v>
      </c>
      <c r="T692" s="5">
        <v>0.59</v>
      </c>
      <c r="U692" s="3">
        <f t="shared" si="202"/>
        <v>5900</v>
      </c>
      <c r="V692" s="8">
        <v>-0.31</v>
      </c>
      <c r="W692" s="8">
        <v>-1.86</v>
      </c>
      <c r="X692" s="5">
        <f t="shared" si="203"/>
        <v>1.55</v>
      </c>
      <c r="Y692" s="23">
        <f t="shared" si="204"/>
        <v>0.16973419354838709</v>
      </c>
      <c r="Z692" s="23">
        <f t="shared" si="188"/>
        <v>1001.4317419354838</v>
      </c>
      <c r="AA692" s="11">
        <f t="shared" si="189"/>
        <v>2.6171331834295213</v>
      </c>
      <c r="AB692" s="11">
        <f t="shared" si="190"/>
        <v>15441.085782234175</v>
      </c>
    </row>
    <row r="693" spans="1:28" ht="17.25" customHeight="1" x14ac:dyDescent="0.2">
      <c r="A693" t="s">
        <v>8</v>
      </c>
      <c r="B693" s="20">
        <v>1521</v>
      </c>
      <c r="C693" s="20">
        <v>157</v>
      </c>
      <c r="D693" s="20">
        <v>67</v>
      </c>
      <c r="E693" t="s">
        <v>75</v>
      </c>
      <c r="F693" s="26">
        <v>45191</v>
      </c>
      <c r="G693" t="s">
        <v>79</v>
      </c>
      <c r="H693" s="5">
        <v>35.380000000000003</v>
      </c>
      <c r="I693" s="5">
        <v>26.04</v>
      </c>
      <c r="J693" s="5">
        <v>23.78</v>
      </c>
      <c r="K693" s="5">
        <v>1.75</v>
      </c>
      <c r="L693" s="5">
        <v>0.17</v>
      </c>
      <c r="M693" s="3">
        <f t="shared" si="187"/>
        <v>170</v>
      </c>
      <c r="N693" s="5">
        <v>2.78</v>
      </c>
      <c r="O693" s="23">
        <f t="shared" si="198"/>
        <v>2.7799999999999999E-3</v>
      </c>
      <c r="P693" s="23">
        <f t="shared" si="199"/>
        <v>5.0040000000000001E-2</v>
      </c>
      <c r="Q693" s="7">
        <f t="shared" si="200"/>
        <v>5.0040000000000002E-5</v>
      </c>
      <c r="R693" s="23">
        <f t="shared" si="201"/>
        <v>0.180144</v>
      </c>
      <c r="S693" s="5">
        <v>2.02</v>
      </c>
      <c r="T693" s="5">
        <v>0.35</v>
      </c>
      <c r="U693" s="3">
        <f t="shared" si="202"/>
        <v>3500</v>
      </c>
      <c r="V693" s="8">
        <v>-0.57999999999999996</v>
      </c>
      <c r="W693" s="8">
        <v>-2.08</v>
      </c>
      <c r="X693" s="5">
        <f t="shared" si="203"/>
        <v>1.5</v>
      </c>
      <c r="Y693" s="23">
        <f t="shared" si="204"/>
        <v>0.12009599999999999</v>
      </c>
      <c r="Z693" s="23">
        <f t="shared" si="188"/>
        <v>420.33599999999996</v>
      </c>
      <c r="AA693" s="11">
        <f t="shared" si="189"/>
        <v>1.8517613936613806</v>
      </c>
      <c r="AB693" s="11">
        <f t="shared" si="190"/>
        <v>6481.1648778148319</v>
      </c>
    </row>
    <row r="694" spans="1:28" ht="17.25" customHeight="1" x14ac:dyDescent="0.2">
      <c r="A694" t="s">
        <v>8</v>
      </c>
      <c r="B694" s="20">
        <v>1521</v>
      </c>
      <c r="C694" s="20">
        <v>157</v>
      </c>
      <c r="D694" s="20">
        <v>68</v>
      </c>
      <c r="E694" t="s">
        <v>75</v>
      </c>
      <c r="F694" s="26">
        <v>45191</v>
      </c>
      <c r="G694" t="s">
        <v>79</v>
      </c>
      <c r="H694" s="5">
        <v>34.49</v>
      </c>
      <c r="I694" s="5">
        <v>25.78</v>
      </c>
      <c r="J694" s="5">
        <v>23.01</v>
      </c>
      <c r="K694" s="5">
        <v>1.67</v>
      </c>
      <c r="L694" s="5">
        <v>0.18</v>
      </c>
      <c r="M694" s="3">
        <f t="shared" si="187"/>
        <v>180</v>
      </c>
      <c r="N694" s="5">
        <v>2.82</v>
      </c>
      <c r="O694" s="23">
        <f t="shared" si="198"/>
        <v>2.82E-3</v>
      </c>
      <c r="P694" s="23">
        <f t="shared" si="199"/>
        <v>5.076E-2</v>
      </c>
      <c r="Q694" s="7">
        <f t="shared" si="200"/>
        <v>5.0760000000000002E-5</v>
      </c>
      <c r="R694" s="23">
        <f t="shared" si="201"/>
        <v>0.18273600000000001</v>
      </c>
      <c r="S694" s="5">
        <v>2.2400000000000002</v>
      </c>
      <c r="T694" s="5">
        <v>0.41</v>
      </c>
      <c r="U694" s="3">
        <f t="shared" si="202"/>
        <v>4100</v>
      </c>
      <c r="V694" s="8">
        <v>-0.71</v>
      </c>
      <c r="W694" s="8">
        <v>-2.42</v>
      </c>
      <c r="X694" s="5">
        <f t="shared" si="203"/>
        <v>1.71</v>
      </c>
      <c r="Y694" s="23">
        <f t="shared" si="204"/>
        <v>0.10686315789473685</v>
      </c>
      <c r="Z694" s="23">
        <f t="shared" si="188"/>
        <v>438.1389473684211</v>
      </c>
      <c r="AA694" s="11">
        <f t="shared" si="189"/>
        <v>1.6477240723605624</v>
      </c>
      <c r="AB694" s="11">
        <f t="shared" si="190"/>
        <v>6755.6686966783054</v>
      </c>
    </row>
    <row r="695" spans="1:28" ht="17.25" customHeight="1" x14ac:dyDescent="0.2">
      <c r="A695" t="s">
        <v>8</v>
      </c>
      <c r="B695" s="20">
        <v>1521</v>
      </c>
      <c r="C695" s="20">
        <v>157</v>
      </c>
      <c r="D695" s="20">
        <v>72</v>
      </c>
      <c r="E695" t="s">
        <v>75</v>
      </c>
      <c r="F695" s="26">
        <v>45190</v>
      </c>
      <c r="G695" t="s">
        <v>79</v>
      </c>
      <c r="H695" s="5">
        <v>21.2</v>
      </c>
      <c r="I695" s="5">
        <v>28.81</v>
      </c>
      <c r="J695" s="5">
        <v>26.88</v>
      </c>
      <c r="K695" s="5">
        <v>2.7</v>
      </c>
      <c r="L695" s="5">
        <v>0.16</v>
      </c>
      <c r="M695" s="3">
        <f t="shared" si="187"/>
        <v>160</v>
      </c>
      <c r="N695" s="5">
        <v>4.2</v>
      </c>
      <c r="O695" s="23">
        <f t="shared" si="198"/>
        <v>4.2000000000000006E-3</v>
      </c>
      <c r="P695" s="23">
        <f t="shared" si="199"/>
        <v>7.5600000000000014E-2</v>
      </c>
      <c r="Q695" s="7">
        <f t="shared" si="200"/>
        <v>7.5600000000000008E-5</v>
      </c>
      <c r="R695" s="23">
        <f t="shared" si="201"/>
        <v>0.27216000000000001</v>
      </c>
      <c r="S695" s="5">
        <v>2.52</v>
      </c>
      <c r="T695" s="5">
        <v>0.46</v>
      </c>
      <c r="U695" s="3">
        <f t="shared" si="202"/>
        <v>4600</v>
      </c>
      <c r="V695" s="8">
        <v>-0.59</v>
      </c>
      <c r="W695" s="8">
        <v>-1.78</v>
      </c>
      <c r="X695" s="5">
        <f t="shared" si="203"/>
        <v>1.19</v>
      </c>
      <c r="Y695" s="23">
        <f t="shared" si="204"/>
        <v>0.2287058823529412</v>
      </c>
      <c r="Z695" s="23">
        <f t="shared" si="188"/>
        <v>1052.0470588235296</v>
      </c>
      <c r="AA695" s="11">
        <f t="shared" si="189"/>
        <v>3.5264182274550211</v>
      </c>
      <c r="AB695" s="11">
        <f t="shared" si="190"/>
        <v>16221.523846293097</v>
      </c>
    </row>
    <row r="696" spans="1:28" ht="17.25" customHeight="1" x14ac:dyDescent="0.2">
      <c r="A696" t="s">
        <v>8</v>
      </c>
      <c r="B696" s="20">
        <v>1521</v>
      </c>
      <c r="C696" s="20">
        <v>158</v>
      </c>
      <c r="D696" s="20">
        <v>70</v>
      </c>
      <c r="E696" t="s">
        <v>75</v>
      </c>
      <c r="F696" s="26">
        <v>45191</v>
      </c>
      <c r="G696" t="s">
        <v>79</v>
      </c>
      <c r="H696" s="5">
        <v>21.73</v>
      </c>
      <c r="I696" s="5">
        <v>32.11</v>
      </c>
      <c r="J696" s="5">
        <v>30.66</v>
      </c>
      <c r="K696" s="5">
        <v>3.37</v>
      </c>
      <c r="L696" s="5">
        <v>0.19</v>
      </c>
      <c r="M696" s="3">
        <f t="shared" si="187"/>
        <v>190</v>
      </c>
      <c r="N696" s="5">
        <v>5.98</v>
      </c>
      <c r="O696" s="23">
        <f t="shared" si="198"/>
        <v>5.9800000000000001E-3</v>
      </c>
      <c r="P696" s="23">
        <f t="shared" si="199"/>
        <v>0.10764</v>
      </c>
      <c r="Q696" s="7">
        <f t="shared" si="200"/>
        <v>1.0764000000000001E-4</v>
      </c>
      <c r="R696" s="23">
        <f t="shared" si="201"/>
        <v>0.38750400000000002</v>
      </c>
      <c r="S696" s="5">
        <v>1.21</v>
      </c>
      <c r="T696" s="5">
        <v>0.27</v>
      </c>
      <c r="U696" s="3">
        <f t="shared" si="202"/>
        <v>2700</v>
      </c>
      <c r="V696" s="8">
        <v>-0.41</v>
      </c>
      <c r="W696" s="8">
        <v>-1.93</v>
      </c>
      <c r="X696" s="5">
        <f t="shared" si="203"/>
        <v>1.52</v>
      </c>
      <c r="Y696" s="23">
        <f t="shared" si="204"/>
        <v>0.25493684210526318</v>
      </c>
      <c r="Z696" s="23">
        <f t="shared" si="188"/>
        <v>688.3294736842106</v>
      </c>
      <c r="AA696" s="11">
        <f t="shared" si="189"/>
        <v>3.930873651349533</v>
      </c>
      <c r="AB696" s="11">
        <f t="shared" si="190"/>
        <v>10613.35885864374</v>
      </c>
    </row>
    <row r="697" spans="1:28" ht="17.25" customHeight="1" x14ac:dyDescent="0.2">
      <c r="A697" t="s">
        <v>8</v>
      </c>
      <c r="B697" s="20">
        <v>1521</v>
      </c>
      <c r="C697" s="20">
        <v>158</v>
      </c>
      <c r="D697" s="20">
        <v>73</v>
      </c>
      <c r="E697" t="s">
        <v>75</v>
      </c>
      <c r="F697" s="26">
        <v>45191</v>
      </c>
      <c r="G697" t="s">
        <v>79</v>
      </c>
      <c r="H697" s="5">
        <v>31.33</v>
      </c>
      <c r="I697" s="5">
        <v>28.7</v>
      </c>
      <c r="J697" s="5">
        <v>26.73</v>
      </c>
      <c r="K697" s="5">
        <v>2.2799999999999998</v>
      </c>
      <c r="L697" s="5">
        <v>0.23</v>
      </c>
      <c r="M697" s="3">
        <f t="shared" si="187"/>
        <v>230</v>
      </c>
      <c r="N697" s="5">
        <v>4.96</v>
      </c>
      <c r="O697" s="23">
        <f t="shared" si="198"/>
        <v>4.96E-3</v>
      </c>
      <c r="P697" s="23">
        <f t="shared" si="199"/>
        <v>8.9279999999999998E-2</v>
      </c>
      <c r="Q697" s="7">
        <f t="shared" si="200"/>
        <v>8.9279999999999999E-5</v>
      </c>
      <c r="R697" s="23">
        <f t="shared" si="201"/>
        <v>0.32140799999999997</v>
      </c>
      <c r="S697" s="5">
        <v>0.73</v>
      </c>
      <c r="T697" s="5">
        <v>0.16</v>
      </c>
      <c r="U697" s="3">
        <f t="shared" si="202"/>
        <v>1600</v>
      </c>
      <c r="V697" s="8">
        <v>-0.43</v>
      </c>
      <c r="W697" s="8">
        <v>-2.04</v>
      </c>
      <c r="X697" s="5">
        <f t="shared" si="203"/>
        <v>1.61</v>
      </c>
      <c r="Y697" s="23">
        <f t="shared" si="204"/>
        <v>0.19963229813664593</v>
      </c>
      <c r="Z697" s="23">
        <f t="shared" si="188"/>
        <v>319.4116770186335</v>
      </c>
      <c r="AA697" s="11">
        <f t="shared" si="189"/>
        <v>3.0781323492650863</v>
      </c>
      <c r="AB697" s="11">
        <f t="shared" si="190"/>
        <v>4925.0117588241383</v>
      </c>
    </row>
    <row r="698" spans="1:28" ht="17.25" customHeight="1" x14ac:dyDescent="0.2">
      <c r="A698" t="s">
        <v>8</v>
      </c>
      <c r="B698" s="20">
        <v>1521</v>
      </c>
      <c r="C698" s="20">
        <v>158</v>
      </c>
      <c r="D698" s="20">
        <v>81</v>
      </c>
      <c r="E698" t="s">
        <v>75</v>
      </c>
      <c r="F698" s="26">
        <v>45191</v>
      </c>
      <c r="G698" t="s">
        <v>79</v>
      </c>
      <c r="H698" s="5">
        <v>23.78</v>
      </c>
      <c r="I698" s="5">
        <v>32.57</v>
      </c>
      <c r="J698" s="5">
        <v>31.46</v>
      </c>
      <c r="K698" s="5">
        <v>3.45</v>
      </c>
      <c r="L698" s="5">
        <v>0.11</v>
      </c>
      <c r="M698" s="3">
        <f t="shared" si="187"/>
        <v>110</v>
      </c>
      <c r="N698" s="5">
        <v>3.55</v>
      </c>
      <c r="O698" s="23">
        <f t="shared" si="198"/>
        <v>3.5499999999999998E-3</v>
      </c>
      <c r="P698" s="23">
        <f t="shared" si="199"/>
        <v>6.3899999999999998E-2</v>
      </c>
      <c r="Q698" s="7">
        <f t="shared" si="200"/>
        <v>6.3899999999999995E-5</v>
      </c>
      <c r="R698" s="23">
        <f t="shared" si="201"/>
        <v>0.23003999999999999</v>
      </c>
      <c r="S698" s="5">
        <v>0.69</v>
      </c>
      <c r="T698" s="5">
        <v>0.22</v>
      </c>
      <c r="U698" s="3">
        <f t="shared" si="202"/>
        <v>2200</v>
      </c>
      <c r="V698" s="8">
        <v>-0.4</v>
      </c>
      <c r="W698" s="8">
        <v>-1.77</v>
      </c>
      <c r="X698" s="5">
        <f t="shared" si="203"/>
        <v>1.37</v>
      </c>
      <c r="Y698" s="23">
        <f t="shared" si="204"/>
        <v>0.16791240875912408</v>
      </c>
      <c r="Z698" s="23">
        <f t="shared" si="188"/>
        <v>369.407299270073</v>
      </c>
      <c r="AA698" s="11">
        <f t="shared" si="189"/>
        <v>2.5890430660208086</v>
      </c>
      <c r="AB698" s="11">
        <f t="shared" si="190"/>
        <v>5695.8947452457787</v>
      </c>
    </row>
    <row r="699" spans="1:28" ht="17.25" customHeight="1" x14ac:dyDescent="0.2">
      <c r="A699" t="s">
        <v>9</v>
      </c>
      <c r="B699" s="20">
        <v>666</v>
      </c>
      <c r="C699" s="20">
        <v>101</v>
      </c>
      <c r="D699" s="20">
        <v>1</v>
      </c>
      <c r="E699" t="s">
        <v>75</v>
      </c>
      <c r="F699" s="26">
        <v>45190</v>
      </c>
      <c r="G699" t="s">
        <v>79</v>
      </c>
      <c r="H699" s="5">
        <v>18.98</v>
      </c>
      <c r="I699" s="5">
        <v>32.4</v>
      </c>
      <c r="J699" s="5">
        <v>30.33</v>
      </c>
      <c r="K699" s="5">
        <v>3.41</v>
      </c>
      <c r="L699" s="5">
        <v>0.22</v>
      </c>
      <c r="M699" s="3">
        <f t="shared" si="187"/>
        <v>220</v>
      </c>
      <c r="N699" s="5">
        <v>6.98</v>
      </c>
      <c r="O699" s="23">
        <f t="shared" si="198"/>
        <v>6.9800000000000001E-3</v>
      </c>
      <c r="P699" s="23">
        <f t="shared" si="199"/>
        <v>0.12564</v>
      </c>
      <c r="Q699" s="7">
        <f t="shared" si="200"/>
        <v>1.2564E-4</v>
      </c>
      <c r="R699" s="23">
        <f t="shared" si="201"/>
        <v>0.45230399999999998</v>
      </c>
      <c r="S699" s="5">
        <v>5.48</v>
      </c>
      <c r="T699" s="5">
        <v>0.73</v>
      </c>
      <c r="U699" s="3">
        <f t="shared" si="202"/>
        <v>7300</v>
      </c>
      <c r="V699" s="8">
        <v>-0.39</v>
      </c>
      <c r="W699" s="8">
        <v>-2.34</v>
      </c>
      <c r="X699" s="5">
        <f t="shared" si="203"/>
        <v>1.9499999999999997</v>
      </c>
      <c r="Y699" s="23">
        <f t="shared" si="204"/>
        <v>0.23195076923076927</v>
      </c>
      <c r="Z699" s="23">
        <f t="shared" si="188"/>
        <v>1693.2406153846157</v>
      </c>
      <c r="AA699" s="11">
        <f t="shared" si="189"/>
        <v>3.5764511698274597</v>
      </c>
      <c r="AB699" s="11">
        <f t="shared" si="190"/>
        <v>26108.093539740457</v>
      </c>
    </row>
    <row r="700" spans="1:28" ht="17.25" customHeight="1" x14ac:dyDescent="0.2">
      <c r="A700" t="s">
        <v>9</v>
      </c>
      <c r="B700" s="20">
        <v>666</v>
      </c>
      <c r="C700" s="20">
        <v>101</v>
      </c>
      <c r="D700" s="20">
        <v>2</v>
      </c>
      <c r="E700" t="s">
        <v>75</v>
      </c>
      <c r="F700" s="26">
        <v>45190</v>
      </c>
      <c r="G700" t="s">
        <v>79</v>
      </c>
      <c r="H700" s="5">
        <v>17.55</v>
      </c>
      <c r="I700" s="5">
        <v>31.54</v>
      </c>
      <c r="J700" s="5">
        <v>30.56</v>
      </c>
      <c r="K700" s="5">
        <v>3.58</v>
      </c>
      <c r="L700" s="5">
        <v>0.13</v>
      </c>
      <c r="M700" s="3">
        <f t="shared" si="187"/>
        <v>130</v>
      </c>
      <c r="N700" s="5">
        <v>4.3099999999999996</v>
      </c>
      <c r="O700" s="23">
        <f t="shared" si="198"/>
        <v>4.3099999999999996E-3</v>
      </c>
      <c r="P700" s="23">
        <f t="shared" si="199"/>
        <v>7.7579999999999996E-2</v>
      </c>
      <c r="Q700" s="7">
        <f t="shared" si="200"/>
        <v>7.7579999999999999E-5</v>
      </c>
      <c r="R700" s="23">
        <f t="shared" si="201"/>
        <v>0.27928799999999998</v>
      </c>
      <c r="S700" s="5">
        <v>4.08</v>
      </c>
      <c r="T700" s="5">
        <v>0.49</v>
      </c>
      <c r="U700" s="3">
        <f t="shared" si="202"/>
        <v>4900</v>
      </c>
      <c r="V700" s="8">
        <v>-0.32</v>
      </c>
      <c r="W700" s="8">
        <v>-2.02</v>
      </c>
      <c r="X700" s="5">
        <f t="shared" si="203"/>
        <v>1.7</v>
      </c>
      <c r="Y700" s="23">
        <f t="shared" si="204"/>
        <v>0.1642870588235294</v>
      </c>
      <c r="Z700" s="23">
        <f t="shared" si="188"/>
        <v>805.00658823529409</v>
      </c>
      <c r="AA700" s="11">
        <f t="shared" si="189"/>
        <v>2.5331437600551894</v>
      </c>
      <c r="AB700" s="11">
        <f t="shared" si="190"/>
        <v>12412.404424270428</v>
      </c>
    </row>
    <row r="701" spans="1:28" ht="17.25" customHeight="1" x14ac:dyDescent="0.2">
      <c r="A701" t="s">
        <v>9</v>
      </c>
      <c r="B701" s="20">
        <v>666</v>
      </c>
      <c r="C701" s="20">
        <v>101</v>
      </c>
      <c r="D701" s="20">
        <v>3</v>
      </c>
      <c r="E701" t="s">
        <v>75</v>
      </c>
      <c r="F701" s="26">
        <v>45190</v>
      </c>
      <c r="G701" t="s">
        <v>79</v>
      </c>
      <c r="H701" s="5">
        <v>17.03</v>
      </c>
      <c r="I701" s="5">
        <v>31.44</v>
      </c>
      <c r="J701" s="5">
        <v>29.11</v>
      </c>
      <c r="K701" s="5">
        <v>3.26</v>
      </c>
      <c r="L701" s="5">
        <v>0.15</v>
      </c>
      <c r="M701" s="3">
        <f t="shared" si="187"/>
        <v>150</v>
      </c>
      <c r="N701" s="5">
        <v>4.46</v>
      </c>
      <c r="O701" s="23">
        <f t="shared" ref="O701:O732" si="205">N701/1000</f>
        <v>4.4599999999999996E-3</v>
      </c>
      <c r="P701" s="23">
        <f t="shared" ref="P701:P732" si="206">O701*18</f>
        <v>8.027999999999999E-2</v>
      </c>
      <c r="Q701" s="7">
        <f t="shared" ref="Q701:Q732" si="207">P701/1000</f>
        <v>8.0279999999999984E-5</v>
      </c>
      <c r="R701" s="23">
        <f t="shared" ref="R701:R732" si="208">Q701*3600</f>
        <v>0.28900799999999993</v>
      </c>
      <c r="S701" s="5">
        <v>6.39</v>
      </c>
      <c r="T701" s="5">
        <v>0.75</v>
      </c>
      <c r="U701" s="3">
        <f t="shared" ref="U701:U732" si="209">T701*10000</f>
        <v>7500</v>
      </c>
      <c r="V701" s="8">
        <v>-0.49</v>
      </c>
      <c r="W701" s="8">
        <v>-2.02</v>
      </c>
      <c r="X701" s="5">
        <f t="shared" ref="X701:X732" si="210">V701-W701</f>
        <v>1.53</v>
      </c>
      <c r="Y701" s="23">
        <f t="shared" ref="Y701:Y732" si="211">R701/X701</f>
        <v>0.18889411764705877</v>
      </c>
      <c r="Z701" s="23">
        <f t="shared" si="188"/>
        <v>1416.7058823529408</v>
      </c>
      <c r="AA701" s="11">
        <f t="shared" si="189"/>
        <v>2.9125602397128492</v>
      </c>
      <c r="AB701" s="11">
        <f t="shared" si="190"/>
        <v>21844.20179784637</v>
      </c>
    </row>
    <row r="702" spans="1:28" ht="17.25" customHeight="1" x14ac:dyDescent="0.2">
      <c r="A702" t="s">
        <v>9</v>
      </c>
      <c r="B702" s="20">
        <v>666</v>
      </c>
      <c r="C702" s="20">
        <v>105</v>
      </c>
      <c r="D702" s="20">
        <v>7</v>
      </c>
      <c r="E702" t="s">
        <v>75</v>
      </c>
      <c r="F702" s="26">
        <v>45190</v>
      </c>
      <c r="G702" t="s">
        <v>79</v>
      </c>
      <c r="H702" s="5">
        <v>19.510000000000002</v>
      </c>
      <c r="I702" s="5">
        <v>29.86</v>
      </c>
      <c r="J702" s="5">
        <v>27.07</v>
      </c>
      <c r="K702" s="5">
        <v>2.76</v>
      </c>
      <c r="L702" s="5">
        <v>0.15</v>
      </c>
      <c r="M702" s="3">
        <f t="shared" si="187"/>
        <v>150</v>
      </c>
      <c r="N702" s="5">
        <v>3.94</v>
      </c>
      <c r="O702" s="23">
        <f t="shared" si="205"/>
        <v>3.9399999999999999E-3</v>
      </c>
      <c r="P702" s="23">
        <f t="shared" si="206"/>
        <v>7.0919999999999997E-2</v>
      </c>
      <c r="Q702" s="7">
        <f t="shared" si="207"/>
        <v>7.0919999999999992E-5</v>
      </c>
      <c r="R702" s="23">
        <f t="shared" si="208"/>
        <v>0.25531199999999998</v>
      </c>
      <c r="S702" s="5">
        <v>3.32</v>
      </c>
      <c r="T702" s="5">
        <v>0.56000000000000005</v>
      </c>
      <c r="U702" s="5">
        <f t="shared" si="209"/>
        <v>5600.0000000000009</v>
      </c>
      <c r="V702" s="8">
        <v>-0.15</v>
      </c>
      <c r="W702" s="8">
        <v>-1.69</v>
      </c>
      <c r="X702" s="5">
        <f t="shared" si="210"/>
        <v>1.54</v>
      </c>
      <c r="Y702" s="23">
        <f t="shared" si="211"/>
        <v>0.16578701298701298</v>
      </c>
      <c r="Z702" s="23">
        <f t="shared" si="188"/>
        <v>928.40727272727281</v>
      </c>
      <c r="AA702" s="11">
        <f t="shared" si="189"/>
        <v>2.5562715679105765</v>
      </c>
      <c r="AB702" s="11">
        <f t="shared" si="190"/>
        <v>14315.12078029923</v>
      </c>
    </row>
    <row r="703" spans="1:28" ht="17.25" customHeight="1" x14ac:dyDescent="0.2">
      <c r="A703" t="s">
        <v>9</v>
      </c>
      <c r="B703" s="20">
        <v>666</v>
      </c>
      <c r="C703" s="20">
        <v>105</v>
      </c>
      <c r="D703" s="20">
        <v>8</v>
      </c>
      <c r="E703" t="s">
        <v>75</v>
      </c>
      <c r="F703" s="26">
        <v>45190</v>
      </c>
      <c r="G703" t="s">
        <v>79</v>
      </c>
      <c r="H703" s="5">
        <v>20.91</v>
      </c>
      <c r="I703" s="5">
        <v>28.94</v>
      </c>
      <c r="J703" s="5">
        <v>25.62</v>
      </c>
      <c r="K703" s="5">
        <v>2.4500000000000002</v>
      </c>
      <c r="L703" s="5">
        <v>0.33</v>
      </c>
      <c r="M703" s="3">
        <f t="shared" si="187"/>
        <v>330</v>
      </c>
      <c r="N703" s="5">
        <v>7.61</v>
      </c>
      <c r="O703" s="23">
        <f t="shared" si="205"/>
        <v>7.6100000000000004E-3</v>
      </c>
      <c r="P703" s="23">
        <f t="shared" si="206"/>
        <v>0.13698000000000002</v>
      </c>
      <c r="Q703" s="7">
        <f t="shared" si="207"/>
        <v>1.3698000000000001E-4</v>
      </c>
      <c r="R703" s="23">
        <f t="shared" si="208"/>
        <v>0.49312800000000001</v>
      </c>
      <c r="S703" s="5">
        <v>1.18</v>
      </c>
      <c r="T703" s="5">
        <v>0.18</v>
      </c>
      <c r="U703" s="3">
        <f t="shared" si="209"/>
        <v>1800</v>
      </c>
      <c r="V703" s="8">
        <v>-0.52</v>
      </c>
      <c r="W703" s="8">
        <v>-1.94</v>
      </c>
      <c r="X703" s="5">
        <f t="shared" si="210"/>
        <v>1.42</v>
      </c>
      <c r="Y703" s="23">
        <f t="shared" si="211"/>
        <v>0.34727323943661975</v>
      </c>
      <c r="Z703" s="23">
        <f t="shared" si="188"/>
        <v>625.09183098591552</v>
      </c>
      <c r="AA703" s="11">
        <f t="shared" si="189"/>
        <v>5.3546094611015969</v>
      </c>
      <c r="AB703" s="11">
        <f t="shared" si="190"/>
        <v>9638.2970299828739</v>
      </c>
    </row>
    <row r="704" spans="1:28" ht="17.25" customHeight="1" x14ac:dyDescent="0.2">
      <c r="A704" t="s">
        <v>9</v>
      </c>
      <c r="B704" s="20">
        <v>666</v>
      </c>
      <c r="C704" s="20">
        <v>105</v>
      </c>
      <c r="D704" s="20">
        <v>9</v>
      </c>
      <c r="E704" t="s">
        <v>75</v>
      </c>
      <c r="F704" s="26">
        <v>45191</v>
      </c>
      <c r="G704" t="s">
        <v>79</v>
      </c>
      <c r="H704" s="5">
        <v>34.71</v>
      </c>
      <c r="I704" s="5">
        <v>26.58</v>
      </c>
      <c r="J704" s="5">
        <v>24.81</v>
      </c>
      <c r="K704" s="5">
        <v>1.93</v>
      </c>
      <c r="L704" s="5">
        <v>0.25</v>
      </c>
      <c r="M704" s="3">
        <f t="shared" si="187"/>
        <v>250</v>
      </c>
      <c r="N704" s="5">
        <v>4.5199999999999996</v>
      </c>
      <c r="O704" s="23">
        <f t="shared" si="205"/>
        <v>4.5199999999999997E-3</v>
      </c>
      <c r="P704" s="23">
        <f t="shared" si="206"/>
        <v>8.1359999999999988E-2</v>
      </c>
      <c r="Q704" s="7">
        <f t="shared" si="207"/>
        <v>8.1359999999999994E-5</v>
      </c>
      <c r="R704" s="23">
        <f t="shared" si="208"/>
        <v>0.29289599999999999</v>
      </c>
      <c r="S704" s="5">
        <v>4.63</v>
      </c>
      <c r="T704" s="5">
        <v>0.75</v>
      </c>
      <c r="U704" s="3">
        <f t="shared" si="209"/>
        <v>7500</v>
      </c>
      <c r="V704" s="8">
        <v>-0.21</v>
      </c>
      <c r="W704" s="8">
        <v>-1.89</v>
      </c>
      <c r="X704" s="5">
        <f t="shared" si="210"/>
        <v>1.68</v>
      </c>
      <c r="Y704" s="23">
        <f t="shared" si="211"/>
        <v>0.17434285714285713</v>
      </c>
      <c r="Z704" s="23">
        <f t="shared" si="188"/>
        <v>1307.5714285714284</v>
      </c>
      <c r="AA704" s="11">
        <f t="shared" si="189"/>
        <v>2.6881942122782121</v>
      </c>
      <c r="AB704" s="11">
        <f t="shared" si="190"/>
        <v>20161.45659208659</v>
      </c>
    </row>
    <row r="705" spans="1:28" ht="17.25" customHeight="1" x14ac:dyDescent="0.2">
      <c r="A705" t="s">
        <v>9</v>
      </c>
      <c r="B705" s="20">
        <v>666</v>
      </c>
      <c r="C705" s="20">
        <v>118</v>
      </c>
      <c r="D705" s="20">
        <v>10</v>
      </c>
      <c r="E705" t="s">
        <v>75</v>
      </c>
      <c r="F705" s="26">
        <v>45191</v>
      </c>
      <c r="G705" t="s">
        <v>79</v>
      </c>
      <c r="H705" s="5">
        <v>21.96</v>
      </c>
      <c r="I705" s="5">
        <v>32.299999999999997</v>
      </c>
      <c r="J705" s="5">
        <v>28.86</v>
      </c>
      <c r="K705" s="5">
        <v>2.92</v>
      </c>
      <c r="L705" s="5">
        <v>0.16</v>
      </c>
      <c r="M705" s="3">
        <f t="shared" si="187"/>
        <v>160</v>
      </c>
      <c r="N705" s="5">
        <v>4.4000000000000004</v>
      </c>
      <c r="O705" s="23">
        <f t="shared" si="205"/>
        <v>4.4000000000000003E-3</v>
      </c>
      <c r="P705" s="23">
        <f t="shared" si="206"/>
        <v>7.9200000000000007E-2</v>
      </c>
      <c r="Q705" s="7">
        <f t="shared" si="207"/>
        <v>7.9200000000000001E-5</v>
      </c>
      <c r="R705" s="23">
        <f t="shared" si="208"/>
        <v>0.28511999999999998</v>
      </c>
      <c r="S705" s="5">
        <v>10.06</v>
      </c>
      <c r="T705" s="5">
        <v>1.55</v>
      </c>
      <c r="U705" s="3">
        <f t="shared" si="209"/>
        <v>15500</v>
      </c>
      <c r="V705" s="8">
        <v>-0.67</v>
      </c>
      <c r="W705" s="8">
        <v>-1.98</v>
      </c>
      <c r="X705" s="5">
        <f t="shared" si="210"/>
        <v>1.31</v>
      </c>
      <c r="Y705" s="23">
        <f t="shared" si="211"/>
        <v>0.21764885496183203</v>
      </c>
      <c r="Z705" s="23">
        <f t="shared" si="188"/>
        <v>3373.5572519083967</v>
      </c>
      <c r="AA705" s="11">
        <f t="shared" si="189"/>
        <v>3.3559298144228431</v>
      </c>
      <c r="AB705" s="11">
        <f t="shared" si="190"/>
        <v>52016.912123554066</v>
      </c>
    </row>
    <row r="706" spans="1:28" ht="17.25" customHeight="1" x14ac:dyDescent="0.2">
      <c r="A706" t="s">
        <v>9</v>
      </c>
      <c r="B706" s="20">
        <v>666</v>
      </c>
      <c r="C706" s="20">
        <v>118</v>
      </c>
      <c r="D706" s="20">
        <v>11</v>
      </c>
      <c r="E706" t="s">
        <v>75</v>
      </c>
      <c r="F706" s="26">
        <v>45191</v>
      </c>
      <c r="G706" t="s">
        <v>79</v>
      </c>
      <c r="H706" s="5">
        <v>32.659999999999997</v>
      </c>
      <c r="I706" s="5">
        <v>28.06</v>
      </c>
      <c r="J706" s="5">
        <v>26.09</v>
      </c>
      <c r="K706" s="5">
        <v>2.14</v>
      </c>
      <c r="L706" s="5">
        <v>0.17</v>
      </c>
      <c r="M706" s="3">
        <f t="shared" si="187"/>
        <v>170</v>
      </c>
      <c r="N706" s="5">
        <v>3.5</v>
      </c>
      <c r="O706" s="23">
        <f t="shared" si="205"/>
        <v>3.5000000000000001E-3</v>
      </c>
      <c r="P706" s="23">
        <f t="shared" si="206"/>
        <v>6.3E-2</v>
      </c>
      <c r="Q706" s="7">
        <f t="shared" si="207"/>
        <v>6.3E-5</v>
      </c>
      <c r="R706" s="23">
        <f t="shared" si="208"/>
        <v>0.2268</v>
      </c>
      <c r="S706" s="5">
        <v>2.44</v>
      </c>
      <c r="T706" s="5">
        <v>0.45</v>
      </c>
      <c r="U706" s="3">
        <f t="shared" si="209"/>
        <v>4500</v>
      </c>
      <c r="V706" s="8">
        <v>-0.62</v>
      </c>
      <c r="W706" s="8">
        <v>-2.21</v>
      </c>
      <c r="X706" s="5">
        <f t="shared" si="210"/>
        <v>1.5899999999999999</v>
      </c>
      <c r="Y706" s="23">
        <f t="shared" si="211"/>
        <v>0.14264150943396228</v>
      </c>
      <c r="Z706" s="23">
        <f t="shared" si="188"/>
        <v>641.88679245283026</v>
      </c>
      <c r="AA706" s="11">
        <f t="shared" si="189"/>
        <v>2.1993908232030792</v>
      </c>
      <c r="AB706" s="11">
        <f t="shared" si="190"/>
        <v>9897.2587044138563</v>
      </c>
    </row>
    <row r="707" spans="1:28" ht="17.25" customHeight="1" x14ac:dyDescent="0.2">
      <c r="A707" t="s">
        <v>9</v>
      </c>
      <c r="B707" s="20">
        <v>666</v>
      </c>
      <c r="C707" s="20">
        <v>118</v>
      </c>
      <c r="D707" s="20">
        <v>12</v>
      </c>
      <c r="E707" t="s">
        <v>75</v>
      </c>
      <c r="F707" s="26">
        <v>45190</v>
      </c>
      <c r="G707" t="s">
        <v>79</v>
      </c>
      <c r="H707" s="5">
        <v>19.39</v>
      </c>
      <c r="I707" s="5">
        <v>30.45</v>
      </c>
      <c r="J707" s="5">
        <v>28.8</v>
      </c>
      <c r="K707" s="5">
        <v>3.13</v>
      </c>
      <c r="L707" s="5">
        <v>0.14000000000000001</v>
      </c>
      <c r="M707" s="3">
        <f t="shared" ref="M707:M770" si="212">L707*1000</f>
        <v>140</v>
      </c>
      <c r="N707" s="5">
        <v>3.93</v>
      </c>
      <c r="O707" s="23">
        <f t="shared" si="205"/>
        <v>3.9300000000000003E-3</v>
      </c>
      <c r="P707" s="23">
        <f t="shared" si="206"/>
        <v>7.0740000000000011E-2</v>
      </c>
      <c r="Q707" s="7">
        <f t="shared" si="207"/>
        <v>7.0740000000000017E-5</v>
      </c>
      <c r="R707" s="23">
        <f t="shared" si="208"/>
        <v>0.25466400000000006</v>
      </c>
      <c r="S707" s="5">
        <v>1.93</v>
      </c>
      <c r="T707" s="5">
        <v>0.33</v>
      </c>
      <c r="U707" s="3">
        <f t="shared" si="209"/>
        <v>3300</v>
      </c>
      <c r="V707" s="8">
        <v>-0.21</v>
      </c>
      <c r="W707" s="8">
        <v>-2.1800000000000002</v>
      </c>
      <c r="X707" s="5">
        <f t="shared" si="210"/>
        <v>1.9700000000000002</v>
      </c>
      <c r="Y707" s="23">
        <f t="shared" si="211"/>
        <v>0.12927106598984772</v>
      </c>
      <c r="Z707" s="23">
        <f t="shared" ref="Z707:Z770" si="213">Y707*U707</f>
        <v>426.59451776649746</v>
      </c>
      <c r="AA707" s="11">
        <f t="shared" ref="AA707:AA770" si="214">Y707 * 1000 * 1000 / 18.01528 / 3600</f>
        <v>1.9932318255183583</v>
      </c>
      <c r="AB707" s="11">
        <f t="shared" ref="AB707:AB770" si="215">AA707*U707</f>
        <v>6577.6650242105825</v>
      </c>
    </row>
    <row r="708" spans="1:28" ht="17.25" customHeight="1" x14ac:dyDescent="0.2">
      <c r="A708" t="s">
        <v>9</v>
      </c>
      <c r="B708" s="20">
        <v>666</v>
      </c>
      <c r="C708" s="20">
        <v>122</v>
      </c>
      <c r="D708" s="20">
        <v>16</v>
      </c>
      <c r="E708" t="s">
        <v>75</v>
      </c>
      <c r="F708" s="26">
        <v>45191</v>
      </c>
      <c r="G708" t="s">
        <v>79</v>
      </c>
      <c r="H708" s="5">
        <v>30.29</v>
      </c>
      <c r="I708" s="5">
        <v>29.35</v>
      </c>
      <c r="J708" s="5">
        <v>28.92</v>
      </c>
      <c r="K708" s="5">
        <v>2.76</v>
      </c>
      <c r="L708" s="5">
        <v>0.16</v>
      </c>
      <c r="M708" s="3">
        <f t="shared" si="212"/>
        <v>160</v>
      </c>
      <c r="N708" s="5">
        <v>4.1399999999999997</v>
      </c>
      <c r="O708" s="23">
        <f t="shared" si="205"/>
        <v>4.1399999999999996E-3</v>
      </c>
      <c r="P708" s="23">
        <f t="shared" si="206"/>
        <v>7.4519999999999989E-2</v>
      </c>
      <c r="Q708" s="7">
        <f t="shared" si="207"/>
        <v>7.4519999999999984E-5</v>
      </c>
      <c r="R708" s="23">
        <f t="shared" si="208"/>
        <v>0.26827199999999995</v>
      </c>
      <c r="S708" s="5">
        <v>8.4700000000000006</v>
      </c>
      <c r="T708" s="5">
        <v>1.37</v>
      </c>
      <c r="U708" s="5">
        <f t="shared" si="209"/>
        <v>13700.000000000002</v>
      </c>
      <c r="V708" s="8">
        <v>-0.39</v>
      </c>
      <c r="W708" s="8">
        <v>-1.67</v>
      </c>
      <c r="X708" s="5">
        <f t="shared" si="210"/>
        <v>1.2799999999999998</v>
      </c>
      <c r="Y708" s="23">
        <f t="shared" si="211"/>
        <v>0.20958750000000001</v>
      </c>
      <c r="Z708" s="23">
        <f t="shared" si="213"/>
        <v>2871.3487500000006</v>
      </c>
      <c r="AA708" s="11">
        <f t="shared" si="214"/>
        <v>3.2316317037537026</v>
      </c>
      <c r="AB708" s="11">
        <f t="shared" si="215"/>
        <v>44273.354341425729</v>
      </c>
    </row>
    <row r="709" spans="1:28" ht="17.25" customHeight="1" x14ac:dyDescent="0.2">
      <c r="A709" t="s">
        <v>9</v>
      </c>
      <c r="B709" s="20">
        <v>666</v>
      </c>
      <c r="C709" s="20">
        <v>122</v>
      </c>
      <c r="D709" s="20">
        <v>17</v>
      </c>
      <c r="E709" t="s">
        <v>75</v>
      </c>
      <c r="F709" s="26">
        <v>45191</v>
      </c>
      <c r="G709" t="s">
        <v>79</v>
      </c>
      <c r="H709" s="5">
        <v>26.49</v>
      </c>
      <c r="I709" s="5">
        <v>31.15</v>
      </c>
      <c r="J709" s="5">
        <v>27.7</v>
      </c>
      <c r="K709" s="5">
        <v>2.52</v>
      </c>
      <c r="L709" s="5">
        <v>0.2</v>
      </c>
      <c r="M709" s="3">
        <f t="shared" si="212"/>
        <v>200</v>
      </c>
      <c r="N709" s="5">
        <v>4.6900000000000004</v>
      </c>
      <c r="O709" s="23">
        <f t="shared" si="205"/>
        <v>4.6900000000000006E-3</v>
      </c>
      <c r="P709" s="23">
        <f t="shared" si="206"/>
        <v>8.4420000000000009E-2</v>
      </c>
      <c r="Q709" s="7">
        <f t="shared" si="207"/>
        <v>8.4420000000000008E-5</v>
      </c>
      <c r="R709" s="23">
        <f t="shared" si="208"/>
        <v>0.30391200000000002</v>
      </c>
      <c r="S709" s="5">
        <v>8.18</v>
      </c>
      <c r="T709" s="5">
        <v>1.23</v>
      </c>
      <c r="U709" s="3">
        <f t="shared" si="209"/>
        <v>12300</v>
      </c>
      <c r="V709" s="8">
        <v>-0.44</v>
      </c>
      <c r="W709" s="8">
        <v>-1.84</v>
      </c>
      <c r="X709" s="5">
        <f t="shared" si="210"/>
        <v>1.4000000000000001</v>
      </c>
      <c r="Y709" s="23">
        <f t="shared" si="211"/>
        <v>0.21708</v>
      </c>
      <c r="Z709" s="23">
        <f t="shared" si="213"/>
        <v>2670.0839999999998</v>
      </c>
      <c r="AA709" s="11">
        <f t="shared" si="214"/>
        <v>3.3471586342260564</v>
      </c>
      <c r="AB709" s="11">
        <f t="shared" si="215"/>
        <v>41170.051200980495</v>
      </c>
    </row>
    <row r="710" spans="1:28" ht="17.25" customHeight="1" x14ac:dyDescent="0.2">
      <c r="A710" t="s">
        <v>9</v>
      </c>
      <c r="B710" s="20">
        <v>666</v>
      </c>
      <c r="C710" s="20">
        <v>122</v>
      </c>
      <c r="D710" s="20">
        <v>18</v>
      </c>
      <c r="E710" t="s">
        <v>75</v>
      </c>
      <c r="F710" s="26">
        <v>45190</v>
      </c>
      <c r="G710" t="s">
        <v>79</v>
      </c>
      <c r="H710" s="5">
        <v>16.579999999999998</v>
      </c>
      <c r="I710" s="5">
        <v>31.5</v>
      </c>
      <c r="J710" s="5">
        <v>29.32</v>
      </c>
      <c r="K710" s="5">
        <v>3.32</v>
      </c>
      <c r="L710" s="5">
        <v>0.2</v>
      </c>
      <c r="M710" s="3">
        <f t="shared" si="212"/>
        <v>200</v>
      </c>
      <c r="N710" s="5">
        <v>6.24</v>
      </c>
      <c r="O710" s="23">
        <f t="shared" si="205"/>
        <v>6.2399999999999999E-3</v>
      </c>
      <c r="P710" s="23">
        <f t="shared" si="206"/>
        <v>0.11232</v>
      </c>
      <c r="Q710" s="7">
        <f t="shared" si="207"/>
        <v>1.1232000000000001E-4</v>
      </c>
      <c r="R710" s="23">
        <f t="shared" si="208"/>
        <v>0.40435200000000004</v>
      </c>
      <c r="S710" s="5">
        <v>7.71</v>
      </c>
      <c r="T710" s="5">
        <v>1.2</v>
      </c>
      <c r="U710" s="3">
        <f t="shared" si="209"/>
        <v>12000</v>
      </c>
      <c r="V710" s="8">
        <v>-0.52</v>
      </c>
      <c r="W710" s="8">
        <v>-2.12</v>
      </c>
      <c r="X710" s="5">
        <f t="shared" si="210"/>
        <v>1.6</v>
      </c>
      <c r="Y710" s="23">
        <f t="shared" si="211"/>
        <v>0.25272</v>
      </c>
      <c r="Z710" s="23">
        <f t="shared" si="213"/>
        <v>3032.64</v>
      </c>
      <c r="AA710" s="11">
        <f t="shared" si="214"/>
        <v>3.8966921413377977</v>
      </c>
      <c r="AB710" s="11">
        <f t="shared" si="215"/>
        <v>46760.305696053576</v>
      </c>
    </row>
    <row r="711" spans="1:28" ht="17.25" customHeight="1" x14ac:dyDescent="0.2">
      <c r="A711" t="s">
        <v>9</v>
      </c>
      <c r="B711" s="20">
        <v>666</v>
      </c>
      <c r="C711" s="20">
        <v>123</v>
      </c>
      <c r="D711" s="20">
        <v>19</v>
      </c>
      <c r="E711" t="s">
        <v>75</v>
      </c>
      <c r="F711" s="26">
        <v>45190</v>
      </c>
      <c r="G711" t="s">
        <v>79</v>
      </c>
      <c r="H711" s="5">
        <v>23.69</v>
      </c>
      <c r="I711" s="5">
        <v>28.68</v>
      </c>
      <c r="J711" s="5">
        <v>26.4</v>
      </c>
      <c r="K711" s="5">
        <v>2.52</v>
      </c>
      <c r="L711" s="5">
        <v>0.31</v>
      </c>
      <c r="M711" s="3">
        <f t="shared" si="212"/>
        <v>310</v>
      </c>
      <c r="N711" s="5">
        <v>7.33</v>
      </c>
      <c r="O711" s="23">
        <f t="shared" si="205"/>
        <v>7.3299999999999997E-3</v>
      </c>
      <c r="P711" s="23">
        <f t="shared" si="206"/>
        <v>0.13194</v>
      </c>
      <c r="Q711" s="7">
        <f t="shared" si="207"/>
        <v>1.3194000000000001E-4</v>
      </c>
      <c r="R711" s="23">
        <f t="shared" si="208"/>
        <v>0.47498400000000007</v>
      </c>
      <c r="S711" s="5">
        <v>8.61</v>
      </c>
      <c r="T711" s="5">
        <v>1.52</v>
      </c>
      <c r="U711" s="3">
        <f t="shared" si="209"/>
        <v>15200</v>
      </c>
      <c r="V711" s="8">
        <v>-0.43</v>
      </c>
      <c r="W711" s="8">
        <v>-1.79</v>
      </c>
      <c r="X711" s="5">
        <f t="shared" si="210"/>
        <v>1.36</v>
      </c>
      <c r="Y711" s="23">
        <f t="shared" si="211"/>
        <v>0.3492529411764706</v>
      </c>
      <c r="Z711" s="23">
        <f t="shared" si="213"/>
        <v>5308.6447058823533</v>
      </c>
      <c r="AA711" s="11">
        <f t="shared" si="214"/>
        <v>5.3851345015094374</v>
      </c>
      <c r="AB711" s="11">
        <f t="shared" si="215"/>
        <v>81854.044422943451</v>
      </c>
    </row>
    <row r="712" spans="1:28" ht="17.25" customHeight="1" x14ac:dyDescent="0.2">
      <c r="A712" t="s">
        <v>9</v>
      </c>
      <c r="B712" s="20">
        <v>666</v>
      </c>
      <c r="C712" s="20">
        <v>123</v>
      </c>
      <c r="D712" s="20">
        <v>20</v>
      </c>
      <c r="E712" t="s">
        <v>75</v>
      </c>
      <c r="F712" s="26">
        <v>45190</v>
      </c>
      <c r="G712" t="s">
        <v>79</v>
      </c>
      <c r="H712" s="5">
        <v>22.13</v>
      </c>
      <c r="I712" s="5">
        <v>28.63</v>
      </c>
      <c r="J712" s="5">
        <v>26.94</v>
      </c>
      <c r="K712" s="5">
        <v>2.69</v>
      </c>
      <c r="L712" s="5">
        <v>0.24</v>
      </c>
      <c r="M712" s="3">
        <f t="shared" si="212"/>
        <v>240</v>
      </c>
      <c r="N712" s="5">
        <v>5.97</v>
      </c>
      <c r="O712" s="23">
        <f t="shared" si="205"/>
        <v>5.9699999999999996E-3</v>
      </c>
      <c r="P712" s="23">
        <f t="shared" si="206"/>
        <v>0.10746</v>
      </c>
      <c r="Q712" s="7">
        <f t="shared" si="207"/>
        <v>1.0746E-4</v>
      </c>
      <c r="R712" s="23">
        <f t="shared" si="208"/>
        <v>0.38685600000000003</v>
      </c>
      <c r="S712" s="5">
        <v>1.94</v>
      </c>
      <c r="T712" s="5">
        <v>0.35</v>
      </c>
      <c r="U712" s="3">
        <f t="shared" si="209"/>
        <v>3500</v>
      </c>
      <c r="V712" s="8">
        <v>-0.36</v>
      </c>
      <c r="W712" s="8">
        <v>-1.67</v>
      </c>
      <c r="X712" s="5">
        <f t="shared" si="210"/>
        <v>1.31</v>
      </c>
      <c r="Y712" s="23">
        <f t="shared" si="211"/>
        <v>0.29530992366412218</v>
      </c>
      <c r="Z712" s="23">
        <f t="shared" si="213"/>
        <v>1033.5847328244276</v>
      </c>
      <c r="AA712" s="11">
        <f t="shared" si="214"/>
        <v>4.5533865891146323</v>
      </c>
      <c r="AB712" s="11">
        <f t="shared" si="215"/>
        <v>15936.853061901213</v>
      </c>
    </row>
    <row r="713" spans="1:28" ht="17.25" customHeight="1" x14ac:dyDescent="0.2">
      <c r="A713" t="s">
        <v>9</v>
      </c>
      <c r="B713" s="20">
        <v>666</v>
      </c>
      <c r="C713" s="20">
        <v>123</v>
      </c>
      <c r="D713" s="20">
        <v>22</v>
      </c>
      <c r="E713" t="s">
        <v>75</v>
      </c>
      <c r="F713" s="26">
        <v>45190</v>
      </c>
      <c r="G713" t="s">
        <v>79</v>
      </c>
      <c r="H713" s="5">
        <v>19.350000000000001</v>
      </c>
      <c r="I713" s="5">
        <v>31.81</v>
      </c>
      <c r="J713" s="5">
        <v>29.95</v>
      </c>
      <c r="K713" s="5">
        <v>3.33</v>
      </c>
      <c r="L713" s="5">
        <v>0.17</v>
      </c>
      <c r="M713" s="3">
        <f t="shared" si="212"/>
        <v>170</v>
      </c>
      <c r="N713" s="5">
        <v>5.08</v>
      </c>
      <c r="O713" s="23">
        <f t="shared" si="205"/>
        <v>5.0800000000000003E-3</v>
      </c>
      <c r="P713" s="23">
        <f t="shared" si="206"/>
        <v>9.1440000000000007E-2</v>
      </c>
      <c r="Q713" s="7">
        <f t="shared" si="207"/>
        <v>9.1440000000000005E-5</v>
      </c>
      <c r="R713" s="23">
        <f t="shared" si="208"/>
        <v>0.32918400000000003</v>
      </c>
      <c r="S713" s="5">
        <v>7.09</v>
      </c>
      <c r="T713" s="5">
        <v>0.5</v>
      </c>
      <c r="U713" s="3">
        <f t="shared" si="209"/>
        <v>5000</v>
      </c>
      <c r="V713" s="8">
        <v>-0.52</v>
      </c>
      <c r="W713" s="8">
        <v>-1.87</v>
      </c>
      <c r="X713" s="5">
        <f t="shared" si="210"/>
        <v>1.35</v>
      </c>
      <c r="Y713" s="23">
        <f t="shared" si="211"/>
        <v>0.24384</v>
      </c>
      <c r="Z713" s="23">
        <f t="shared" si="213"/>
        <v>1219.2</v>
      </c>
      <c r="AA713" s="11">
        <f t="shared" si="214"/>
        <v>3.7597713348520436</v>
      </c>
      <c r="AB713" s="11">
        <f t="shared" si="215"/>
        <v>18798.85667426022</v>
      </c>
    </row>
    <row r="714" spans="1:28" ht="17.25" customHeight="1" x14ac:dyDescent="0.2">
      <c r="A714" t="s">
        <v>10</v>
      </c>
      <c r="B714" s="20">
        <v>1212</v>
      </c>
      <c r="C714" s="20">
        <v>3</v>
      </c>
      <c r="D714" s="20">
        <v>29</v>
      </c>
      <c r="E714" t="s">
        <v>75</v>
      </c>
      <c r="F714" s="26">
        <v>45190</v>
      </c>
      <c r="G714" t="s">
        <v>79</v>
      </c>
      <c r="H714" s="5">
        <v>17.920000000000002</v>
      </c>
      <c r="I714" s="5">
        <v>30.76</v>
      </c>
      <c r="J714" s="5">
        <v>28.41</v>
      </c>
      <c r="K714" s="5">
        <v>3.09</v>
      </c>
      <c r="L714" s="5">
        <v>0.14000000000000001</v>
      </c>
      <c r="M714" s="3">
        <f t="shared" si="212"/>
        <v>140</v>
      </c>
      <c r="N714" s="5">
        <v>3.94</v>
      </c>
      <c r="O714" s="23">
        <f t="shared" si="205"/>
        <v>3.9399999999999999E-3</v>
      </c>
      <c r="P714" s="23">
        <f t="shared" si="206"/>
        <v>7.0919999999999997E-2</v>
      </c>
      <c r="Q714" s="7">
        <f t="shared" si="207"/>
        <v>7.0919999999999992E-5</v>
      </c>
      <c r="R714" s="23">
        <f t="shared" si="208"/>
        <v>0.25531199999999998</v>
      </c>
      <c r="S714" s="5">
        <v>0.9</v>
      </c>
      <c r="T714" s="5">
        <v>0.17</v>
      </c>
      <c r="U714" s="5">
        <f t="shared" si="209"/>
        <v>1700.0000000000002</v>
      </c>
      <c r="V714" s="8">
        <v>-0.57999999999999996</v>
      </c>
      <c r="W714" s="8">
        <v>-2.12</v>
      </c>
      <c r="X714" s="5">
        <f t="shared" si="210"/>
        <v>1.54</v>
      </c>
      <c r="Y714" s="23">
        <f t="shared" si="211"/>
        <v>0.16578701298701298</v>
      </c>
      <c r="Z714" s="23">
        <f t="shared" si="213"/>
        <v>281.83792207792209</v>
      </c>
      <c r="AA714" s="11">
        <f t="shared" si="214"/>
        <v>2.5562715679105765</v>
      </c>
      <c r="AB714" s="11">
        <f t="shared" si="215"/>
        <v>4345.6616654479803</v>
      </c>
    </row>
    <row r="715" spans="1:28" ht="17.25" customHeight="1" x14ac:dyDescent="0.2">
      <c r="A715" t="s">
        <v>10</v>
      </c>
      <c r="B715" s="20">
        <v>1212</v>
      </c>
      <c r="C715" s="20">
        <v>3</v>
      </c>
      <c r="D715" s="20">
        <v>30</v>
      </c>
      <c r="E715" t="s">
        <v>75</v>
      </c>
      <c r="F715" s="26">
        <v>45190</v>
      </c>
      <c r="G715" t="s">
        <v>79</v>
      </c>
      <c r="H715" s="5">
        <v>16.68</v>
      </c>
      <c r="I715" s="5">
        <v>32.74</v>
      </c>
      <c r="J715" s="5">
        <v>31.26</v>
      </c>
      <c r="K715" s="5">
        <v>3.74</v>
      </c>
      <c r="L715" s="5">
        <v>0.14000000000000001</v>
      </c>
      <c r="M715" s="3">
        <f t="shared" si="212"/>
        <v>140</v>
      </c>
      <c r="N715" s="5">
        <v>4.7</v>
      </c>
      <c r="O715" s="23">
        <f t="shared" si="205"/>
        <v>4.7000000000000002E-3</v>
      </c>
      <c r="P715" s="23">
        <f t="shared" si="206"/>
        <v>8.4600000000000009E-2</v>
      </c>
      <c r="Q715" s="7">
        <f t="shared" si="207"/>
        <v>8.460000000000001E-5</v>
      </c>
      <c r="R715" s="23">
        <f t="shared" si="208"/>
        <v>0.30456000000000005</v>
      </c>
      <c r="S715" s="5">
        <v>7.13</v>
      </c>
      <c r="T715" s="5">
        <v>1.39</v>
      </c>
      <c r="U715" s="5">
        <f t="shared" si="209"/>
        <v>13899.999999999998</v>
      </c>
      <c r="V715" s="8">
        <v>-0.35</v>
      </c>
      <c r="W715" s="8">
        <v>-1.78</v>
      </c>
      <c r="X715" s="5">
        <f t="shared" si="210"/>
        <v>1.4300000000000002</v>
      </c>
      <c r="Y715" s="23">
        <f t="shared" si="211"/>
        <v>0.21297902097902099</v>
      </c>
      <c r="Z715" s="23">
        <f t="shared" si="213"/>
        <v>2960.4083916083914</v>
      </c>
      <c r="AA715" s="11">
        <f t="shared" si="214"/>
        <v>3.2839255987605611</v>
      </c>
      <c r="AB715" s="11">
        <f t="shared" si="215"/>
        <v>45646.565822771794</v>
      </c>
    </row>
    <row r="716" spans="1:28" ht="17.25" customHeight="1" x14ac:dyDescent="0.2">
      <c r="A716" t="s">
        <v>10</v>
      </c>
      <c r="B716" s="20">
        <v>1212</v>
      </c>
      <c r="C716" s="20">
        <v>3</v>
      </c>
      <c r="D716" s="20">
        <v>31</v>
      </c>
      <c r="E716" t="s">
        <v>75</v>
      </c>
      <c r="F716" s="26">
        <v>45191</v>
      </c>
      <c r="G716" t="s">
        <v>79</v>
      </c>
      <c r="H716" s="5">
        <v>33.19</v>
      </c>
      <c r="I716" s="5">
        <v>27.29</v>
      </c>
      <c r="J716" s="5">
        <v>24.99</v>
      </c>
      <c r="K716" s="5">
        <v>1.96</v>
      </c>
      <c r="L716" s="5">
        <v>0.21</v>
      </c>
      <c r="M716" s="3">
        <f t="shared" si="212"/>
        <v>210</v>
      </c>
      <c r="N716" s="5">
        <v>3.99</v>
      </c>
      <c r="O716" s="23">
        <f t="shared" si="205"/>
        <v>3.9900000000000005E-3</v>
      </c>
      <c r="P716" s="23">
        <f t="shared" si="206"/>
        <v>7.1820000000000009E-2</v>
      </c>
      <c r="Q716" s="7">
        <f t="shared" si="207"/>
        <v>7.1820000000000014E-5</v>
      </c>
      <c r="R716" s="23">
        <f t="shared" si="208"/>
        <v>0.25855200000000006</v>
      </c>
      <c r="S716" s="5">
        <v>4.1399999999999997</v>
      </c>
      <c r="T716" s="5">
        <v>0.74</v>
      </c>
      <c r="U716" s="3">
        <f t="shared" si="209"/>
        <v>7400</v>
      </c>
      <c r="V716" s="8">
        <v>-0.32</v>
      </c>
      <c r="W716" s="8">
        <v>-1.82</v>
      </c>
      <c r="X716" s="5">
        <f t="shared" si="210"/>
        <v>1.5</v>
      </c>
      <c r="Y716" s="23">
        <f t="shared" si="211"/>
        <v>0.17236800000000005</v>
      </c>
      <c r="Z716" s="23">
        <f t="shared" si="213"/>
        <v>1275.5232000000003</v>
      </c>
      <c r="AA716" s="11">
        <f t="shared" si="214"/>
        <v>2.6577438707586012</v>
      </c>
      <c r="AB716" s="11">
        <f t="shared" si="215"/>
        <v>19667.30464361365</v>
      </c>
    </row>
    <row r="717" spans="1:28" ht="17.25" customHeight="1" x14ac:dyDescent="0.2">
      <c r="A717" t="s">
        <v>10</v>
      </c>
      <c r="B717" s="20">
        <v>1212</v>
      </c>
      <c r="C717" s="20">
        <v>4</v>
      </c>
      <c r="D717" s="20">
        <v>32</v>
      </c>
      <c r="E717" t="s">
        <v>75</v>
      </c>
      <c r="F717" s="26">
        <v>45190</v>
      </c>
      <c r="G717" t="s">
        <v>79</v>
      </c>
      <c r="H717" s="5">
        <v>17.239999999999998</v>
      </c>
      <c r="I717" s="5">
        <v>30.83</v>
      </c>
      <c r="J717" s="5">
        <v>29.8</v>
      </c>
      <c r="K717" s="5">
        <v>3.43</v>
      </c>
      <c r="L717" s="5">
        <v>0.05</v>
      </c>
      <c r="M717" s="3">
        <f t="shared" si="212"/>
        <v>50</v>
      </c>
      <c r="N717" s="5">
        <v>1.6</v>
      </c>
      <c r="O717" s="23">
        <f t="shared" si="205"/>
        <v>1.6000000000000001E-3</v>
      </c>
      <c r="P717" s="23">
        <f t="shared" si="206"/>
        <v>2.8800000000000003E-2</v>
      </c>
      <c r="Q717" s="7">
        <f t="shared" si="207"/>
        <v>2.8800000000000002E-5</v>
      </c>
      <c r="R717" s="23">
        <f t="shared" si="208"/>
        <v>0.10368000000000001</v>
      </c>
      <c r="S717" s="5">
        <v>7.33</v>
      </c>
      <c r="T717" s="5">
        <v>1.02</v>
      </c>
      <c r="U717" s="3">
        <f t="shared" si="209"/>
        <v>10200</v>
      </c>
      <c r="V717" s="8">
        <v>-0.64</v>
      </c>
      <c r="W717" s="8">
        <v>-1.56</v>
      </c>
      <c r="X717" s="5">
        <f t="shared" si="210"/>
        <v>0.92</v>
      </c>
      <c r="Y717" s="23">
        <f t="shared" si="211"/>
        <v>0.11269565217391304</v>
      </c>
      <c r="Z717" s="23">
        <f t="shared" si="213"/>
        <v>1149.495652173913</v>
      </c>
      <c r="AA717" s="11">
        <f t="shared" si="214"/>
        <v>1.737655358456097</v>
      </c>
      <c r="AB717" s="11">
        <f t="shared" si="215"/>
        <v>17724.084656252187</v>
      </c>
    </row>
    <row r="718" spans="1:28" ht="17.25" customHeight="1" x14ac:dyDescent="0.2">
      <c r="A718" t="s">
        <v>10</v>
      </c>
      <c r="B718" s="20">
        <v>1212</v>
      </c>
      <c r="C718" s="20">
        <v>4</v>
      </c>
      <c r="D718" s="20">
        <v>33</v>
      </c>
      <c r="E718" t="s">
        <v>75</v>
      </c>
      <c r="F718" s="26">
        <v>45191</v>
      </c>
      <c r="G718" t="s">
        <v>79</v>
      </c>
      <c r="H718" s="5">
        <v>28.13</v>
      </c>
      <c r="I718" s="5">
        <v>30.81</v>
      </c>
      <c r="J718" s="5">
        <v>29.98</v>
      </c>
      <c r="K718" s="5">
        <v>2.99</v>
      </c>
      <c r="L718" s="5">
        <v>0.14000000000000001</v>
      </c>
      <c r="M718" s="3">
        <f t="shared" si="212"/>
        <v>140</v>
      </c>
      <c r="N718" s="5">
        <v>3.85</v>
      </c>
      <c r="O718" s="23">
        <f t="shared" si="205"/>
        <v>3.8500000000000001E-3</v>
      </c>
      <c r="P718" s="23">
        <f t="shared" si="206"/>
        <v>6.93E-2</v>
      </c>
      <c r="Q718" s="7">
        <f t="shared" si="207"/>
        <v>6.9300000000000004E-5</v>
      </c>
      <c r="R718" s="23">
        <f t="shared" si="208"/>
        <v>0.24948000000000001</v>
      </c>
      <c r="S718" s="5">
        <v>19.41</v>
      </c>
      <c r="T718" s="5">
        <v>3.48</v>
      </c>
      <c r="U718" s="3">
        <f t="shared" si="209"/>
        <v>34800</v>
      </c>
      <c r="V718" s="8">
        <v>-0.28999999999999998</v>
      </c>
      <c r="W718" s="8">
        <v>-2.23</v>
      </c>
      <c r="X718" s="5">
        <f t="shared" si="210"/>
        <v>1.94</v>
      </c>
      <c r="Y718" s="23">
        <f t="shared" si="211"/>
        <v>0.1285979381443299</v>
      </c>
      <c r="Z718" s="23">
        <f t="shared" si="213"/>
        <v>4475.2082474226809</v>
      </c>
      <c r="AA718" s="11">
        <f t="shared" si="214"/>
        <v>1.9828528607124665</v>
      </c>
      <c r="AB718" s="11">
        <f t="shared" si="215"/>
        <v>69003.279552793829</v>
      </c>
    </row>
    <row r="719" spans="1:28" ht="17.25" customHeight="1" x14ac:dyDescent="0.2">
      <c r="A719" t="s">
        <v>10</v>
      </c>
      <c r="B719" s="20">
        <v>1212</v>
      </c>
      <c r="C719" s="20">
        <v>4</v>
      </c>
      <c r="D719" s="20">
        <v>34</v>
      </c>
      <c r="E719" t="s">
        <v>75</v>
      </c>
      <c r="F719" s="26">
        <v>45190</v>
      </c>
      <c r="G719" t="s">
        <v>79</v>
      </c>
      <c r="H719" s="5">
        <v>17.3</v>
      </c>
      <c r="I719" s="5">
        <v>32.58</v>
      </c>
      <c r="J719" s="5">
        <v>30.38</v>
      </c>
      <c r="K719" s="5">
        <v>3.49</v>
      </c>
      <c r="L719" s="5">
        <v>0.18</v>
      </c>
      <c r="M719" s="3">
        <f t="shared" si="212"/>
        <v>180</v>
      </c>
      <c r="N719" s="5">
        <v>6.05</v>
      </c>
      <c r="O719" s="23">
        <f t="shared" si="205"/>
        <v>6.0499999999999998E-3</v>
      </c>
      <c r="P719" s="23">
        <f t="shared" si="206"/>
        <v>0.1089</v>
      </c>
      <c r="Q719" s="7">
        <f t="shared" si="207"/>
        <v>1.0889999999999999E-4</v>
      </c>
      <c r="R719" s="23">
        <f t="shared" si="208"/>
        <v>0.39203999999999994</v>
      </c>
      <c r="S719" s="5">
        <v>6.58</v>
      </c>
      <c r="T719" s="5">
        <v>1.1499999999999999</v>
      </c>
      <c r="U719" s="3">
        <f t="shared" si="209"/>
        <v>11500</v>
      </c>
      <c r="V719" s="8">
        <v>-0.45</v>
      </c>
      <c r="W719" s="8">
        <v>-2.08</v>
      </c>
      <c r="X719" s="5">
        <f t="shared" si="210"/>
        <v>1.6300000000000001</v>
      </c>
      <c r="Y719" s="23">
        <f t="shared" si="211"/>
        <v>0.24051533742331282</v>
      </c>
      <c r="Z719" s="23">
        <f t="shared" si="213"/>
        <v>2765.9263803680974</v>
      </c>
      <c r="AA719" s="11">
        <f t="shared" si="214"/>
        <v>3.7085083302019304</v>
      </c>
      <c r="AB719" s="11">
        <f t="shared" si="215"/>
        <v>42647.845797322203</v>
      </c>
    </row>
    <row r="720" spans="1:28" ht="17.25" customHeight="1" x14ac:dyDescent="0.2">
      <c r="A720" t="s">
        <v>10</v>
      </c>
      <c r="B720" s="20">
        <v>1212</v>
      </c>
      <c r="C720" s="20">
        <v>7</v>
      </c>
      <c r="D720" s="20">
        <v>36</v>
      </c>
      <c r="E720" t="s">
        <v>75</v>
      </c>
      <c r="F720" s="26">
        <v>45190</v>
      </c>
      <c r="G720" t="s">
        <v>79</v>
      </c>
      <c r="H720" s="5">
        <v>17.46</v>
      </c>
      <c r="I720" s="5">
        <v>32.89</v>
      </c>
      <c r="J720" s="5">
        <v>32.22</v>
      </c>
      <c r="K720" s="5">
        <v>3.95</v>
      </c>
      <c r="L720" s="5">
        <v>0.12</v>
      </c>
      <c r="M720" s="3">
        <f t="shared" si="212"/>
        <v>120</v>
      </c>
      <c r="N720" s="5">
        <v>4.45</v>
      </c>
      <c r="O720" s="23">
        <f t="shared" si="205"/>
        <v>4.45E-3</v>
      </c>
      <c r="P720" s="23">
        <f t="shared" si="206"/>
        <v>8.0100000000000005E-2</v>
      </c>
      <c r="Q720" s="7">
        <f t="shared" si="207"/>
        <v>8.0100000000000009E-5</v>
      </c>
      <c r="R720" s="23">
        <f t="shared" si="208"/>
        <v>0.28836000000000001</v>
      </c>
      <c r="S720" s="5">
        <v>8.77</v>
      </c>
      <c r="T720" s="5">
        <v>0.91</v>
      </c>
      <c r="U720" s="3">
        <f t="shared" si="209"/>
        <v>9100</v>
      </c>
      <c r="V720" s="8">
        <v>-0.24</v>
      </c>
      <c r="W720" s="8">
        <v>-1.9</v>
      </c>
      <c r="X720" s="5">
        <f t="shared" si="210"/>
        <v>1.66</v>
      </c>
      <c r="Y720" s="23">
        <f t="shared" si="211"/>
        <v>0.17371084337349399</v>
      </c>
      <c r="Z720" s="23">
        <f t="shared" si="213"/>
        <v>1580.7686746987954</v>
      </c>
      <c r="AA720" s="11">
        <f t="shared" si="214"/>
        <v>2.6784491858129749</v>
      </c>
      <c r="AB720" s="11">
        <f t="shared" si="215"/>
        <v>24373.88759089807</v>
      </c>
    </row>
    <row r="721" spans="1:28" ht="17.25" customHeight="1" x14ac:dyDescent="0.2">
      <c r="A721" t="s">
        <v>10</v>
      </c>
      <c r="B721" s="20">
        <v>1212</v>
      </c>
      <c r="C721" s="20">
        <v>7</v>
      </c>
      <c r="D721" s="20">
        <v>37</v>
      </c>
      <c r="E721" t="s">
        <v>75</v>
      </c>
      <c r="F721" s="26">
        <v>45190</v>
      </c>
      <c r="G721" t="s">
        <v>79</v>
      </c>
      <c r="H721" s="5">
        <v>17.88</v>
      </c>
      <c r="I721" s="5">
        <v>32.25</v>
      </c>
      <c r="J721" s="5">
        <v>29.56</v>
      </c>
      <c r="K721" s="5">
        <v>3.28</v>
      </c>
      <c r="L721" s="5">
        <v>0.18</v>
      </c>
      <c r="M721" s="3">
        <f t="shared" si="212"/>
        <v>180</v>
      </c>
      <c r="N721" s="5">
        <v>5.55</v>
      </c>
      <c r="O721" s="23">
        <f t="shared" si="205"/>
        <v>5.5500000000000002E-3</v>
      </c>
      <c r="P721" s="23">
        <f t="shared" si="206"/>
        <v>9.9900000000000003E-2</v>
      </c>
      <c r="Q721" s="7">
        <f t="shared" si="207"/>
        <v>9.9900000000000002E-5</v>
      </c>
      <c r="R721" s="23">
        <f t="shared" si="208"/>
        <v>0.35964000000000002</v>
      </c>
      <c r="S721" s="5">
        <v>4.8499999999999996</v>
      </c>
      <c r="T721" s="5">
        <v>0.94</v>
      </c>
      <c r="U721" s="3">
        <f t="shared" si="209"/>
        <v>9400</v>
      </c>
      <c r="V721" s="8">
        <v>-0.41</v>
      </c>
      <c r="W721" s="8">
        <v>-2.15</v>
      </c>
      <c r="X721" s="5">
        <f t="shared" si="210"/>
        <v>1.74</v>
      </c>
      <c r="Y721" s="23">
        <f t="shared" si="211"/>
        <v>0.20668965517241381</v>
      </c>
      <c r="Z721" s="23">
        <f t="shared" si="213"/>
        <v>1942.8827586206899</v>
      </c>
      <c r="AA721" s="11">
        <f t="shared" si="214"/>
        <v>3.1869498061339194</v>
      </c>
      <c r="AB721" s="11">
        <f t="shared" si="215"/>
        <v>29957.328177658841</v>
      </c>
    </row>
    <row r="722" spans="1:28" ht="17.25" customHeight="1" x14ac:dyDescent="0.2">
      <c r="A722" t="s">
        <v>10</v>
      </c>
      <c r="B722" s="20">
        <v>1212</v>
      </c>
      <c r="C722" s="20">
        <v>7</v>
      </c>
      <c r="D722" s="20">
        <v>83</v>
      </c>
      <c r="E722" t="s">
        <v>75</v>
      </c>
      <c r="F722" s="26">
        <v>45190</v>
      </c>
      <c r="G722" t="s">
        <v>79</v>
      </c>
      <c r="H722" s="5">
        <v>21.4</v>
      </c>
      <c r="I722" s="5">
        <v>30.07</v>
      </c>
      <c r="J722" s="5">
        <v>26.75</v>
      </c>
      <c r="K722" s="5">
        <v>2.6</v>
      </c>
      <c r="L722" s="5">
        <v>0.3</v>
      </c>
      <c r="M722" s="3">
        <f t="shared" si="212"/>
        <v>300</v>
      </c>
      <c r="N722" s="5">
        <v>7.38</v>
      </c>
      <c r="O722" s="23">
        <f t="shared" si="205"/>
        <v>7.3800000000000003E-3</v>
      </c>
      <c r="P722" s="23">
        <f t="shared" si="206"/>
        <v>0.13284000000000001</v>
      </c>
      <c r="Q722" s="7">
        <f t="shared" si="207"/>
        <v>1.3284000000000001E-4</v>
      </c>
      <c r="R722" s="23">
        <f t="shared" si="208"/>
        <v>0.47822400000000004</v>
      </c>
      <c r="S722" s="5">
        <v>11.85</v>
      </c>
      <c r="T722" s="5">
        <v>1.4</v>
      </c>
      <c r="U722" s="3">
        <f t="shared" si="209"/>
        <v>14000</v>
      </c>
      <c r="V722" s="8">
        <v>-0.43</v>
      </c>
      <c r="W722" s="8">
        <v>-2.17</v>
      </c>
      <c r="X722" s="5">
        <f t="shared" si="210"/>
        <v>1.74</v>
      </c>
      <c r="Y722" s="23">
        <f t="shared" si="211"/>
        <v>0.27484137931034486</v>
      </c>
      <c r="Z722" s="23">
        <f t="shared" si="213"/>
        <v>3847.779310344828</v>
      </c>
      <c r="AA722" s="11">
        <f t="shared" si="214"/>
        <v>4.2377819043726719</v>
      </c>
      <c r="AB722" s="11">
        <f t="shared" si="215"/>
        <v>59328.946661217407</v>
      </c>
    </row>
    <row r="723" spans="1:28" ht="17.25" customHeight="1" x14ac:dyDescent="0.2">
      <c r="A723" t="s">
        <v>10</v>
      </c>
      <c r="B723" s="20">
        <v>1212</v>
      </c>
      <c r="C723" s="20">
        <v>8</v>
      </c>
      <c r="D723" s="20">
        <v>38</v>
      </c>
      <c r="E723" t="s">
        <v>75</v>
      </c>
      <c r="F723" s="26">
        <v>45190</v>
      </c>
      <c r="G723" t="s">
        <v>79</v>
      </c>
      <c r="H723" s="5">
        <v>20.28</v>
      </c>
      <c r="I723" s="5">
        <v>29.14</v>
      </c>
      <c r="J723" s="5">
        <v>26.75</v>
      </c>
      <c r="K723" s="5">
        <v>2.7</v>
      </c>
      <c r="L723" s="5">
        <v>0.24</v>
      </c>
      <c r="M723" s="3">
        <f t="shared" si="212"/>
        <v>240</v>
      </c>
      <c r="N723" s="3">
        <v>6</v>
      </c>
      <c r="O723" s="23">
        <f t="shared" si="205"/>
        <v>6.0000000000000001E-3</v>
      </c>
      <c r="P723" s="23">
        <f t="shared" si="206"/>
        <v>0.108</v>
      </c>
      <c r="Q723" s="7">
        <f t="shared" si="207"/>
        <v>1.08E-4</v>
      </c>
      <c r="R723" s="23">
        <f t="shared" si="208"/>
        <v>0.38879999999999998</v>
      </c>
      <c r="S723" s="5">
        <v>26.5</v>
      </c>
      <c r="T723" s="5">
        <v>3.13</v>
      </c>
      <c r="U723" s="3">
        <f t="shared" si="209"/>
        <v>31300</v>
      </c>
      <c r="V723" s="8">
        <v>-0.38</v>
      </c>
      <c r="W723" s="8">
        <v>-1.73</v>
      </c>
      <c r="X723" s="5">
        <f t="shared" si="210"/>
        <v>1.35</v>
      </c>
      <c r="Y723" s="23">
        <f t="shared" si="211"/>
        <v>0.28799999999999998</v>
      </c>
      <c r="Z723" s="23">
        <f t="shared" si="213"/>
        <v>9014.4</v>
      </c>
      <c r="AA723" s="11">
        <f t="shared" si="214"/>
        <v>4.4406748049433586</v>
      </c>
      <c r="AB723" s="11">
        <f t="shared" si="215"/>
        <v>138993.12139472712</v>
      </c>
    </row>
    <row r="724" spans="1:28" ht="17.25" customHeight="1" x14ac:dyDescent="0.2">
      <c r="A724" t="s">
        <v>10</v>
      </c>
      <c r="B724" s="20">
        <v>1212</v>
      </c>
      <c r="C724" s="20">
        <v>8</v>
      </c>
      <c r="D724" s="20">
        <v>39</v>
      </c>
      <c r="E724" t="s">
        <v>75</v>
      </c>
      <c r="F724" s="26">
        <v>45191</v>
      </c>
      <c r="G724" t="s">
        <v>79</v>
      </c>
      <c r="H724" s="5">
        <v>21.95</v>
      </c>
      <c r="I724" s="5">
        <v>32.83</v>
      </c>
      <c r="J724" s="5">
        <v>31.71</v>
      </c>
      <c r="K724" s="5">
        <v>3.59</v>
      </c>
      <c r="L724" s="5">
        <v>0.14000000000000001</v>
      </c>
      <c r="M724" s="3">
        <f t="shared" si="212"/>
        <v>140</v>
      </c>
      <c r="N724" s="5">
        <v>4.63</v>
      </c>
      <c r="O724" s="23">
        <f t="shared" si="205"/>
        <v>4.6299999999999996E-3</v>
      </c>
      <c r="P724" s="23">
        <f t="shared" si="206"/>
        <v>8.3339999999999997E-2</v>
      </c>
      <c r="Q724" s="7">
        <f t="shared" si="207"/>
        <v>8.3339999999999998E-5</v>
      </c>
      <c r="R724" s="23">
        <f t="shared" si="208"/>
        <v>0.30002400000000001</v>
      </c>
      <c r="S724" s="5">
        <v>11.76</v>
      </c>
      <c r="T724" s="5">
        <v>2.09</v>
      </c>
      <c r="U724" s="3">
        <f t="shared" si="209"/>
        <v>20900</v>
      </c>
      <c r="V724" s="8">
        <v>-0.87</v>
      </c>
      <c r="W724" s="8">
        <v>-1.87</v>
      </c>
      <c r="X724" s="28">
        <f t="shared" si="210"/>
        <v>1</v>
      </c>
      <c r="Y724" s="23">
        <f t="shared" si="211"/>
        <v>0.30002400000000001</v>
      </c>
      <c r="Z724" s="23">
        <f t="shared" si="213"/>
        <v>6270.5016000000005</v>
      </c>
      <c r="AA724" s="11">
        <f t="shared" si="214"/>
        <v>4.626072978049744</v>
      </c>
      <c r="AB724" s="11">
        <f t="shared" si="215"/>
        <v>96684.925241239645</v>
      </c>
    </row>
    <row r="725" spans="1:28" ht="17.25" customHeight="1" x14ac:dyDescent="0.2">
      <c r="A725" t="s">
        <v>10</v>
      </c>
      <c r="B725" s="20">
        <v>1212</v>
      </c>
      <c r="C725" s="20">
        <v>8</v>
      </c>
      <c r="D725" s="20">
        <v>40</v>
      </c>
      <c r="E725" t="s">
        <v>75</v>
      </c>
      <c r="F725" s="26">
        <v>45191</v>
      </c>
      <c r="G725" t="s">
        <v>79</v>
      </c>
      <c r="H725" s="5">
        <v>34.28</v>
      </c>
      <c r="I725" s="5">
        <v>26.98</v>
      </c>
      <c r="J725" s="5">
        <v>26.15</v>
      </c>
      <c r="K725" s="5">
        <v>2.17</v>
      </c>
      <c r="L725" s="5">
        <v>0.19</v>
      </c>
      <c r="M725" s="3">
        <f t="shared" si="212"/>
        <v>190</v>
      </c>
      <c r="N725" s="5">
        <v>3.78</v>
      </c>
      <c r="O725" s="23">
        <f t="shared" si="205"/>
        <v>3.7799999999999999E-3</v>
      </c>
      <c r="P725" s="23">
        <f t="shared" si="206"/>
        <v>6.8040000000000003E-2</v>
      </c>
      <c r="Q725" s="7">
        <f t="shared" si="207"/>
        <v>6.8040000000000006E-5</v>
      </c>
      <c r="R725" s="23">
        <f t="shared" si="208"/>
        <v>0.24494400000000002</v>
      </c>
      <c r="S725" s="5">
        <v>3.51</v>
      </c>
      <c r="T725" s="5">
        <v>0.74</v>
      </c>
      <c r="U725" s="3">
        <f t="shared" si="209"/>
        <v>7400</v>
      </c>
      <c r="V725" s="8">
        <v>-0.25</v>
      </c>
      <c r="W725" s="8">
        <v>-1.78</v>
      </c>
      <c r="X725" s="5">
        <f t="shared" si="210"/>
        <v>1.53</v>
      </c>
      <c r="Y725" s="23">
        <f t="shared" si="211"/>
        <v>0.16009411764705883</v>
      </c>
      <c r="Z725" s="23">
        <f t="shared" si="213"/>
        <v>1184.6964705882353</v>
      </c>
      <c r="AA725" s="11">
        <f t="shared" si="214"/>
        <v>2.4684927592185142</v>
      </c>
      <c r="AB725" s="11">
        <f t="shared" si="215"/>
        <v>18266.846418217006</v>
      </c>
    </row>
    <row r="726" spans="1:28" ht="17.25" customHeight="1" x14ac:dyDescent="0.2">
      <c r="A726" t="s">
        <v>10</v>
      </c>
      <c r="B726" s="20">
        <v>1212</v>
      </c>
      <c r="C726" s="20">
        <v>10</v>
      </c>
      <c r="D726" s="20">
        <v>21</v>
      </c>
      <c r="E726" t="s">
        <v>75</v>
      </c>
      <c r="F726" s="26">
        <v>45190</v>
      </c>
      <c r="G726" t="s">
        <v>79</v>
      </c>
      <c r="H726" s="5">
        <v>18.420000000000002</v>
      </c>
      <c r="I726" s="5">
        <v>32.1</v>
      </c>
      <c r="J726" s="5">
        <v>30.23</v>
      </c>
      <c r="K726" s="5">
        <v>3.43</v>
      </c>
      <c r="L726" s="5">
        <v>0.25</v>
      </c>
      <c r="M726" s="3">
        <f t="shared" si="212"/>
        <v>250</v>
      </c>
      <c r="N726" s="5">
        <v>8.14</v>
      </c>
      <c r="O726" s="23">
        <f t="shared" si="205"/>
        <v>8.1400000000000014E-3</v>
      </c>
      <c r="P726" s="23">
        <f t="shared" si="206"/>
        <v>0.14652000000000004</v>
      </c>
      <c r="Q726" s="7">
        <f t="shared" si="207"/>
        <v>1.4652000000000003E-4</v>
      </c>
      <c r="R726" s="23">
        <f t="shared" si="208"/>
        <v>0.52747200000000005</v>
      </c>
      <c r="S726" s="5">
        <v>7.09</v>
      </c>
      <c r="T726" s="5">
        <v>1.0900000000000001</v>
      </c>
      <c r="U726" s="3">
        <f t="shared" si="209"/>
        <v>10900</v>
      </c>
      <c r="V726" s="8">
        <v>-0.33</v>
      </c>
      <c r="W726" s="8">
        <v>-2.2200000000000002</v>
      </c>
      <c r="X726" s="5">
        <f t="shared" si="210"/>
        <v>1.8900000000000001</v>
      </c>
      <c r="Y726" s="23">
        <f t="shared" si="211"/>
        <v>0.27908571428571427</v>
      </c>
      <c r="Z726" s="23">
        <f t="shared" si="213"/>
        <v>3042.0342857142855</v>
      </c>
      <c r="AA726" s="11">
        <f t="shared" si="214"/>
        <v>4.303225346695112</v>
      </c>
      <c r="AB726" s="11">
        <f t="shared" si="215"/>
        <v>46905.156278976719</v>
      </c>
    </row>
    <row r="727" spans="1:28" ht="17.25" customHeight="1" x14ac:dyDescent="0.2">
      <c r="A727" t="s">
        <v>10</v>
      </c>
      <c r="B727" s="20">
        <v>1212</v>
      </c>
      <c r="C727" s="20">
        <v>10</v>
      </c>
      <c r="D727" s="20">
        <v>41</v>
      </c>
      <c r="E727" t="s">
        <v>75</v>
      </c>
      <c r="F727" s="26">
        <v>45191</v>
      </c>
      <c r="G727" t="s">
        <v>79</v>
      </c>
      <c r="H727" s="5">
        <v>23.37</v>
      </c>
      <c r="I727" s="5">
        <v>31.49</v>
      </c>
      <c r="J727" s="5">
        <v>30.33</v>
      </c>
      <c r="K727" s="5">
        <v>3.26</v>
      </c>
      <c r="L727" s="5">
        <v>0.12</v>
      </c>
      <c r="M727" s="3">
        <f t="shared" si="212"/>
        <v>120</v>
      </c>
      <c r="N727" s="5">
        <v>3.57</v>
      </c>
      <c r="O727" s="23">
        <f t="shared" si="205"/>
        <v>3.5699999999999998E-3</v>
      </c>
      <c r="P727" s="23">
        <f t="shared" si="206"/>
        <v>6.4259999999999998E-2</v>
      </c>
      <c r="Q727" s="7">
        <f t="shared" si="207"/>
        <v>6.4259999999999998E-5</v>
      </c>
      <c r="R727" s="23">
        <f t="shared" si="208"/>
        <v>0.23133599999999999</v>
      </c>
      <c r="S727" s="5">
        <v>19.809999999999999</v>
      </c>
      <c r="T727" s="5">
        <v>2.92</v>
      </c>
      <c r="U727" s="3">
        <f t="shared" si="209"/>
        <v>29200</v>
      </c>
      <c r="V727" s="8">
        <v>-0.19</v>
      </c>
      <c r="W727" s="8">
        <v>-2.68</v>
      </c>
      <c r="X727" s="5">
        <f t="shared" si="210"/>
        <v>2.4900000000000002</v>
      </c>
      <c r="Y727" s="23">
        <f t="shared" si="211"/>
        <v>9.2906024096385528E-2</v>
      </c>
      <c r="Z727" s="23">
        <f t="shared" si="213"/>
        <v>2712.8559036144575</v>
      </c>
      <c r="AA727" s="11">
        <f t="shared" si="214"/>
        <v>1.4325188903898605</v>
      </c>
      <c r="AB727" s="11">
        <f t="shared" si="215"/>
        <v>41829.551599383929</v>
      </c>
    </row>
    <row r="728" spans="1:28" ht="17.25" customHeight="1" x14ac:dyDescent="0.2">
      <c r="A728" t="s">
        <v>10</v>
      </c>
      <c r="B728" s="20">
        <v>1212</v>
      </c>
      <c r="C728" s="20">
        <v>10</v>
      </c>
      <c r="D728" s="20">
        <v>42</v>
      </c>
      <c r="E728" t="s">
        <v>75</v>
      </c>
      <c r="F728" s="26">
        <v>45191</v>
      </c>
      <c r="G728" t="s">
        <v>79</v>
      </c>
      <c r="H728" s="5">
        <v>28.83</v>
      </c>
      <c r="I728" s="5">
        <v>30.47</v>
      </c>
      <c r="J728" s="5">
        <v>28.42</v>
      </c>
      <c r="K728" s="5">
        <v>2.62</v>
      </c>
      <c r="L728" s="5">
        <v>0.27</v>
      </c>
      <c r="M728" s="3">
        <f t="shared" si="212"/>
        <v>270</v>
      </c>
      <c r="N728" s="5">
        <v>6.78</v>
      </c>
      <c r="O728" s="23">
        <f t="shared" si="205"/>
        <v>6.7800000000000004E-3</v>
      </c>
      <c r="P728" s="23">
        <f t="shared" si="206"/>
        <v>0.12204000000000001</v>
      </c>
      <c r="Q728" s="7">
        <f t="shared" si="207"/>
        <v>1.2204E-4</v>
      </c>
      <c r="R728" s="23">
        <f t="shared" si="208"/>
        <v>0.43934400000000001</v>
      </c>
      <c r="S728" s="5">
        <v>2.74</v>
      </c>
      <c r="T728" s="5">
        <v>0.32</v>
      </c>
      <c r="U728" s="3">
        <f t="shared" si="209"/>
        <v>3200</v>
      </c>
      <c r="V728" s="8">
        <v>-0.46</v>
      </c>
      <c r="W728" s="8">
        <v>-1.47</v>
      </c>
      <c r="X728" s="5">
        <f t="shared" si="210"/>
        <v>1.01</v>
      </c>
      <c r="Y728" s="23">
        <f t="shared" si="211"/>
        <v>0.4349940594059406</v>
      </c>
      <c r="Z728" s="23">
        <f t="shared" si="213"/>
        <v>1391.9809900990099</v>
      </c>
      <c r="AA728" s="11">
        <f t="shared" si="214"/>
        <v>6.7071776385555397</v>
      </c>
      <c r="AB728" s="11">
        <f t="shared" si="215"/>
        <v>21462.968443377726</v>
      </c>
    </row>
    <row r="729" spans="1:28" ht="17.25" customHeight="1" x14ac:dyDescent="0.2">
      <c r="A729" t="s">
        <v>7</v>
      </c>
      <c r="B729" s="20">
        <v>72</v>
      </c>
      <c r="C729" s="20">
        <v>156</v>
      </c>
      <c r="D729" s="20">
        <v>43</v>
      </c>
      <c r="E729" t="s">
        <v>77</v>
      </c>
      <c r="F729" s="26">
        <v>45189</v>
      </c>
      <c r="G729" t="s">
        <v>79</v>
      </c>
      <c r="H729" s="5">
        <v>13.33</v>
      </c>
      <c r="I729" s="5">
        <v>38.71</v>
      </c>
      <c r="J729" s="5">
        <v>34.69</v>
      </c>
      <c r="K729" s="5">
        <v>4.6100000000000003</v>
      </c>
      <c r="L729" s="5">
        <v>0.14000000000000001</v>
      </c>
      <c r="M729" s="3">
        <f t="shared" si="212"/>
        <v>140</v>
      </c>
      <c r="N729" s="5">
        <v>5.91</v>
      </c>
      <c r="O729" s="23">
        <f t="shared" si="205"/>
        <v>5.9100000000000003E-3</v>
      </c>
      <c r="P729" s="23">
        <f t="shared" si="206"/>
        <v>0.10638</v>
      </c>
      <c r="Q729" s="7">
        <f t="shared" si="207"/>
        <v>1.0638000000000001E-4</v>
      </c>
      <c r="R729" s="23">
        <f t="shared" si="208"/>
        <v>0.38296800000000003</v>
      </c>
      <c r="S729" s="5">
        <v>17.37</v>
      </c>
      <c r="T729" s="5">
        <v>2.1</v>
      </c>
      <c r="U729" s="3">
        <f t="shared" si="209"/>
        <v>21000</v>
      </c>
      <c r="V729" s="8">
        <v>-0.52</v>
      </c>
      <c r="W729" s="8">
        <v>-1.85</v>
      </c>
      <c r="X729" s="5">
        <f t="shared" si="210"/>
        <v>1.33</v>
      </c>
      <c r="Y729" s="23">
        <f t="shared" si="211"/>
        <v>0.28794586466165412</v>
      </c>
      <c r="Z729" s="23">
        <f t="shared" si="213"/>
        <v>6046.8631578947361</v>
      </c>
      <c r="AA729" s="11">
        <f t="shared" si="214"/>
        <v>4.4398400916341592</v>
      </c>
      <c r="AB729" s="11">
        <f t="shared" si="215"/>
        <v>93236.641924317344</v>
      </c>
    </row>
    <row r="730" spans="1:28" ht="17.25" customHeight="1" x14ac:dyDescent="0.2">
      <c r="A730" t="s">
        <v>7</v>
      </c>
      <c r="B730" s="20">
        <v>72</v>
      </c>
      <c r="C730" s="20">
        <v>156</v>
      </c>
      <c r="D730" s="20">
        <v>44</v>
      </c>
      <c r="E730" t="s">
        <v>77</v>
      </c>
      <c r="F730" s="26">
        <v>45190</v>
      </c>
      <c r="G730" t="s">
        <v>79</v>
      </c>
      <c r="H730" s="5">
        <v>12.89</v>
      </c>
      <c r="I730" s="5">
        <v>37.840000000000003</v>
      </c>
      <c r="J730" s="5">
        <v>33.78</v>
      </c>
      <c r="K730" s="5">
        <v>4.42</v>
      </c>
      <c r="L730" s="5">
        <v>0.06</v>
      </c>
      <c r="M730" s="3">
        <f t="shared" si="212"/>
        <v>60</v>
      </c>
      <c r="N730" s="5">
        <v>2.42</v>
      </c>
      <c r="O730" s="23">
        <f t="shared" si="205"/>
        <v>2.4199999999999998E-3</v>
      </c>
      <c r="P730" s="23">
        <f t="shared" si="206"/>
        <v>4.3559999999999995E-2</v>
      </c>
      <c r="Q730" s="7">
        <f t="shared" si="207"/>
        <v>4.3559999999999996E-5</v>
      </c>
      <c r="R730" s="23">
        <f t="shared" si="208"/>
        <v>0.15681599999999998</v>
      </c>
      <c r="S730" s="5">
        <v>12.19</v>
      </c>
      <c r="T730" s="5">
        <v>2.64</v>
      </c>
      <c r="U730" s="3">
        <f t="shared" si="209"/>
        <v>26400</v>
      </c>
      <c r="V730" s="8">
        <v>-0.45</v>
      </c>
      <c r="W730" s="8">
        <v>-1.76</v>
      </c>
      <c r="X730" s="5">
        <f t="shared" si="210"/>
        <v>1.31</v>
      </c>
      <c r="Y730" s="23">
        <f t="shared" si="211"/>
        <v>0.11970687022900761</v>
      </c>
      <c r="Z730" s="23">
        <f t="shared" si="213"/>
        <v>3160.2613740458009</v>
      </c>
      <c r="AA730" s="11">
        <f t="shared" si="214"/>
        <v>1.8457613979325636</v>
      </c>
      <c r="AB730" s="11">
        <f t="shared" si="215"/>
        <v>48728.100905419677</v>
      </c>
    </row>
    <row r="731" spans="1:28" ht="17.25" customHeight="1" x14ac:dyDescent="0.2">
      <c r="A731" t="s">
        <v>7</v>
      </c>
      <c r="B731" s="20">
        <v>72</v>
      </c>
      <c r="C731" s="20">
        <v>156</v>
      </c>
      <c r="D731" s="20">
        <v>45</v>
      </c>
      <c r="E731" t="s">
        <v>77</v>
      </c>
      <c r="F731" s="26">
        <v>45189</v>
      </c>
      <c r="G731" t="s">
        <v>79</v>
      </c>
      <c r="H731" s="5">
        <v>13.74</v>
      </c>
      <c r="I731" s="5">
        <v>38.43</v>
      </c>
      <c r="J731" s="5">
        <v>35.79</v>
      </c>
      <c r="K731" s="5">
        <v>4.9800000000000004</v>
      </c>
      <c r="L731" s="5">
        <v>0.09</v>
      </c>
      <c r="M731" s="3">
        <f t="shared" si="212"/>
        <v>90</v>
      </c>
      <c r="N731" s="5">
        <v>3.5</v>
      </c>
      <c r="O731" s="23">
        <f t="shared" si="205"/>
        <v>3.5000000000000001E-3</v>
      </c>
      <c r="P731" s="23">
        <f t="shared" si="206"/>
        <v>6.3E-2</v>
      </c>
      <c r="Q731" s="7">
        <f t="shared" si="207"/>
        <v>6.3E-5</v>
      </c>
      <c r="R731" s="23">
        <f t="shared" si="208"/>
        <v>0.2268</v>
      </c>
      <c r="S731" s="5">
        <v>9.84</v>
      </c>
      <c r="T731" s="5">
        <v>1.55</v>
      </c>
      <c r="U731" s="3">
        <f t="shared" si="209"/>
        <v>15500</v>
      </c>
      <c r="V731" s="8">
        <v>-0.48</v>
      </c>
      <c r="W731" s="8">
        <v>-2.09</v>
      </c>
      <c r="X731" s="5">
        <f t="shared" si="210"/>
        <v>1.6099999999999999</v>
      </c>
      <c r="Y731" s="23">
        <f t="shared" si="211"/>
        <v>0.14086956521739133</v>
      </c>
      <c r="Z731" s="23">
        <f t="shared" si="213"/>
        <v>2183.4782608695655</v>
      </c>
      <c r="AA731" s="11">
        <f t="shared" si="214"/>
        <v>2.1720691980701217</v>
      </c>
      <c r="AB731" s="11">
        <f t="shared" si="215"/>
        <v>33667.072570086886</v>
      </c>
    </row>
    <row r="732" spans="1:28" ht="17.25" customHeight="1" x14ac:dyDescent="0.2">
      <c r="A732" t="s">
        <v>7</v>
      </c>
      <c r="B732" s="20">
        <v>72</v>
      </c>
      <c r="C732" s="20">
        <v>149</v>
      </c>
      <c r="D732" s="20">
        <v>46</v>
      </c>
      <c r="E732" t="s">
        <v>77</v>
      </c>
      <c r="F732" s="26">
        <v>45189</v>
      </c>
      <c r="G732" t="s">
        <v>79</v>
      </c>
      <c r="H732" s="5">
        <v>13.19</v>
      </c>
      <c r="I732" s="5">
        <v>38.64</v>
      </c>
      <c r="J732" s="5">
        <v>33.71</v>
      </c>
      <c r="K732" s="5">
        <v>4.34</v>
      </c>
      <c r="L732" s="5">
        <v>0.14000000000000001</v>
      </c>
      <c r="M732" s="3">
        <f t="shared" si="212"/>
        <v>140</v>
      </c>
      <c r="N732" s="5">
        <v>5.78</v>
      </c>
      <c r="O732" s="23">
        <f t="shared" si="205"/>
        <v>5.7800000000000004E-3</v>
      </c>
      <c r="P732" s="23">
        <f t="shared" si="206"/>
        <v>0.10404000000000001</v>
      </c>
      <c r="Q732" s="7">
        <f t="shared" si="207"/>
        <v>1.0404000000000001E-4</v>
      </c>
      <c r="R732" s="23">
        <f t="shared" si="208"/>
        <v>0.37454400000000004</v>
      </c>
      <c r="S732" s="5">
        <v>11.24</v>
      </c>
      <c r="T732" s="5">
        <v>1.25</v>
      </c>
      <c r="U732" s="3">
        <f t="shared" si="209"/>
        <v>12500</v>
      </c>
      <c r="V732" s="8">
        <v>-0.4</v>
      </c>
      <c r="W732" s="8">
        <v>-1.99</v>
      </c>
      <c r="X732" s="5">
        <f t="shared" si="210"/>
        <v>1.5899999999999999</v>
      </c>
      <c r="Y732" s="23">
        <f t="shared" si="211"/>
        <v>0.23556226415094345</v>
      </c>
      <c r="Z732" s="23">
        <f t="shared" si="213"/>
        <v>2944.5283018867931</v>
      </c>
      <c r="AA732" s="11">
        <f t="shared" si="214"/>
        <v>3.6321368451753706</v>
      </c>
      <c r="AB732" s="11">
        <f t="shared" si="215"/>
        <v>45401.710564692134</v>
      </c>
    </row>
    <row r="733" spans="1:28" ht="17.25" customHeight="1" x14ac:dyDescent="0.2">
      <c r="A733" t="s">
        <v>7</v>
      </c>
      <c r="B733" s="20">
        <v>72</v>
      </c>
      <c r="C733" s="20">
        <v>149</v>
      </c>
      <c r="D733" s="20">
        <v>47</v>
      </c>
      <c r="E733" t="s">
        <v>77</v>
      </c>
      <c r="F733" s="26">
        <v>45190</v>
      </c>
      <c r="G733" t="s">
        <v>79</v>
      </c>
      <c r="H733" s="5">
        <v>12.33</v>
      </c>
      <c r="I733" s="5">
        <v>36.950000000000003</v>
      </c>
      <c r="J733" s="5">
        <v>34.299999999999997</v>
      </c>
      <c r="K733" s="5">
        <v>4.6399999999999997</v>
      </c>
      <c r="L733" s="5">
        <v>0.11</v>
      </c>
      <c r="M733" s="3">
        <f t="shared" si="212"/>
        <v>110</v>
      </c>
      <c r="N733" s="5">
        <v>4.9800000000000004</v>
      </c>
      <c r="O733" s="23">
        <f t="shared" ref="O733:O764" si="216">N733/1000</f>
        <v>4.9800000000000001E-3</v>
      </c>
      <c r="P733" s="23">
        <f t="shared" ref="P733:P764" si="217">O733*18</f>
        <v>8.9639999999999997E-2</v>
      </c>
      <c r="Q733" s="7">
        <f t="shared" ref="Q733:Q764" si="218">P733/1000</f>
        <v>8.9640000000000002E-5</v>
      </c>
      <c r="R733" s="23">
        <f t="shared" ref="R733:R764" si="219">Q733*3600</f>
        <v>0.32270399999999999</v>
      </c>
      <c r="S733" s="5">
        <v>20.43</v>
      </c>
      <c r="T733" s="5">
        <v>2.5299999999999998</v>
      </c>
      <c r="U733" s="5">
        <f t="shared" ref="U733:U764" si="220">T733*10000</f>
        <v>25299.999999999996</v>
      </c>
      <c r="V733" s="8">
        <v>-0.36</v>
      </c>
      <c r="W733" s="8">
        <v>-2.2999999999999998</v>
      </c>
      <c r="X733" s="5">
        <f t="shared" ref="X733:X764" si="221">V733-W733</f>
        <v>1.94</v>
      </c>
      <c r="Y733" s="23">
        <f t="shared" ref="Y733:Y764" si="222">R733/X733</f>
        <v>0.16634226804123711</v>
      </c>
      <c r="Z733" s="23">
        <f t="shared" si="213"/>
        <v>4208.4593814432983</v>
      </c>
      <c r="AA733" s="11">
        <f t="shared" si="214"/>
        <v>2.5648330509995017</v>
      </c>
      <c r="AB733" s="11">
        <f t="shared" si="215"/>
        <v>64890.276190287383</v>
      </c>
    </row>
    <row r="734" spans="1:28" ht="17.25" customHeight="1" x14ac:dyDescent="0.2">
      <c r="A734" t="s">
        <v>7</v>
      </c>
      <c r="B734" s="20">
        <v>72</v>
      </c>
      <c r="C734" s="20">
        <v>149</v>
      </c>
      <c r="D734" s="20">
        <v>48</v>
      </c>
      <c r="E734" t="s">
        <v>77</v>
      </c>
      <c r="F734" s="26">
        <v>45190</v>
      </c>
      <c r="G734" t="s">
        <v>79</v>
      </c>
      <c r="H734" s="5">
        <v>12.21</v>
      </c>
      <c r="I734" s="5">
        <v>38.15</v>
      </c>
      <c r="J734" s="5">
        <v>34.450000000000003</v>
      </c>
      <c r="K734" s="5">
        <v>4.6399999999999997</v>
      </c>
      <c r="L734" s="5">
        <v>0.1</v>
      </c>
      <c r="M734" s="3">
        <f t="shared" si="212"/>
        <v>100</v>
      </c>
      <c r="N734" s="5">
        <v>4.0199999999999996</v>
      </c>
      <c r="O734" s="23">
        <f t="shared" si="216"/>
        <v>4.0199999999999993E-3</v>
      </c>
      <c r="P734" s="23">
        <f t="shared" si="217"/>
        <v>7.235999999999998E-2</v>
      </c>
      <c r="Q734" s="7">
        <f t="shared" si="218"/>
        <v>7.2359999999999978E-5</v>
      </c>
      <c r="R734" s="23">
        <f t="shared" si="219"/>
        <v>0.26049599999999989</v>
      </c>
      <c r="S734" s="5">
        <v>21.78</v>
      </c>
      <c r="T734" s="5">
        <v>2.31</v>
      </c>
      <c r="U734" s="3">
        <f t="shared" si="220"/>
        <v>23100</v>
      </c>
      <c r="V734" s="8">
        <v>-0.89</v>
      </c>
      <c r="W734" s="8">
        <v>-1.65</v>
      </c>
      <c r="X734" s="5">
        <f t="shared" si="221"/>
        <v>0.7599999999999999</v>
      </c>
      <c r="Y734" s="23">
        <f t="shared" si="222"/>
        <v>0.34275789473684204</v>
      </c>
      <c r="Z734" s="23">
        <f t="shared" si="213"/>
        <v>7917.7073684210509</v>
      </c>
      <c r="AA734" s="11">
        <f t="shared" si="214"/>
        <v>5.2849873171990351</v>
      </c>
      <c r="AB734" s="11">
        <f t="shared" si="215"/>
        <v>122083.20702729771</v>
      </c>
    </row>
    <row r="735" spans="1:28" ht="17.25" customHeight="1" x14ac:dyDescent="0.2">
      <c r="A735" t="s">
        <v>7</v>
      </c>
      <c r="B735" s="20">
        <v>72</v>
      </c>
      <c r="C735" s="20">
        <v>152</v>
      </c>
      <c r="D735" s="20">
        <v>49</v>
      </c>
      <c r="E735" t="s">
        <v>77</v>
      </c>
      <c r="F735" s="26">
        <v>45189</v>
      </c>
      <c r="G735" t="s">
        <v>79</v>
      </c>
      <c r="H735" s="5">
        <v>14.44</v>
      </c>
      <c r="I735" s="5">
        <v>37.53</v>
      </c>
      <c r="J735" s="5">
        <v>31.3</v>
      </c>
      <c r="K735" s="5">
        <v>3.64</v>
      </c>
      <c r="L735" s="5">
        <v>0.26</v>
      </c>
      <c r="M735" s="3">
        <f t="shared" si="212"/>
        <v>260</v>
      </c>
      <c r="N735" s="5">
        <v>8.68</v>
      </c>
      <c r="O735" s="23">
        <f t="shared" si="216"/>
        <v>8.6800000000000002E-3</v>
      </c>
      <c r="P735" s="23">
        <f t="shared" si="217"/>
        <v>0.15623999999999999</v>
      </c>
      <c r="Q735" s="7">
        <f t="shared" si="218"/>
        <v>1.5623999999999998E-4</v>
      </c>
      <c r="R735" s="23">
        <f t="shared" si="219"/>
        <v>0.56246399999999996</v>
      </c>
      <c r="S735" s="5">
        <v>27.89</v>
      </c>
      <c r="T735" s="5">
        <v>2.35</v>
      </c>
      <c r="U735" s="3">
        <f t="shared" si="220"/>
        <v>23500</v>
      </c>
      <c r="V735" s="8">
        <v>-0.33</v>
      </c>
      <c r="W735" s="8">
        <v>-2.2400000000000002</v>
      </c>
      <c r="X735" s="5">
        <f t="shared" si="221"/>
        <v>1.9100000000000001</v>
      </c>
      <c r="Y735" s="23">
        <f t="shared" si="222"/>
        <v>0.29448376963350781</v>
      </c>
      <c r="Z735" s="23">
        <f t="shared" si="213"/>
        <v>6920.3685863874334</v>
      </c>
      <c r="AA735" s="11">
        <f t="shared" si="214"/>
        <v>4.5406481120703548</v>
      </c>
      <c r="AB735" s="11">
        <f t="shared" si="215"/>
        <v>106705.23063365334</v>
      </c>
    </row>
    <row r="736" spans="1:28" ht="17.25" customHeight="1" x14ac:dyDescent="0.2">
      <c r="A736" t="s">
        <v>7</v>
      </c>
      <c r="B736" s="20">
        <v>72</v>
      </c>
      <c r="C736" s="20">
        <v>152</v>
      </c>
      <c r="D736" s="20">
        <v>50</v>
      </c>
      <c r="E736" t="s">
        <v>77</v>
      </c>
      <c r="F736" s="26">
        <v>45190</v>
      </c>
      <c r="G736" t="s">
        <v>79</v>
      </c>
      <c r="H736" s="5">
        <v>11.32</v>
      </c>
      <c r="I736" s="5">
        <v>38.47</v>
      </c>
      <c r="J736" s="5">
        <v>34.4</v>
      </c>
      <c r="K736" s="5">
        <v>4.68</v>
      </c>
      <c r="L736" s="5">
        <v>0.16</v>
      </c>
      <c r="M736" s="3">
        <f t="shared" si="212"/>
        <v>160</v>
      </c>
      <c r="N736" s="5">
        <v>7.06</v>
      </c>
      <c r="O736" s="23">
        <f t="shared" si="216"/>
        <v>7.0599999999999994E-3</v>
      </c>
      <c r="P736" s="23">
        <f t="shared" si="217"/>
        <v>0.12708</v>
      </c>
      <c r="Q736" s="7">
        <f t="shared" si="218"/>
        <v>1.2708000000000001E-4</v>
      </c>
      <c r="R736" s="23">
        <f t="shared" si="219"/>
        <v>0.45748800000000006</v>
      </c>
      <c r="S736" s="5">
        <v>25.57</v>
      </c>
      <c r="T736" s="5">
        <v>2.29</v>
      </c>
      <c r="U736" s="3">
        <f t="shared" si="220"/>
        <v>22900</v>
      </c>
      <c r="V736" s="8">
        <v>-0.33</v>
      </c>
      <c r="W736" s="8">
        <v>-1.38</v>
      </c>
      <c r="X736" s="5">
        <f t="shared" si="221"/>
        <v>1.0499999999999998</v>
      </c>
      <c r="Y736" s="23">
        <f t="shared" si="222"/>
        <v>0.43570285714285728</v>
      </c>
      <c r="Z736" s="23">
        <f t="shared" si="213"/>
        <v>9977.5954285714324</v>
      </c>
      <c r="AA736" s="11">
        <f t="shared" si="214"/>
        <v>6.7181065977643124</v>
      </c>
      <c r="AB736" s="11">
        <f t="shared" si="215"/>
        <v>153844.64108880275</v>
      </c>
    </row>
    <row r="737" spans="1:28" ht="17.25" customHeight="1" x14ac:dyDescent="0.2">
      <c r="A737" t="s">
        <v>7</v>
      </c>
      <c r="B737" s="20">
        <v>72</v>
      </c>
      <c r="C737" s="20">
        <v>152</v>
      </c>
      <c r="D737" s="20">
        <v>51</v>
      </c>
      <c r="E737" t="s">
        <v>77</v>
      </c>
      <c r="F737" s="26">
        <v>45190</v>
      </c>
      <c r="G737" t="s">
        <v>79</v>
      </c>
      <c r="H737" s="5">
        <v>13.68</v>
      </c>
      <c r="I737" s="5">
        <v>37.68</v>
      </c>
      <c r="J737" s="5">
        <v>31.78</v>
      </c>
      <c r="K737" s="5">
        <v>3.81</v>
      </c>
      <c r="L737" s="5">
        <v>0.16</v>
      </c>
      <c r="M737" s="3">
        <f t="shared" si="212"/>
        <v>160</v>
      </c>
      <c r="N737" s="5">
        <v>5.5</v>
      </c>
      <c r="O737" s="23">
        <f t="shared" si="216"/>
        <v>5.4999999999999997E-3</v>
      </c>
      <c r="P737" s="23">
        <f t="shared" si="217"/>
        <v>9.8999999999999991E-2</v>
      </c>
      <c r="Q737" s="7">
        <f t="shared" si="218"/>
        <v>9.8999999999999994E-5</v>
      </c>
      <c r="R737" s="23">
        <f t="shared" si="219"/>
        <v>0.35639999999999999</v>
      </c>
      <c r="S737" s="5">
        <v>18.57</v>
      </c>
      <c r="T737" s="5">
        <v>1.84</v>
      </c>
      <c r="U737" s="3">
        <f t="shared" si="220"/>
        <v>18400</v>
      </c>
      <c r="V737" s="8">
        <v>-0.67</v>
      </c>
      <c r="W737" s="8">
        <v>-1.61</v>
      </c>
      <c r="X737" s="5">
        <f t="shared" si="221"/>
        <v>0.94000000000000006</v>
      </c>
      <c r="Y737" s="23">
        <f t="shared" si="222"/>
        <v>0.37914893617021272</v>
      </c>
      <c r="Z737" s="23">
        <f t="shared" si="213"/>
        <v>6976.3404255319138</v>
      </c>
      <c r="AA737" s="11">
        <f t="shared" si="214"/>
        <v>5.8461011394866027</v>
      </c>
      <c r="AB737" s="11">
        <f t="shared" si="215"/>
        <v>107568.26096655348</v>
      </c>
    </row>
    <row r="738" spans="1:28" ht="17.25" customHeight="1" x14ac:dyDescent="0.2">
      <c r="A738" t="s">
        <v>7</v>
      </c>
      <c r="B738" s="20">
        <v>72</v>
      </c>
      <c r="C738" s="20">
        <v>155</v>
      </c>
      <c r="D738" s="20">
        <v>58</v>
      </c>
      <c r="E738" t="s">
        <v>77</v>
      </c>
      <c r="F738" s="26">
        <v>45190</v>
      </c>
      <c r="G738" t="s">
        <v>79</v>
      </c>
      <c r="H738" s="5">
        <v>12.16</v>
      </c>
      <c r="I738" s="5">
        <v>36.53</v>
      </c>
      <c r="J738" s="5">
        <v>33.67</v>
      </c>
      <c r="K738" s="5">
        <v>4.4800000000000004</v>
      </c>
      <c r="L738" s="5">
        <v>0.15</v>
      </c>
      <c r="M738" s="3">
        <f t="shared" si="212"/>
        <v>150</v>
      </c>
      <c r="N738" s="5">
        <v>6.12</v>
      </c>
      <c r="O738" s="23">
        <f t="shared" si="216"/>
        <v>6.1200000000000004E-3</v>
      </c>
      <c r="P738" s="23">
        <f t="shared" si="217"/>
        <v>0.11016000000000001</v>
      </c>
      <c r="Q738" s="7">
        <f t="shared" si="218"/>
        <v>1.1016E-4</v>
      </c>
      <c r="R738" s="23">
        <f t="shared" si="219"/>
        <v>0.39657599999999998</v>
      </c>
      <c r="S738" s="5">
        <v>4.1100000000000003</v>
      </c>
      <c r="T738" s="5">
        <v>0.5</v>
      </c>
      <c r="U738" s="3">
        <f t="shared" si="220"/>
        <v>5000</v>
      </c>
      <c r="V738" s="8">
        <v>-0.34</v>
      </c>
      <c r="W738" s="8">
        <v>-2.08</v>
      </c>
      <c r="X738" s="5">
        <f t="shared" si="221"/>
        <v>1.74</v>
      </c>
      <c r="Y738" s="23">
        <f t="shared" si="222"/>
        <v>0.22791724137931033</v>
      </c>
      <c r="Z738" s="23">
        <f t="shared" si="213"/>
        <v>1139.5862068965516</v>
      </c>
      <c r="AA738" s="11">
        <f t="shared" si="214"/>
        <v>3.5142581646017268</v>
      </c>
      <c r="AB738" s="11">
        <f t="shared" si="215"/>
        <v>17571.290823008632</v>
      </c>
    </row>
    <row r="739" spans="1:28" ht="17.25" customHeight="1" x14ac:dyDescent="0.2">
      <c r="A739" t="s">
        <v>7</v>
      </c>
      <c r="B739" s="20">
        <v>72</v>
      </c>
      <c r="C739" s="20">
        <v>155</v>
      </c>
      <c r="D739" s="20">
        <v>59</v>
      </c>
      <c r="E739" t="s">
        <v>77</v>
      </c>
      <c r="F739" s="26">
        <v>45189</v>
      </c>
      <c r="G739" t="s">
        <v>79</v>
      </c>
      <c r="H739" s="5">
        <v>13.62</v>
      </c>
      <c r="I739" s="5">
        <v>37.81</v>
      </c>
      <c r="J739" s="5">
        <v>32.64</v>
      </c>
      <c r="K739" s="5">
        <v>4.04</v>
      </c>
      <c r="L739" s="5">
        <v>0.31</v>
      </c>
      <c r="M739" s="3">
        <f t="shared" si="212"/>
        <v>310</v>
      </c>
      <c r="N739" s="5">
        <v>11.7</v>
      </c>
      <c r="O739" s="23">
        <f t="shared" si="216"/>
        <v>1.1699999999999999E-2</v>
      </c>
      <c r="P739" s="23">
        <f t="shared" si="217"/>
        <v>0.21059999999999998</v>
      </c>
      <c r="Q739" s="7">
        <f t="shared" si="218"/>
        <v>2.1059999999999997E-4</v>
      </c>
      <c r="R739" s="23">
        <f t="shared" si="219"/>
        <v>0.75815999999999983</v>
      </c>
      <c r="S739" s="5">
        <v>22.47</v>
      </c>
      <c r="T739" s="5">
        <v>2.37</v>
      </c>
      <c r="U739" s="3">
        <f t="shared" si="220"/>
        <v>23700</v>
      </c>
      <c r="V739" s="8">
        <v>-0.82</v>
      </c>
      <c r="W739" s="8">
        <v>-2.0499999999999998</v>
      </c>
      <c r="X739" s="5">
        <f t="shared" si="221"/>
        <v>1.23</v>
      </c>
      <c r="Y739" s="23">
        <f t="shared" si="222"/>
        <v>0.61639024390243891</v>
      </c>
      <c r="Z739" s="23">
        <f t="shared" si="213"/>
        <v>14608.448780487803</v>
      </c>
      <c r="AA739" s="11">
        <f t="shared" si="214"/>
        <v>9.5041271739946271</v>
      </c>
      <c r="AB739" s="11">
        <f t="shared" si="215"/>
        <v>225247.81402367266</v>
      </c>
    </row>
    <row r="740" spans="1:28" ht="17.25" customHeight="1" x14ac:dyDescent="0.2">
      <c r="A740" t="s">
        <v>7</v>
      </c>
      <c r="B740" s="20">
        <v>72</v>
      </c>
      <c r="C740" s="20">
        <v>155</v>
      </c>
      <c r="D740" s="20">
        <v>60</v>
      </c>
      <c r="E740" t="s">
        <v>77</v>
      </c>
      <c r="F740" s="26">
        <v>45190</v>
      </c>
      <c r="G740" t="s">
        <v>79</v>
      </c>
      <c r="H740" s="5">
        <v>12.14</v>
      </c>
      <c r="I740" s="5">
        <v>37.39</v>
      </c>
      <c r="J740" s="5">
        <v>34.26</v>
      </c>
      <c r="K740" s="5">
        <v>4.63</v>
      </c>
      <c r="L740" s="5">
        <v>0.12</v>
      </c>
      <c r="M740" s="3">
        <f t="shared" si="212"/>
        <v>120</v>
      </c>
      <c r="N740" s="5">
        <v>5.2</v>
      </c>
      <c r="O740" s="23">
        <f t="shared" si="216"/>
        <v>5.1999999999999998E-3</v>
      </c>
      <c r="P740" s="23">
        <f t="shared" si="217"/>
        <v>9.3599999999999989E-2</v>
      </c>
      <c r="Q740" s="7">
        <f t="shared" si="218"/>
        <v>9.3599999999999985E-5</v>
      </c>
      <c r="R740" s="23">
        <f t="shared" si="219"/>
        <v>0.33695999999999993</v>
      </c>
      <c r="S740" s="5">
        <v>10.28</v>
      </c>
      <c r="T740" s="5">
        <v>1.1299999999999999</v>
      </c>
      <c r="U740" s="5">
        <f t="shared" si="220"/>
        <v>11299.999999999998</v>
      </c>
      <c r="V740" s="8">
        <v>-0.45</v>
      </c>
      <c r="W740" s="8">
        <v>-1.24</v>
      </c>
      <c r="X740" s="5">
        <f t="shared" si="221"/>
        <v>0.79</v>
      </c>
      <c r="Y740" s="23">
        <f t="shared" si="222"/>
        <v>0.42653164556962014</v>
      </c>
      <c r="Z740" s="23">
        <f t="shared" si="213"/>
        <v>4819.8075949367067</v>
      </c>
      <c r="AA740" s="11">
        <f t="shared" si="214"/>
        <v>6.5766955971945933</v>
      </c>
      <c r="AB740" s="11">
        <f t="shared" si="215"/>
        <v>74316.660248298896</v>
      </c>
    </row>
    <row r="741" spans="1:28" ht="17.25" customHeight="1" x14ac:dyDescent="0.2">
      <c r="A741" t="s">
        <v>7</v>
      </c>
      <c r="B741" s="20">
        <v>72</v>
      </c>
      <c r="C741" s="20">
        <v>5</v>
      </c>
      <c r="D741" s="20">
        <v>61</v>
      </c>
      <c r="E741" t="s">
        <v>77</v>
      </c>
      <c r="F741" s="26">
        <v>45190</v>
      </c>
      <c r="G741" t="s">
        <v>79</v>
      </c>
      <c r="H741" s="5">
        <v>12.26</v>
      </c>
      <c r="I741" s="5">
        <v>38.4</v>
      </c>
      <c r="J741" s="3">
        <v>36</v>
      </c>
      <c r="K741" s="5">
        <v>5.12</v>
      </c>
      <c r="L741" s="5">
        <v>0.08</v>
      </c>
      <c r="M741" s="3">
        <f t="shared" si="212"/>
        <v>80</v>
      </c>
      <c r="N741" s="5">
        <v>3.87</v>
      </c>
      <c r="O741" s="23">
        <f t="shared" si="216"/>
        <v>3.8700000000000002E-3</v>
      </c>
      <c r="P741" s="23">
        <f t="shared" si="217"/>
        <v>6.966E-2</v>
      </c>
      <c r="Q741" s="7">
        <f t="shared" si="218"/>
        <v>6.9659999999999994E-5</v>
      </c>
      <c r="R741" s="23">
        <f t="shared" si="219"/>
        <v>0.250776</v>
      </c>
      <c r="S741" s="5">
        <v>20.64</v>
      </c>
      <c r="T741" s="5">
        <v>4.72</v>
      </c>
      <c r="U741" s="3">
        <f t="shared" si="220"/>
        <v>47200</v>
      </c>
      <c r="V741" s="8">
        <v>-0.42</v>
      </c>
      <c r="W741" s="8">
        <v>-1.82</v>
      </c>
      <c r="X741" s="5">
        <f t="shared" si="221"/>
        <v>1.4000000000000001</v>
      </c>
      <c r="Y741" s="23">
        <f t="shared" si="222"/>
        <v>0.17912571428571428</v>
      </c>
      <c r="Z741" s="23">
        <f t="shared" si="213"/>
        <v>8454.7337142857141</v>
      </c>
      <c r="AA741" s="11">
        <f t="shared" si="214"/>
        <v>2.7619411331460215</v>
      </c>
      <c r="AB741" s="11">
        <f t="shared" si="215"/>
        <v>130363.62148449222</v>
      </c>
    </row>
    <row r="742" spans="1:28" ht="17.25" customHeight="1" x14ac:dyDescent="0.2">
      <c r="A742" t="s">
        <v>7</v>
      </c>
      <c r="B742" s="20">
        <v>72</v>
      </c>
      <c r="C742" s="20">
        <v>5</v>
      </c>
      <c r="D742" s="20">
        <v>63</v>
      </c>
      <c r="E742" t="s">
        <v>77</v>
      </c>
      <c r="F742" s="26">
        <v>45189</v>
      </c>
      <c r="G742" t="s">
        <v>79</v>
      </c>
      <c r="H742" s="5">
        <v>14.96</v>
      </c>
      <c r="I742" s="5">
        <v>37.56</v>
      </c>
      <c r="J742" s="5">
        <v>32.96</v>
      </c>
      <c r="K742" s="5">
        <v>4.0599999999999996</v>
      </c>
      <c r="L742" s="5">
        <v>0.17</v>
      </c>
      <c r="M742" s="3">
        <f t="shared" si="212"/>
        <v>170</v>
      </c>
      <c r="N742" s="5">
        <v>6.3</v>
      </c>
      <c r="O742" s="23">
        <f t="shared" si="216"/>
        <v>6.3E-3</v>
      </c>
      <c r="P742" s="23">
        <f t="shared" si="217"/>
        <v>0.1134</v>
      </c>
      <c r="Q742" s="7">
        <f t="shared" si="218"/>
        <v>1.1340000000000001E-4</v>
      </c>
      <c r="R742" s="23">
        <f t="shared" si="219"/>
        <v>0.40823999999999999</v>
      </c>
      <c r="S742" s="5">
        <v>20.28</v>
      </c>
      <c r="T742" s="5">
        <v>3.11</v>
      </c>
      <c r="U742" s="3">
        <f t="shared" si="220"/>
        <v>31100</v>
      </c>
      <c r="V742" s="8">
        <v>-0.27</v>
      </c>
      <c r="W742" s="8">
        <v>-2.06</v>
      </c>
      <c r="X742" s="5">
        <f t="shared" si="221"/>
        <v>1.79</v>
      </c>
      <c r="Y742" s="23">
        <f t="shared" si="222"/>
        <v>0.22806703910614523</v>
      </c>
      <c r="Z742" s="23">
        <f t="shared" si="213"/>
        <v>7092.8849162011165</v>
      </c>
      <c r="AA742" s="11">
        <f t="shared" si="214"/>
        <v>3.5165678972107317</v>
      </c>
      <c r="AB742" s="11">
        <f t="shared" si="215"/>
        <v>109365.26160325376</v>
      </c>
    </row>
    <row r="743" spans="1:28" ht="17.25" customHeight="1" x14ac:dyDescent="0.2">
      <c r="A743" t="s">
        <v>7</v>
      </c>
      <c r="B743" s="20">
        <v>72</v>
      </c>
      <c r="C743" s="20">
        <v>5</v>
      </c>
      <c r="D743" s="20">
        <v>85</v>
      </c>
      <c r="E743" t="s">
        <v>77</v>
      </c>
      <c r="F743" s="26">
        <v>45190</v>
      </c>
      <c r="G743" t="s">
        <v>79</v>
      </c>
      <c r="H743" s="5">
        <v>12.78</v>
      </c>
      <c r="I743" s="5">
        <v>37.65</v>
      </c>
      <c r="J743" s="5">
        <v>36.11</v>
      </c>
      <c r="K743" s="5">
        <v>5.16</v>
      </c>
      <c r="L743" s="5">
        <v>0.06</v>
      </c>
      <c r="M743" s="3">
        <f t="shared" si="212"/>
        <v>60</v>
      </c>
      <c r="N743" s="5">
        <v>2.93</v>
      </c>
      <c r="O743" s="23">
        <f t="shared" si="216"/>
        <v>2.9300000000000003E-3</v>
      </c>
      <c r="P743" s="23">
        <f t="shared" si="217"/>
        <v>5.2740000000000009E-2</v>
      </c>
      <c r="Q743" s="7">
        <f t="shared" si="218"/>
        <v>5.2740000000000007E-5</v>
      </c>
      <c r="R743" s="23">
        <f t="shared" si="219"/>
        <v>0.18986400000000003</v>
      </c>
      <c r="S743" s="5">
        <v>7.85</v>
      </c>
      <c r="T743" s="5">
        <v>1.36</v>
      </c>
      <c r="U743" s="5">
        <f t="shared" si="220"/>
        <v>13600.000000000002</v>
      </c>
      <c r="V743" s="8">
        <v>-0.47</v>
      </c>
      <c r="W743" s="8">
        <v>-1.69</v>
      </c>
      <c r="X743" s="5">
        <f t="shared" si="221"/>
        <v>1.22</v>
      </c>
      <c r="Y743" s="23">
        <f t="shared" si="222"/>
        <v>0.15562622950819674</v>
      </c>
      <c r="Z743" s="23">
        <f t="shared" si="213"/>
        <v>2116.516721311476</v>
      </c>
      <c r="AA743" s="11">
        <f t="shared" si="214"/>
        <v>2.3996023484909093</v>
      </c>
      <c r="AB743" s="11">
        <f t="shared" si="215"/>
        <v>32634.59193947637</v>
      </c>
    </row>
    <row r="744" spans="1:28" ht="17.25" customHeight="1" x14ac:dyDescent="0.2">
      <c r="A744" t="s">
        <v>8</v>
      </c>
      <c r="B744" s="20">
        <v>1521</v>
      </c>
      <c r="C744" s="20">
        <v>153</v>
      </c>
      <c r="D744" s="20">
        <v>69</v>
      </c>
      <c r="E744" t="s">
        <v>77</v>
      </c>
      <c r="F744" s="26">
        <v>45190</v>
      </c>
      <c r="G744" t="s">
        <v>79</v>
      </c>
      <c r="H744" s="5">
        <v>12.18</v>
      </c>
      <c r="I744" s="5">
        <v>38.22</v>
      </c>
      <c r="J744" s="5">
        <v>34.96</v>
      </c>
      <c r="K744" s="5">
        <v>4.79</v>
      </c>
      <c r="L744" s="5">
        <v>0.12</v>
      </c>
      <c r="M744" s="3">
        <f t="shared" si="212"/>
        <v>120</v>
      </c>
      <c r="N744" s="5">
        <v>5.24</v>
      </c>
      <c r="O744" s="23">
        <f t="shared" si="216"/>
        <v>5.2399999999999999E-3</v>
      </c>
      <c r="P744" s="23">
        <f t="shared" si="217"/>
        <v>9.4320000000000001E-2</v>
      </c>
      <c r="Q744" s="7">
        <f t="shared" si="218"/>
        <v>9.4320000000000005E-5</v>
      </c>
      <c r="R744" s="23">
        <f t="shared" si="219"/>
        <v>0.33955200000000002</v>
      </c>
      <c r="S744" s="5">
        <v>1.69</v>
      </c>
      <c r="T744" s="5">
        <v>0.31</v>
      </c>
      <c r="U744" s="3">
        <f t="shared" si="220"/>
        <v>3100</v>
      </c>
      <c r="V744" s="8">
        <v>-0.32</v>
      </c>
      <c r="W744" s="8">
        <v>-1.63</v>
      </c>
      <c r="X744" s="5">
        <f t="shared" si="221"/>
        <v>1.3099999999999998</v>
      </c>
      <c r="Y744" s="23">
        <f t="shared" si="222"/>
        <v>0.25920000000000004</v>
      </c>
      <c r="Z744" s="23">
        <f t="shared" si="213"/>
        <v>803.5200000000001</v>
      </c>
      <c r="AA744" s="11">
        <f t="shared" si="214"/>
        <v>3.9966073244490241</v>
      </c>
      <c r="AB744" s="11">
        <f t="shared" si="215"/>
        <v>12389.482705791976</v>
      </c>
    </row>
    <row r="745" spans="1:28" ht="17.25" customHeight="1" x14ac:dyDescent="0.2">
      <c r="A745" t="s">
        <v>8</v>
      </c>
      <c r="B745" s="20">
        <v>1521</v>
      </c>
      <c r="C745" s="20">
        <v>153</v>
      </c>
      <c r="D745" s="20">
        <v>76</v>
      </c>
      <c r="E745" t="s">
        <v>77</v>
      </c>
      <c r="F745" s="26">
        <v>45190</v>
      </c>
      <c r="G745" t="s">
        <v>79</v>
      </c>
      <c r="H745" s="5">
        <v>11.18</v>
      </c>
      <c r="I745" s="5">
        <v>38.369999999999997</v>
      </c>
      <c r="J745" s="5">
        <v>33.799999999999997</v>
      </c>
      <c r="K745" s="5">
        <v>4.5</v>
      </c>
      <c r="L745" s="5">
        <v>0.08</v>
      </c>
      <c r="M745" s="3">
        <f t="shared" si="212"/>
        <v>80</v>
      </c>
      <c r="N745" s="5">
        <v>3.24</v>
      </c>
      <c r="O745" s="23">
        <f t="shared" si="216"/>
        <v>3.2400000000000003E-3</v>
      </c>
      <c r="P745" s="23">
        <f t="shared" si="217"/>
        <v>5.8320000000000004E-2</v>
      </c>
      <c r="Q745" s="7">
        <f t="shared" si="218"/>
        <v>5.8320000000000004E-5</v>
      </c>
      <c r="R745" s="23">
        <f t="shared" si="219"/>
        <v>0.20995200000000003</v>
      </c>
      <c r="S745" s="5">
        <v>2.0299999999999998</v>
      </c>
      <c r="T745" s="5">
        <v>0.31</v>
      </c>
      <c r="U745" s="3">
        <f t="shared" si="220"/>
        <v>3100</v>
      </c>
      <c r="V745" s="8">
        <v>-0.45</v>
      </c>
      <c r="W745" s="8">
        <v>-2.36</v>
      </c>
      <c r="X745" s="5">
        <f t="shared" si="221"/>
        <v>1.91</v>
      </c>
      <c r="Y745" s="23">
        <f t="shared" si="222"/>
        <v>0.10992251308900526</v>
      </c>
      <c r="Z745" s="23">
        <f t="shared" si="213"/>
        <v>340.75979057591633</v>
      </c>
      <c r="AA745" s="11">
        <f t="shared" si="214"/>
        <v>1.6948962998972301</v>
      </c>
      <c r="AB745" s="11">
        <f t="shared" si="215"/>
        <v>5254.1785296814132</v>
      </c>
    </row>
    <row r="746" spans="1:28" ht="17.25" customHeight="1" x14ac:dyDescent="0.2">
      <c r="A746" t="s">
        <v>8</v>
      </c>
      <c r="B746" s="20">
        <v>1521</v>
      </c>
      <c r="C746" s="20">
        <v>153</v>
      </c>
      <c r="D746" s="20">
        <v>90</v>
      </c>
      <c r="E746" t="s">
        <v>77</v>
      </c>
      <c r="F746" s="26">
        <v>45189</v>
      </c>
      <c r="G746" t="s">
        <v>79</v>
      </c>
      <c r="H746" s="5">
        <v>11.93</v>
      </c>
      <c r="I746" s="5">
        <v>38.47</v>
      </c>
      <c r="J746" s="5">
        <v>36.79</v>
      </c>
      <c r="K746" s="5">
        <v>5.43</v>
      </c>
      <c r="L746" s="5">
        <v>0.08</v>
      </c>
      <c r="M746" s="3">
        <f t="shared" si="212"/>
        <v>80</v>
      </c>
      <c r="N746" s="5">
        <v>3.69</v>
      </c>
      <c r="O746" s="23">
        <f t="shared" si="216"/>
        <v>3.6900000000000001E-3</v>
      </c>
      <c r="P746" s="23">
        <f t="shared" si="217"/>
        <v>6.6420000000000007E-2</v>
      </c>
      <c r="Q746" s="7">
        <f t="shared" si="218"/>
        <v>6.6420000000000004E-5</v>
      </c>
      <c r="R746" s="23">
        <f t="shared" si="219"/>
        <v>0.23911200000000002</v>
      </c>
      <c r="S746" s="5">
        <v>1.27</v>
      </c>
      <c r="T746" s="5">
        <v>0.15</v>
      </c>
      <c r="U746" s="3">
        <f t="shared" si="220"/>
        <v>1500</v>
      </c>
      <c r="V746" s="8">
        <v>-0.37</v>
      </c>
      <c r="W746" s="8">
        <v>-1.46</v>
      </c>
      <c r="X746" s="5">
        <f t="shared" si="221"/>
        <v>1.0899999999999999</v>
      </c>
      <c r="Y746" s="23">
        <f t="shared" si="222"/>
        <v>0.21936880733944958</v>
      </c>
      <c r="Z746" s="23">
        <f t="shared" si="213"/>
        <v>329.05321100917439</v>
      </c>
      <c r="AA746" s="11">
        <f t="shared" si="214"/>
        <v>3.3824497768846098</v>
      </c>
      <c r="AB746" s="11">
        <f t="shared" si="215"/>
        <v>5073.6746653269147</v>
      </c>
    </row>
    <row r="747" spans="1:28" ht="17.25" customHeight="1" x14ac:dyDescent="0.2">
      <c r="A747" t="s">
        <v>8</v>
      </c>
      <c r="B747" s="20">
        <v>1521</v>
      </c>
      <c r="C747" s="20">
        <v>155</v>
      </c>
      <c r="D747" s="20">
        <v>62</v>
      </c>
      <c r="E747" t="s">
        <v>77</v>
      </c>
      <c r="F747" s="26">
        <v>45189</v>
      </c>
      <c r="G747" t="s">
        <v>79</v>
      </c>
      <c r="H747" s="5">
        <v>13.11</v>
      </c>
      <c r="I747" s="5">
        <v>38.22</v>
      </c>
      <c r="J747" s="5">
        <v>34.19</v>
      </c>
      <c r="K747" s="5">
        <v>4.5199999999999996</v>
      </c>
      <c r="L747" s="5">
        <v>0.18</v>
      </c>
      <c r="M747" s="3">
        <f t="shared" si="212"/>
        <v>180</v>
      </c>
      <c r="N747" s="5">
        <v>7.43</v>
      </c>
      <c r="O747" s="23">
        <f t="shared" si="216"/>
        <v>7.43E-3</v>
      </c>
      <c r="P747" s="23">
        <f t="shared" si="217"/>
        <v>0.13374</v>
      </c>
      <c r="Q747" s="7">
        <f t="shared" si="218"/>
        <v>1.3374E-4</v>
      </c>
      <c r="R747" s="23">
        <f t="shared" si="219"/>
        <v>0.481464</v>
      </c>
      <c r="S747" s="5">
        <v>2.31</v>
      </c>
      <c r="T747" s="5">
        <v>0.45</v>
      </c>
      <c r="U747" s="3">
        <f t="shared" si="220"/>
        <v>4500</v>
      </c>
      <c r="V747" s="8">
        <v>-0.46</v>
      </c>
      <c r="W747" s="8">
        <v>-1.97</v>
      </c>
      <c r="X747" s="5">
        <f t="shared" si="221"/>
        <v>1.51</v>
      </c>
      <c r="Y747" s="23">
        <f t="shared" si="222"/>
        <v>0.31885033112582783</v>
      </c>
      <c r="Z747" s="23">
        <f t="shared" si="213"/>
        <v>1434.8264900662252</v>
      </c>
      <c r="AA747" s="11">
        <f t="shared" si="214"/>
        <v>4.9163563610358016</v>
      </c>
      <c r="AB747" s="11">
        <f t="shared" si="215"/>
        <v>22123.603624661107</v>
      </c>
    </row>
    <row r="748" spans="1:28" ht="17.25" customHeight="1" x14ac:dyDescent="0.2">
      <c r="A748" t="s">
        <v>8</v>
      </c>
      <c r="B748" s="20">
        <v>1521</v>
      </c>
      <c r="C748" s="20">
        <v>155</v>
      </c>
      <c r="D748" s="20">
        <v>64</v>
      </c>
      <c r="E748" t="s">
        <v>77</v>
      </c>
      <c r="F748" s="26">
        <v>45189</v>
      </c>
      <c r="G748" t="s">
        <v>79</v>
      </c>
      <c r="H748" s="5">
        <v>14.88</v>
      </c>
      <c r="I748" s="5">
        <v>37.04</v>
      </c>
      <c r="J748" s="5">
        <v>34.630000000000003</v>
      </c>
      <c r="K748" s="5">
        <v>4.58</v>
      </c>
      <c r="L748" s="5">
        <v>0.1</v>
      </c>
      <c r="M748" s="3">
        <f t="shared" si="212"/>
        <v>100</v>
      </c>
      <c r="N748" s="5">
        <v>4.17</v>
      </c>
      <c r="O748" s="23">
        <f t="shared" si="216"/>
        <v>4.1700000000000001E-3</v>
      </c>
      <c r="P748" s="23">
        <f t="shared" si="217"/>
        <v>7.5060000000000002E-2</v>
      </c>
      <c r="Q748" s="7">
        <f t="shared" si="218"/>
        <v>7.5060000000000003E-5</v>
      </c>
      <c r="R748" s="23">
        <f t="shared" si="219"/>
        <v>0.27021600000000001</v>
      </c>
      <c r="S748" s="5">
        <v>2.25</v>
      </c>
      <c r="T748" s="5">
        <v>0.5</v>
      </c>
      <c r="U748" s="3">
        <f t="shared" si="220"/>
        <v>5000</v>
      </c>
      <c r="V748" s="8">
        <v>-0.46</v>
      </c>
      <c r="W748" s="8">
        <v>-1.83</v>
      </c>
      <c r="X748" s="5">
        <f t="shared" si="221"/>
        <v>1.37</v>
      </c>
      <c r="Y748" s="23">
        <f t="shared" si="222"/>
        <v>0.19723795620437956</v>
      </c>
      <c r="Z748" s="23">
        <f t="shared" si="213"/>
        <v>986.18978102189783</v>
      </c>
      <c r="AA748" s="11">
        <f t="shared" si="214"/>
        <v>3.0412139676920487</v>
      </c>
      <c r="AB748" s="11">
        <f t="shared" si="215"/>
        <v>15206.069838460244</v>
      </c>
    </row>
    <row r="749" spans="1:28" ht="17.25" customHeight="1" x14ac:dyDescent="0.2">
      <c r="A749" t="s">
        <v>8</v>
      </c>
      <c r="B749" s="20">
        <v>1521</v>
      </c>
      <c r="C749" s="20">
        <v>155</v>
      </c>
      <c r="D749" s="20">
        <v>66</v>
      </c>
      <c r="E749" t="s">
        <v>77</v>
      </c>
      <c r="F749" s="26">
        <v>45190</v>
      </c>
      <c r="G749" t="s">
        <v>79</v>
      </c>
      <c r="H749" s="5">
        <v>11.84</v>
      </c>
      <c r="I749" s="5">
        <v>38.14</v>
      </c>
      <c r="J749" s="5">
        <v>33.92</v>
      </c>
      <c r="K749" s="5">
        <v>4.51</v>
      </c>
      <c r="L749" s="5">
        <v>0.08</v>
      </c>
      <c r="M749" s="3">
        <f t="shared" si="212"/>
        <v>80</v>
      </c>
      <c r="N749" s="5">
        <v>3.57</v>
      </c>
      <c r="O749" s="23">
        <f t="shared" si="216"/>
        <v>3.5699999999999998E-3</v>
      </c>
      <c r="P749" s="23">
        <f t="shared" si="217"/>
        <v>6.4259999999999998E-2</v>
      </c>
      <c r="Q749" s="7">
        <f t="shared" si="218"/>
        <v>6.4259999999999998E-5</v>
      </c>
      <c r="R749" s="23">
        <f t="shared" si="219"/>
        <v>0.23133599999999999</v>
      </c>
      <c r="S749" s="5">
        <v>3.09</v>
      </c>
      <c r="T749" s="5">
        <v>0.44</v>
      </c>
      <c r="U749" s="3">
        <f t="shared" si="220"/>
        <v>4400</v>
      </c>
      <c r="V749" s="8">
        <v>-0.4</v>
      </c>
      <c r="W749" s="8">
        <v>-1.6</v>
      </c>
      <c r="X749" s="5">
        <f t="shared" si="221"/>
        <v>1.2000000000000002</v>
      </c>
      <c r="Y749" s="23">
        <f t="shared" si="222"/>
        <v>0.19277999999999995</v>
      </c>
      <c r="Z749" s="23">
        <f t="shared" si="213"/>
        <v>848.23199999999974</v>
      </c>
      <c r="AA749" s="11">
        <f t="shared" si="214"/>
        <v>2.9724766975589603</v>
      </c>
      <c r="AB749" s="11">
        <f t="shared" si="215"/>
        <v>13078.897469259426</v>
      </c>
    </row>
    <row r="750" spans="1:28" ht="17.25" customHeight="1" x14ac:dyDescent="0.2">
      <c r="A750" t="s">
        <v>8</v>
      </c>
      <c r="B750" s="20">
        <v>1521</v>
      </c>
      <c r="C750" s="20">
        <v>156</v>
      </c>
      <c r="D750" s="20">
        <v>71</v>
      </c>
      <c r="E750" t="s">
        <v>77</v>
      </c>
      <c r="F750" s="26">
        <v>45189</v>
      </c>
      <c r="G750" t="s">
        <v>79</v>
      </c>
      <c r="H750" s="5">
        <v>12.84</v>
      </c>
      <c r="I750" s="5">
        <v>38.229999999999997</v>
      </c>
      <c r="J750" s="5">
        <v>35.57</v>
      </c>
      <c r="K750" s="5">
        <v>4.95</v>
      </c>
      <c r="L750" s="5">
        <v>0.09</v>
      </c>
      <c r="M750" s="3">
        <f t="shared" si="212"/>
        <v>90</v>
      </c>
      <c r="N750" s="5">
        <v>4.18</v>
      </c>
      <c r="O750" s="23">
        <f t="shared" si="216"/>
        <v>4.1799999999999997E-3</v>
      </c>
      <c r="P750" s="23">
        <f t="shared" si="217"/>
        <v>7.5240000000000001E-2</v>
      </c>
      <c r="Q750" s="7">
        <f t="shared" si="218"/>
        <v>7.5240000000000005E-5</v>
      </c>
      <c r="R750" s="23">
        <f t="shared" si="219"/>
        <v>0.27086399999999999</v>
      </c>
      <c r="S750" s="5">
        <v>1.53</v>
      </c>
      <c r="T750" s="5">
        <v>0.24</v>
      </c>
      <c r="U750" s="3">
        <f t="shared" si="220"/>
        <v>2400</v>
      </c>
      <c r="V750" s="8">
        <v>-0.26</v>
      </c>
      <c r="W750" s="8">
        <v>-1.83</v>
      </c>
      <c r="X750" s="5">
        <f t="shared" si="221"/>
        <v>1.57</v>
      </c>
      <c r="Y750" s="23">
        <f t="shared" si="222"/>
        <v>0.17252484076433119</v>
      </c>
      <c r="Z750" s="23">
        <f t="shared" si="213"/>
        <v>414.05961783439488</v>
      </c>
      <c r="AA750" s="11">
        <f t="shared" si="214"/>
        <v>2.6601622000313561</v>
      </c>
      <c r="AB750" s="11">
        <f t="shared" si="215"/>
        <v>6384.3892800752546</v>
      </c>
    </row>
    <row r="751" spans="1:28" ht="17.25" customHeight="1" x14ac:dyDescent="0.2">
      <c r="A751" t="s">
        <v>8</v>
      </c>
      <c r="B751" s="20">
        <v>1521</v>
      </c>
      <c r="C751" s="20">
        <v>156</v>
      </c>
      <c r="D751" s="20">
        <v>74</v>
      </c>
      <c r="E751" t="s">
        <v>77</v>
      </c>
      <c r="F751" s="26">
        <v>45190</v>
      </c>
      <c r="G751" t="s">
        <v>79</v>
      </c>
      <c r="H751" s="5">
        <v>11.04</v>
      </c>
      <c r="I751" s="5">
        <v>38.65</v>
      </c>
      <c r="J751" s="5">
        <v>35.909999999999997</v>
      </c>
      <c r="K751" s="5">
        <v>5.17</v>
      </c>
      <c r="L751" s="5">
        <v>0.08</v>
      </c>
      <c r="M751" s="3">
        <f t="shared" si="212"/>
        <v>80</v>
      </c>
      <c r="N751" s="5">
        <v>4.01</v>
      </c>
      <c r="O751" s="23">
        <f t="shared" si="216"/>
        <v>4.0099999999999997E-3</v>
      </c>
      <c r="P751" s="23">
        <f t="shared" si="217"/>
        <v>7.2179999999999994E-2</v>
      </c>
      <c r="Q751" s="7">
        <f t="shared" si="218"/>
        <v>7.217999999999999E-5</v>
      </c>
      <c r="R751" s="23">
        <f t="shared" si="219"/>
        <v>0.25984799999999997</v>
      </c>
      <c r="S751" s="5">
        <v>2.2200000000000002</v>
      </c>
      <c r="T751" s="5">
        <v>0.32</v>
      </c>
      <c r="U751" s="3">
        <f t="shared" si="220"/>
        <v>3200</v>
      </c>
      <c r="V751" s="8">
        <v>-0.35</v>
      </c>
      <c r="W751" s="8">
        <v>-1.82</v>
      </c>
      <c r="X751" s="5">
        <f t="shared" si="221"/>
        <v>1.4700000000000002</v>
      </c>
      <c r="Y751" s="23">
        <f t="shared" si="222"/>
        <v>0.17676734693877547</v>
      </c>
      <c r="Z751" s="23">
        <f t="shared" si="213"/>
        <v>565.65551020408145</v>
      </c>
      <c r="AA751" s="11">
        <f t="shared" si="214"/>
        <v>2.7255774440545202</v>
      </c>
      <c r="AB751" s="11">
        <f t="shared" si="215"/>
        <v>8721.8478209744644</v>
      </c>
    </row>
    <row r="752" spans="1:28" ht="17.25" customHeight="1" x14ac:dyDescent="0.2">
      <c r="A752" t="s">
        <v>8</v>
      </c>
      <c r="B752" s="20">
        <v>1521</v>
      </c>
      <c r="C752" s="20">
        <v>156</v>
      </c>
      <c r="D752" s="20">
        <v>75</v>
      </c>
      <c r="E752" t="s">
        <v>77</v>
      </c>
      <c r="F752" s="26">
        <v>45190</v>
      </c>
      <c r="G752" t="s">
        <v>79</v>
      </c>
      <c r="H752" s="5">
        <v>11.39</v>
      </c>
      <c r="I752" s="5">
        <v>38.29</v>
      </c>
      <c r="J752" s="5">
        <v>33.909999999999997</v>
      </c>
      <c r="K752" s="5">
        <v>4.53</v>
      </c>
      <c r="L752" s="5">
        <v>0.09</v>
      </c>
      <c r="M752" s="3">
        <f t="shared" si="212"/>
        <v>90</v>
      </c>
      <c r="N752" s="5">
        <v>3.92</v>
      </c>
      <c r="O752" s="23">
        <f t="shared" si="216"/>
        <v>3.9199999999999999E-3</v>
      </c>
      <c r="P752" s="23">
        <f t="shared" si="217"/>
        <v>7.0559999999999998E-2</v>
      </c>
      <c r="Q752" s="7">
        <f t="shared" si="218"/>
        <v>7.0560000000000002E-5</v>
      </c>
      <c r="R752" s="23">
        <f t="shared" si="219"/>
        <v>0.25401600000000002</v>
      </c>
      <c r="S752" s="5">
        <v>3.2</v>
      </c>
      <c r="T752" s="5">
        <v>0.59</v>
      </c>
      <c r="U752" s="3">
        <f t="shared" si="220"/>
        <v>5900</v>
      </c>
      <c r="V752" s="8">
        <v>-0.31</v>
      </c>
      <c r="W752" s="8">
        <v>-1.86</v>
      </c>
      <c r="X752" s="5">
        <f t="shared" si="221"/>
        <v>1.55</v>
      </c>
      <c r="Y752" s="23">
        <f t="shared" si="222"/>
        <v>0.16388129032258064</v>
      </c>
      <c r="Z752" s="23">
        <f t="shared" si="213"/>
        <v>966.89961290322583</v>
      </c>
      <c r="AA752" s="11">
        <f t="shared" si="214"/>
        <v>2.5268872115871241</v>
      </c>
      <c r="AB752" s="11">
        <f t="shared" si="215"/>
        <v>14908.634548364033</v>
      </c>
    </row>
    <row r="753" spans="1:28" ht="17.25" customHeight="1" x14ac:dyDescent="0.2">
      <c r="A753" t="s">
        <v>8</v>
      </c>
      <c r="B753" s="20">
        <v>1521</v>
      </c>
      <c r="C753" s="20">
        <v>157</v>
      </c>
      <c r="D753" s="20">
        <v>67</v>
      </c>
      <c r="E753" t="s">
        <v>77</v>
      </c>
      <c r="F753" s="26">
        <v>45190</v>
      </c>
      <c r="G753" t="s">
        <v>79</v>
      </c>
      <c r="H753" s="5">
        <v>12.38</v>
      </c>
      <c r="I753" s="5">
        <v>37.79</v>
      </c>
      <c r="J753" s="5">
        <v>35.200000000000003</v>
      </c>
      <c r="K753" s="5">
        <v>4.88</v>
      </c>
      <c r="L753" s="5">
        <v>0.08</v>
      </c>
      <c r="M753" s="3">
        <f t="shared" si="212"/>
        <v>80</v>
      </c>
      <c r="N753" s="5">
        <v>3.5</v>
      </c>
      <c r="O753" s="23">
        <f t="shared" si="216"/>
        <v>3.5000000000000001E-3</v>
      </c>
      <c r="P753" s="23">
        <f t="shared" si="217"/>
        <v>6.3E-2</v>
      </c>
      <c r="Q753" s="7">
        <f t="shared" si="218"/>
        <v>6.3E-5</v>
      </c>
      <c r="R753" s="23">
        <f t="shared" si="219"/>
        <v>0.2268</v>
      </c>
      <c r="S753" s="5">
        <v>2.02</v>
      </c>
      <c r="T753" s="5">
        <v>0.35</v>
      </c>
      <c r="U753" s="3">
        <f t="shared" si="220"/>
        <v>3500</v>
      </c>
      <c r="V753" s="8">
        <v>-0.57999999999999996</v>
      </c>
      <c r="W753" s="8">
        <v>-2.08</v>
      </c>
      <c r="X753" s="5">
        <f t="shared" si="221"/>
        <v>1.5</v>
      </c>
      <c r="Y753" s="23">
        <f t="shared" si="222"/>
        <v>0.1512</v>
      </c>
      <c r="Z753" s="23">
        <f t="shared" si="213"/>
        <v>529.20000000000005</v>
      </c>
      <c r="AA753" s="11">
        <f t="shared" si="214"/>
        <v>2.3313542725952634</v>
      </c>
      <c r="AB753" s="11">
        <f t="shared" si="215"/>
        <v>8159.7399540834222</v>
      </c>
    </row>
    <row r="754" spans="1:28" ht="17.25" customHeight="1" x14ac:dyDescent="0.2">
      <c r="A754" t="s">
        <v>8</v>
      </c>
      <c r="B754" s="20">
        <v>1521</v>
      </c>
      <c r="C754" s="20">
        <v>157</v>
      </c>
      <c r="D754" s="20">
        <v>68</v>
      </c>
      <c r="E754" t="s">
        <v>77</v>
      </c>
      <c r="F754" s="26">
        <v>45190</v>
      </c>
      <c r="G754" t="s">
        <v>79</v>
      </c>
      <c r="H754" s="5">
        <v>12.03</v>
      </c>
      <c r="I754" s="5">
        <v>37.159999999999997</v>
      </c>
      <c r="J754" s="5">
        <v>35.36</v>
      </c>
      <c r="K754" s="5">
        <v>4.9800000000000004</v>
      </c>
      <c r="L754" s="5">
        <v>0.11</v>
      </c>
      <c r="M754" s="3">
        <f t="shared" si="212"/>
        <v>110</v>
      </c>
      <c r="N754" s="5">
        <v>5.29</v>
      </c>
      <c r="O754" s="23">
        <f t="shared" si="216"/>
        <v>5.2900000000000004E-3</v>
      </c>
      <c r="P754" s="23">
        <f t="shared" si="217"/>
        <v>9.5220000000000013E-2</v>
      </c>
      <c r="Q754" s="7">
        <f t="shared" si="218"/>
        <v>9.5220000000000013E-5</v>
      </c>
      <c r="R754" s="23">
        <f t="shared" si="219"/>
        <v>0.34279200000000004</v>
      </c>
      <c r="S754" s="5">
        <v>2.2400000000000002</v>
      </c>
      <c r="T754" s="5">
        <v>0.41</v>
      </c>
      <c r="U754" s="3">
        <f t="shared" si="220"/>
        <v>4100</v>
      </c>
      <c r="V754" s="8">
        <v>-0.71</v>
      </c>
      <c r="W754" s="8">
        <v>-2.42</v>
      </c>
      <c r="X754" s="5">
        <f t="shared" si="221"/>
        <v>1.71</v>
      </c>
      <c r="Y754" s="23">
        <f t="shared" si="222"/>
        <v>0.20046315789473687</v>
      </c>
      <c r="Z754" s="23">
        <f t="shared" si="213"/>
        <v>821.8989473684212</v>
      </c>
      <c r="AA754" s="11">
        <f t="shared" si="214"/>
        <v>3.0909433839671538</v>
      </c>
      <c r="AB754" s="11">
        <f t="shared" si="215"/>
        <v>12672.86787426533</v>
      </c>
    </row>
    <row r="755" spans="1:28" ht="17.25" customHeight="1" x14ac:dyDescent="0.2">
      <c r="A755" t="s">
        <v>8</v>
      </c>
      <c r="B755" s="20">
        <v>1521</v>
      </c>
      <c r="C755" s="20">
        <v>157</v>
      </c>
      <c r="D755" s="20">
        <v>72</v>
      </c>
      <c r="E755" t="s">
        <v>77</v>
      </c>
      <c r="F755" s="26">
        <v>45189</v>
      </c>
      <c r="G755" t="s">
        <v>79</v>
      </c>
      <c r="H755" s="5">
        <v>13.25</v>
      </c>
      <c r="I755" s="5">
        <v>37.979999999999997</v>
      </c>
      <c r="J755" s="5">
        <v>34.47</v>
      </c>
      <c r="K755" s="5">
        <v>4.59</v>
      </c>
      <c r="L755" s="5">
        <v>0.1</v>
      </c>
      <c r="M755" s="3">
        <f t="shared" si="212"/>
        <v>100</v>
      </c>
      <c r="N755" s="5">
        <v>4.22</v>
      </c>
      <c r="O755" s="23">
        <f t="shared" si="216"/>
        <v>4.2199999999999998E-3</v>
      </c>
      <c r="P755" s="23">
        <f t="shared" si="217"/>
        <v>7.596E-2</v>
      </c>
      <c r="Q755" s="7">
        <f t="shared" si="218"/>
        <v>7.5959999999999998E-5</v>
      </c>
      <c r="R755" s="23">
        <f t="shared" si="219"/>
        <v>0.27345599999999998</v>
      </c>
      <c r="S755" s="5">
        <v>2.52</v>
      </c>
      <c r="T755" s="5">
        <v>0.46</v>
      </c>
      <c r="U755" s="3">
        <f t="shared" si="220"/>
        <v>4600</v>
      </c>
      <c r="V755" s="8">
        <v>-0.59</v>
      </c>
      <c r="W755" s="8">
        <v>-1.78</v>
      </c>
      <c r="X755" s="5">
        <f t="shared" si="221"/>
        <v>1.19</v>
      </c>
      <c r="Y755" s="23">
        <f t="shared" si="222"/>
        <v>0.22979495798319327</v>
      </c>
      <c r="Z755" s="23">
        <f t="shared" si="213"/>
        <v>1057.0568067226891</v>
      </c>
      <c r="AA755" s="11">
        <f t="shared" si="214"/>
        <v>3.5432106952048059</v>
      </c>
      <c r="AB755" s="11">
        <f t="shared" si="215"/>
        <v>16298.769197942107</v>
      </c>
    </row>
    <row r="756" spans="1:28" ht="17.25" customHeight="1" x14ac:dyDescent="0.2">
      <c r="A756" t="s">
        <v>8</v>
      </c>
      <c r="B756" s="20">
        <v>1521</v>
      </c>
      <c r="C756" s="20">
        <v>158</v>
      </c>
      <c r="D756" s="20">
        <v>70</v>
      </c>
      <c r="E756" t="s">
        <v>77</v>
      </c>
      <c r="F756" s="26">
        <v>45190</v>
      </c>
      <c r="G756" t="s">
        <v>79</v>
      </c>
      <c r="H756" s="5">
        <v>13.03</v>
      </c>
      <c r="I756" s="5">
        <v>37.53</v>
      </c>
      <c r="J756" s="5">
        <v>34.65</v>
      </c>
      <c r="K756" s="5">
        <v>4.68</v>
      </c>
      <c r="L756" s="5">
        <v>0.09</v>
      </c>
      <c r="M756" s="3">
        <f t="shared" si="212"/>
        <v>90</v>
      </c>
      <c r="N756" s="5">
        <v>3.8</v>
      </c>
      <c r="O756" s="23">
        <f t="shared" si="216"/>
        <v>3.8E-3</v>
      </c>
      <c r="P756" s="23">
        <f t="shared" si="217"/>
        <v>6.8400000000000002E-2</v>
      </c>
      <c r="Q756" s="7">
        <f t="shared" si="218"/>
        <v>6.8400000000000009E-5</v>
      </c>
      <c r="R756" s="23">
        <f t="shared" si="219"/>
        <v>0.24624000000000004</v>
      </c>
      <c r="S756" s="5">
        <v>1.21</v>
      </c>
      <c r="T756" s="5">
        <v>0.27</v>
      </c>
      <c r="U756" s="3">
        <f t="shared" si="220"/>
        <v>2700</v>
      </c>
      <c r="V756" s="8">
        <v>-0.41</v>
      </c>
      <c r="W756" s="8">
        <v>-1.93</v>
      </c>
      <c r="X756" s="5">
        <f t="shared" si="221"/>
        <v>1.52</v>
      </c>
      <c r="Y756" s="23">
        <f t="shared" si="222"/>
        <v>0.16200000000000003</v>
      </c>
      <c r="Z756" s="23">
        <f t="shared" si="213"/>
        <v>437.40000000000009</v>
      </c>
      <c r="AA756" s="11">
        <f t="shared" si="214"/>
        <v>2.49787957778064</v>
      </c>
      <c r="AB756" s="11">
        <f t="shared" si="215"/>
        <v>6744.2748600077275</v>
      </c>
    </row>
    <row r="757" spans="1:28" ht="17.25" customHeight="1" x14ac:dyDescent="0.2">
      <c r="A757" t="s">
        <v>8</v>
      </c>
      <c r="B757" s="20">
        <v>1521</v>
      </c>
      <c r="C757" s="20">
        <v>158</v>
      </c>
      <c r="D757" s="20">
        <v>73</v>
      </c>
      <c r="E757" t="s">
        <v>77</v>
      </c>
      <c r="F757" s="26">
        <v>45190</v>
      </c>
      <c r="G757" t="s">
        <v>79</v>
      </c>
      <c r="H757" s="5">
        <v>10.69</v>
      </c>
      <c r="I757" s="5">
        <v>38.6</v>
      </c>
      <c r="J757" s="5">
        <v>34.35</v>
      </c>
      <c r="K757" s="5">
        <v>4.7</v>
      </c>
      <c r="L757" s="5">
        <v>0.08</v>
      </c>
      <c r="M757" s="3">
        <f t="shared" si="212"/>
        <v>80</v>
      </c>
      <c r="N757" s="5">
        <v>3.41</v>
      </c>
      <c r="O757" s="23">
        <f t="shared" si="216"/>
        <v>3.4100000000000003E-3</v>
      </c>
      <c r="P757" s="23">
        <f t="shared" si="217"/>
        <v>6.1380000000000004E-2</v>
      </c>
      <c r="Q757" s="7">
        <f t="shared" si="218"/>
        <v>6.1379999999999998E-5</v>
      </c>
      <c r="R757" s="23">
        <f t="shared" si="219"/>
        <v>0.220968</v>
      </c>
      <c r="S757" s="5">
        <v>0.73</v>
      </c>
      <c r="T757" s="5">
        <v>0.16</v>
      </c>
      <c r="U757" s="3">
        <f t="shared" si="220"/>
        <v>1600</v>
      </c>
      <c r="V757" s="8">
        <v>-0.43</v>
      </c>
      <c r="W757" s="8">
        <v>-2.04</v>
      </c>
      <c r="X757" s="5">
        <f t="shared" si="221"/>
        <v>1.61</v>
      </c>
      <c r="Y757" s="23">
        <f t="shared" si="222"/>
        <v>0.1372472049689441</v>
      </c>
      <c r="Z757" s="23">
        <f t="shared" si="213"/>
        <v>219.59552795031055</v>
      </c>
      <c r="AA757" s="11">
        <f t="shared" si="214"/>
        <v>2.1162159901197466</v>
      </c>
      <c r="AB757" s="11">
        <f t="shared" si="215"/>
        <v>3385.9455841915947</v>
      </c>
    </row>
    <row r="758" spans="1:28" ht="17.25" customHeight="1" x14ac:dyDescent="0.2">
      <c r="A758" t="s">
        <v>8</v>
      </c>
      <c r="B758" s="20">
        <v>1521</v>
      </c>
      <c r="C758" s="20">
        <v>158</v>
      </c>
      <c r="D758" s="20">
        <v>81</v>
      </c>
      <c r="E758" t="s">
        <v>77</v>
      </c>
      <c r="F758" s="26">
        <v>45190</v>
      </c>
      <c r="G758" t="s">
        <v>79</v>
      </c>
      <c r="H758" s="5">
        <v>13.22</v>
      </c>
      <c r="I758" s="5">
        <v>37.79</v>
      </c>
      <c r="J758" s="5">
        <v>38.340000000000003</v>
      </c>
      <c r="K758" s="5">
        <v>5.9</v>
      </c>
      <c r="L758" s="5">
        <v>0.06</v>
      </c>
      <c r="M758" s="3">
        <f t="shared" si="212"/>
        <v>60</v>
      </c>
      <c r="N758" s="5">
        <v>3.03</v>
      </c>
      <c r="O758" s="23">
        <f t="shared" si="216"/>
        <v>3.0299999999999997E-3</v>
      </c>
      <c r="P758" s="23">
        <f t="shared" si="217"/>
        <v>5.4539999999999991E-2</v>
      </c>
      <c r="Q758" s="7">
        <f t="shared" si="218"/>
        <v>5.4539999999999989E-5</v>
      </c>
      <c r="R758" s="23">
        <f t="shared" si="219"/>
        <v>0.19634399999999996</v>
      </c>
      <c r="S758" s="5">
        <v>0.69</v>
      </c>
      <c r="T758" s="5">
        <v>0.22</v>
      </c>
      <c r="U758" s="3">
        <f t="shared" si="220"/>
        <v>2200</v>
      </c>
      <c r="V758" s="8">
        <v>-0.4</v>
      </c>
      <c r="W758" s="8">
        <v>-1.77</v>
      </c>
      <c r="X758" s="5">
        <f t="shared" si="221"/>
        <v>1.37</v>
      </c>
      <c r="Y758" s="23">
        <f t="shared" si="222"/>
        <v>0.14331678832116784</v>
      </c>
      <c r="Z758" s="23">
        <f t="shared" si="213"/>
        <v>315.29693430656926</v>
      </c>
      <c r="AA758" s="11">
        <f t="shared" si="214"/>
        <v>2.2098029549417038</v>
      </c>
      <c r="AB758" s="11">
        <f t="shared" si="215"/>
        <v>4861.5665008717478</v>
      </c>
    </row>
    <row r="759" spans="1:28" ht="17.25" customHeight="1" x14ac:dyDescent="0.2">
      <c r="A759" t="s">
        <v>9</v>
      </c>
      <c r="B759" s="20">
        <v>666</v>
      </c>
      <c r="C759" s="20">
        <v>101</v>
      </c>
      <c r="D759" s="20">
        <v>1</v>
      </c>
      <c r="E759" t="s">
        <v>77</v>
      </c>
      <c r="F759" s="26">
        <v>45189</v>
      </c>
      <c r="G759" t="s">
        <v>79</v>
      </c>
      <c r="H759" s="5">
        <v>11.78</v>
      </c>
      <c r="I759" s="5">
        <v>38.909999999999997</v>
      </c>
      <c r="J759" s="5">
        <v>34.619999999999997</v>
      </c>
      <c r="K759" s="5">
        <v>4.7</v>
      </c>
      <c r="L759" s="5">
        <v>0.14000000000000001</v>
      </c>
      <c r="M759" s="3">
        <f t="shared" si="212"/>
        <v>140</v>
      </c>
      <c r="N759" s="5">
        <v>6.04</v>
      </c>
      <c r="O759" s="23">
        <f t="shared" si="216"/>
        <v>6.0400000000000002E-3</v>
      </c>
      <c r="P759" s="23">
        <f t="shared" si="217"/>
        <v>0.10872000000000001</v>
      </c>
      <c r="Q759" s="7">
        <f t="shared" si="218"/>
        <v>1.0872000000000002E-4</v>
      </c>
      <c r="R759" s="23">
        <f t="shared" si="219"/>
        <v>0.39139200000000007</v>
      </c>
      <c r="S759" s="5">
        <v>5.48</v>
      </c>
      <c r="T759" s="5">
        <v>0.73</v>
      </c>
      <c r="U759" s="3">
        <f t="shared" si="220"/>
        <v>7300</v>
      </c>
      <c r="V759" s="8">
        <v>-0.39</v>
      </c>
      <c r="W759" s="8">
        <v>-2.34</v>
      </c>
      <c r="X759" s="5">
        <f t="shared" si="221"/>
        <v>1.9499999999999997</v>
      </c>
      <c r="Y759" s="23">
        <f t="shared" si="222"/>
        <v>0.20071384615384621</v>
      </c>
      <c r="Z759" s="23">
        <f t="shared" si="213"/>
        <v>1465.2110769230774</v>
      </c>
      <c r="AA759" s="11">
        <f t="shared" si="214"/>
        <v>3.094808748675911</v>
      </c>
      <c r="AB759" s="11">
        <f t="shared" si="215"/>
        <v>22592.103865334149</v>
      </c>
    </row>
    <row r="760" spans="1:28" ht="17.25" customHeight="1" x14ac:dyDescent="0.2">
      <c r="A760" t="s">
        <v>9</v>
      </c>
      <c r="B760" s="20">
        <v>666</v>
      </c>
      <c r="C760" s="20">
        <v>101</v>
      </c>
      <c r="D760" s="20">
        <v>2</v>
      </c>
      <c r="E760" t="s">
        <v>77</v>
      </c>
      <c r="F760" s="26">
        <v>45189</v>
      </c>
      <c r="G760" t="s">
        <v>79</v>
      </c>
      <c r="H760" s="5">
        <v>12.84</v>
      </c>
      <c r="I760" s="5">
        <v>38.4</v>
      </c>
      <c r="J760" s="5">
        <v>34.76</v>
      </c>
      <c r="K760" s="5">
        <v>4.68</v>
      </c>
      <c r="L760" s="5">
        <v>0.12</v>
      </c>
      <c r="M760" s="3">
        <f t="shared" si="212"/>
        <v>120</v>
      </c>
      <c r="N760" s="5">
        <v>5.27</v>
      </c>
      <c r="O760" s="23">
        <f t="shared" si="216"/>
        <v>5.2699999999999995E-3</v>
      </c>
      <c r="P760" s="23">
        <f t="shared" si="217"/>
        <v>9.4859999999999986E-2</v>
      </c>
      <c r="Q760" s="7">
        <f t="shared" si="218"/>
        <v>9.4859999999999983E-5</v>
      </c>
      <c r="R760" s="23">
        <f t="shared" si="219"/>
        <v>0.34149599999999991</v>
      </c>
      <c r="S760" s="5">
        <v>4.08</v>
      </c>
      <c r="T760" s="5">
        <v>0.49</v>
      </c>
      <c r="U760" s="3">
        <f t="shared" si="220"/>
        <v>4900</v>
      </c>
      <c r="V760" s="8">
        <v>-0.32</v>
      </c>
      <c r="W760" s="8">
        <v>-2.02</v>
      </c>
      <c r="X760" s="5">
        <f t="shared" si="221"/>
        <v>1.7</v>
      </c>
      <c r="Y760" s="23">
        <f t="shared" si="222"/>
        <v>0.20087999999999995</v>
      </c>
      <c r="Z760" s="23">
        <f t="shared" si="213"/>
        <v>984.31199999999978</v>
      </c>
      <c r="AA760" s="11">
        <f t="shared" si="214"/>
        <v>3.0973706764479925</v>
      </c>
      <c r="AB760" s="11">
        <f t="shared" si="215"/>
        <v>15177.116314595163</v>
      </c>
    </row>
    <row r="761" spans="1:28" ht="17.25" customHeight="1" x14ac:dyDescent="0.2">
      <c r="A761" t="s">
        <v>9</v>
      </c>
      <c r="B761" s="20">
        <v>666</v>
      </c>
      <c r="C761" s="20">
        <v>101</v>
      </c>
      <c r="D761" s="20">
        <v>3</v>
      </c>
      <c r="E761" t="s">
        <v>77</v>
      </c>
      <c r="F761" s="26">
        <v>45189</v>
      </c>
      <c r="G761" t="s">
        <v>79</v>
      </c>
      <c r="H761" s="5">
        <v>12.52</v>
      </c>
      <c r="I761" s="5">
        <v>38.409999999999997</v>
      </c>
      <c r="J761" s="5">
        <v>34.08</v>
      </c>
      <c r="K761" s="5">
        <v>4.51</v>
      </c>
      <c r="L761" s="5">
        <v>0.16</v>
      </c>
      <c r="M761" s="3">
        <f t="shared" si="212"/>
        <v>160</v>
      </c>
      <c r="N761" s="5">
        <v>6.34</v>
      </c>
      <c r="O761" s="23">
        <f t="shared" si="216"/>
        <v>6.3400000000000001E-3</v>
      </c>
      <c r="P761" s="23">
        <f t="shared" si="217"/>
        <v>0.11412</v>
      </c>
      <c r="Q761" s="7">
        <f t="shared" si="218"/>
        <v>1.1412E-4</v>
      </c>
      <c r="R761" s="23">
        <f t="shared" si="219"/>
        <v>0.41083199999999997</v>
      </c>
      <c r="S761" s="5">
        <v>6.39</v>
      </c>
      <c r="T761" s="5">
        <v>0.75</v>
      </c>
      <c r="U761" s="3">
        <f t="shared" si="220"/>
        <v>7500</v>
      </c>
      <c r="V761" s="8">
        <v>-0.49</v>
      </c>
      <c r="W761" s="8">
        <v>-2.02</v>
      </c>
      <c r="X761" s="5">
        <f t="shared" si="221"/>
        <v>1.53</v>
      </c>
      <c r="Y761" s="23">
        <f t="shared" si="222"/>
        <v>0.26851764705882353</v>
      </c>
      <c r="Z761" s="23">
        <f t="shared" si="213"/>
        <v>2013.8823529411764</v>
      </c>
      <c r="AA761" s="11">
        <f t="shared" si="214"/>
        <v>4.1402762151971899</v>
      </c>
      <c r="AB761" s="11">
        <f t="shared" si="215"/>
        <v>31052.071613978926</v>
      </c>
    </row>
    <row r="762" spans="1:28" ht="17.25" customHeight="1" x14ac:dyDescent="0.2">
      <c r="A762" t="s">
        <v>9</v>
      </c>
      <c r="B762" s="20">
        <v>666</v>
      </c>
      <c r="C762" s="20">
        <v>105</v>
      </c>
      <c r="D762" s="20">
        <v>7</v>
      </c>
      <c r="E762" t="s">
        <v>77</v>
      </c>
      <c r="F762" s="26">
        <v>45189</v>
      </c>
      <c r="G762" t="s">
        <v>79</v>
      </c>
      <c r="H762" s="5">
        <v>13.38</v>
      </c>
      <c r="I762" s="5">
        <v>38.32</v>
      </c>
      <c r="J762" s="5">
        <v>36.5</v>
      </c>
      <c r="K762" s="5">
        <v>5.23</v>
      </c>
      <c r="L762" s="5">
        <v>7.0000000000000007E-2</v>
      </c>
      <c r="M762" s="3">
        <f t="shared" si="212"/>
        <v>70</v>
      </c>
      <c r="N762" s="5">
        <v>3.54</v>
      </c>
      <c r="O762" s="23">
        <f t="shared" si="216"/>
        <v>3.5400000000000002E-3</v>
      </c>
      <c r="P762" s="23">
        <f t="shared" si="217"/>
        <v>6.3719999999999999E-2</v>
      </c>
      <c r="Q762" s="7">
        <f t="shared" si="218"/>
        <v>6.3719999999999993E-5</v>
      </c>
      <c r="R762" s="23">
        <f t="shared" si="219"/>
        <v>0.22939199999999998</v>
      </c>
      <c r="S762" s="5">
        <v>3.32</v>
      </c>
      <c r="T762" s="5">
        <v>0.56000000000000005</v>
      </c>
      <c r="U762" s="5">
        <f t="shared" si="220"/>
        <v>5600.0000000000009</v>
      </c>
      <c r="V762" s="8">
        <v>-0.15</v>
      </c>
      <c r="W762" s="8">
        <v>-1.69</v>
      </c>
      <c r="X762" s="5">
        <f t="shared" si="221"/>
        <v>1.54</v>
      </c>
      <c r="Y762" s="23">
        <f t="shared" si="222"/>
        <v>0.14895584415584415</v>
      </c>
      <c r="Z762" s="23">
        <f t="shared" si="213"/>
        <v>834.15272727272736</v>
      </c>
      <c r="AA762" s="11">
        <f t="shared" si="214"/>
        <v>2.2967516117775233</v>
      </c>
      <c r="AB762" s="11">
        <f t="shared" si="215"/>
        <v>12861.809025954133</v>
      </c>
    </row>
    <row r="763" spans="1:28" ht="17.25" customHeight="1" x14ac:dyDescent="0.2">
      <c r="A763" t="s">
        <v>9</v>
      </c>
      <c r="B763" s="20">
        <v>666</v>
      </c>
      <c r="C763" s="20">
        <v>105</v>
      </c>
      <c r="D763" s="20">
        <v>8</v>
      </c>
      <c r="E763" t="s">
        <v>77</v>
      </c>
      <c r="F763" s="26">
        <v>45189</v>
      </c>
      <c r="G763" t="s">
        <v>79</v>
      </c>
      <c r="H763" s="5">
        <v>13.58</v>
      </c>
      <c r="I763" s="5">
        <v>38.08</v>
      </c>
      <c r="J763" s="5">
        <v>32.83</v>
      </c>
      <c r="K763" s="5">
        <v>4.08</v>
      </c>
      <c r="L763" s="5">
        <v>0.25</v>
      </c>
      <c r="M763" s="3">
        <f t="shared" si="212"/>
        <v>250</v>
      </c>
      <c r="N763" s="5">
        <v>9.5</v>
      </c>
      <c r="O763" s="23">
        <f t="shared" si="216"/>
        <v>9.4999999999999998E-3</v>
      </c>
      <c r="P763" s="23">
        <f t="shared" si="217"/>
        <v>0.17099999999999999</v>
      </c>
      <c r="Q763" s="7">
        <f t="shared" si="218"/>
        <v>1.7099999999999998E-4</v>
      </c>
      <c r="R763" s="23">
        <f t="shared" si="219"/>
        <v>0.61559999999999993</v>
      </c>
      <c r="S763" s="5">
        <v>1.18</v>
      </c>
      <c r="T763" s="5">
        <v>0.18</v>
      </c>
      <c r="U763" s="3">
        <f t="shared" si="220"/>
        <v>1800</v>
      </c>
      <c r="V763" s="8">
        <v>-0.52</v>
      </c>
      <c r="W763" s="8">
        <v>-1.94</v>
      </c>
      <c r="X763" s="5">
        <f t="shared" si="221"/>
        <v>1.42</v>
      </c>
      <c r="Y763" s="23">
        <f t="shared" si="222"/>
        <v>0.43352112676056337</v>
      </c>
      <c r="Z763" s="23">
        <f t="shared" si="213"/>
        <v>780.33802816901402</v>
      </c>
      <c r="AA763" s="11">
        <f t="shared" si="214"/>
        <v>6.6844664757510071</v>
      </c>
      <c r="AB763" s="11">
        <f t="shared" si="215"/>
        <v>12032.039656351813</v>
      </c>
    </row>
    <row r="764" spans="1:28" ht="17.25" customHeight="1" x14ac:dyDescent="0.2">
      <c r="A764" t="s">
        <v>9</v>
      </c>
      <c r="B764" s="20">
        <v>666</v>
      </c>
      <c r="C764" s="20">
        <v>105</v>
      </c>
      <c r="D764" s="20">
        <v>9</v>
      </c>
      <c r="E764" t="s">
        <v>77</v>
      </c>
      <c r="F764" s="26">
        <v>45190</v>
      </c>
      <c r="G764" t="s">
        <v>79</v>
      </c>
      <c r="H764" s="5">
        <v>12.39</v>
      </c>
      <c r="I764" s="5">
        <v>37.96</v>
      </c>
      <c r="J764" s="5">
        <v>34.1</v>
      </c>
      <c r="K764" s="5">
        <v>4.53</v>
      </c>
      <c r="L764" s="5">
        <v>0.15</v>
      </c>
      <c r="M764" s="3">
        <f t="shared" si="212"/>
        <v>150</v>
      </c>
      <c r="N764" s="5">
        <v>6.46</v>
      </c>
      <c r="O764" s="23">
        <f t="shared" si="216"/>
        <v>6.4599999999999996E-3</v>
      </c>
      <c r="P764" s="23">
        <f t="shared" si="217"/>
        <v>0.11627999999999999</v>
      </c>
      <c r="Q764" s="7">
        <f t="shared" si="218"/>
        <v>1.1627999999999999E-4</v>
      </c>
      <c r="R764" s="23">
        <f t="shared" si="219"/>
        <v>0.41860799999999998</v>
      </c>
      <c r="S764" s="5">
        <v>4.63</v>
      </c>
      <c r="T764" s="5">
        <v>0.75</v>
      </c>
      <c r="U764" s="3">
        <f t="shared" si="220"/>
        <v>7500</v>
      </c>
      <c r="V764" s="8">
        <v>-0.21</v>
      </c>
      <c r="W764" s="8">
        <v>-1.89</v>
      </c>
      <c r="X764" s="5">
        <f t="shared" si="221"/>
        <v>1.68</v>
      </c>
      <c r="Y764" s="23">
        <f t="shared" si="222"/>
        <v>0.24917142857142857</v>
      </c>
      <c r="Z764" s="23">
        <f t="shared" si="213"/>
        <v>1868.7857142857142</v>
      </c>
      <c r="AA764" s="11">
        <f t="shared" si="214"/>
        <v>3.841976683919746</v>
      </c>
      <c r="AB764" s="11">
        <f t="shared" si="215"/>
        <v>28814.825129398094</v>
      </c>
    </row>
    <row r="765" spans="1:28" ht="17.25" customHeight="1" x14ac:dyDescent="0.2">
      <c r="A765" t="s">
        <v>9</v>
      </c>
      <c r="B765" s="20">
        <v>666</v>
      </c>
      <c r="C765" s="20">
        <v>118</v>
      </c>
      <c r="D765" s="20">
        <v>10</v>
      </c>
      <c r="E765" t="s">
        <v>77</v>
      </c>
      <c r="F765" s="26">
        <v>45190</v>
      </c>
      <c r="G765" t="s">
        <v>79</v>
      </c>
      <c r="H765" s="5">
        <v>13.75</v>
      </c>
      <c r="I765" s="5">
        <v>37.61</v>
      </c>
      <c r="J765" s="5">
        <v>34.479999999999997</v>
      </c>
      <c r="K765" s="5">
        <v>4.58</v>
      </c>
      <c r="L765" s="5">
        <v>0.13</v>
      </c>
      <c r="M765" s="3">
        <f t="shared" si="212"/>
        <v>130</v>
      </c>
      <c r="N765" s="5">
        <v>5.63</v>
      </c>
      <c r="O765" s="23">
        <f t="shared" ref="O765:O788" si="223">N765/1000</f>
        <v>5.6299999999999996E-3</v>
      </c>
      <c r="P765" s="23">
        <f t="shared" ref="P765:P788" si="224">O765*18</f>
        <v>0.10133999999999999</v>
      </c>
      <c r="Q765" s="7">
        <f t="shared" ref="Q765:Q788" si="225">P765/1000</f>
        <v>1.0133999999999999E-4</v>
      </c>
      <c r="R765" s="23">
        <f t="shared" ref="R765:R788" si="226">Q765*3600</f>
        <v>0.36482399999999998</v>
      </c>
      <c r="S765" s="5">
        <v>10.06</v>
      </c>
      <c r="T765" s="5">
        <v>1.55</v>
      </c>
      <c r="U765" s="3">
        <f t="shared" ref="U765:U788" si="227">T765*10000</f>
        <v>15500</v>
      </c>
      <c r="V765" s="8">
        <v>-0.67</v>
      </c>
      <c r="W765" s="8">
        <v>-1.98</v>
      </c>
      <c r="X765" s="5">
        <f t="shared" ref="X765:X788" si="228">V765-W765</f>
        <v>1.31</v>
      </c>
      <c r="Y765" s="23">
        <f t="shared" ref="Y765:Y788" si="229">R765/X765</f>
        <v>0.27849160305343507</v>
      </c>
      <c r="Z765" s="23">
        <f t="shared" si="213"/>
        <v>4316.6198473282438</v>
      </c>
      <c r="AA765" s="11">
        <f t="shared" si="214"/>
        <v>4.29406473981832</v>
      </c>
      <c r="AB765" s="11">
        <f t="shared" si="215"/>
        <v>66558.003467183968</v>
      </c>
    </row>
    <row r="766" spans="1:28" ht="17.25" customHeight="1" x14ac:dyDescent="0.2">
      <c r="A766" t="s">
        <v>9</v>
      </c>
      <c r="B766" s="20">
        <v>666</v>
      </c>
      <c r="C766" s="20">
        <v>118</v>
      </c>
      <c r="D766" s="20">
        <v>11</v>
      </c>
      <c r="E766" t="s">
        <v>77</v>
      </c>
      <c r="F766" s="26">
        <v>45190</v>
      </c>
      <c r="G766" t="s">
        <v>79</v>
      </c>
      <c r="H766" s="5">
        <v>11.04</v>
      </c>
      <c r="I766" s="5">
        <v>38.61</v>
      </c>
      <c r="J766" s="5">
        <v>37.21</v>
      </c>
      <c r="K766" s="5">
        <v>5.61</v>
      </c>
      <c r="L766" s="5">
        <v>7.0000000000000007E-2</v>
      </c>
      <c r="M766" s="3">
        <f t="shared" si="212"/>
        <v>70</v>
      </c>
      <c r="N766" s="5">
        <v>3.46</v>
      </c>
      <c r="O766" s="23">
        <f t="shared" si="223"/>
        <v>3.46E-3</v>
      </c>
      <c r="P766" s="23">
        <f t="shared" si="224"/>
        <v>6.2280000000000002E-2</v>
      </c>
      <c r="Q766" s="7">
        <f t="shared" si="225"/>
        <v>6.2280000000000007E-5</v>
      </c>
      <c r="R766" s="23">
        <f t="shared" si="226"/>
        <v>0.22420800000000002</v>
      </c>
      <c r="S766" s="5">
        <v>2.44</v>
      </c>
      <c r="T766" s="5">
        <v>0.45</v>
      </c>
      <c r="U766" s="3">
        <f t="shared" si="227"/>
        <v>4500</v>
      </c>
      <c r="V766" s="8">
        <v>-0.62</v>
      </c>
      <c r="W766" s="8">
        <v>-2.21</v>
      </c>
      <c r="X766" s="5">
        <f t="shared" si="228"/>
        <v>1.5899999999999999</v>
      </c>
      <c r="Y766" s="23">
        <f t="shared" si="229"/>
        <v>0.14101132075471701</v>
      </c>
      <c r="Z766" s="23">
        <f t="shared" si="213"/>
        <v>634.55094339622656</v>
      </c>
      <c r="AA766" s="11">
        <f t="shared" si="214"/>
        <v>2.1742549280807584</v>
      </c>
      <c r="AB766" s="11">
        <f t="shared" si="215"/>
        <v>9784.1471763634127</v>
      </c>
    </row>
    <row r="767" spans="1:28" ht="17.25" customHeight="1" x14ac:dyDescent="0.2">
      <c r="A767" t="s">
        <v>9</v>
      </c>
      <c r="B767" s="20">
        <v>666</v>
      </c>
      <c r="C767" s="20">
        <v>118</v>
      </c>
      <c r="D767" s="20">
        <v>12</v>
      </c>
      <c r="E767" t="s">
        <v>77</v>
      </c>
      <c r="F767" s="26">
        <v>45189</v>
      </c>
      <c r="G767" t="s">
        <v>79</v>
      </c>
      <c r="H767" s="5">
        <v>13.07</v>
      </c>
      <c r="I767" s="5">
        <v>38.75</v>
      </c>
      <c r="J767" s="5">
        <v>36.15</v>
      </c>
      <c r="K767" s="5">
        <v>5.1100000000000003</v>
      </c>
      <c r="L767" s="5">
        <v>0.06</v>
      </c>
      <c r="M767" s="3">
        <f t="shared" si="212"/>
        <v>60</v>
      </c>
      <c r="N767" s="5">
        <v>2.6</v>
      </c>
      <c r="O767" s="23">
        <f t="shared" si="223"/>
        <v>2.5999999999999999E-3</v>
      </c>
      <c r="P767" s="23">
        <f t="shared" si="224"/>
        <v>4.6799999999999994E-2</v>
      </c>
      <c r="Q767" s="7">
        <f t="shared" si="225"/>
        <v>4.6799999999999992E-5</v>
      </c>
      <c r="R767" s="23">
        <f t="shared" si="226"/>
        <v>0.16847999999999996</v>
      </c>
      <c r="S767" s="5">
        <v>1.93</v>
      </c>
      <c r="T767" s="5">
        <v>0.33</v>
      </c>
      <c r="U767" s="3">
        <f t="shared" si="227"/>
        <v>3300</v>
      </c>
      <c r="V767" s="8">
        <v>-0.21</v>
      </c>
      <c r="W767" s="8">
        <v>-2.1800000000000002</v>
      </c>
      <c r="X767" s="5">
        <f t="shared" si="228"/>
        <v>1.9700000000000002</v>
      </c>
      <c r="Y767" s="23">
        <f t="shared" si="229"/>
        <v>8.552284263959388E-2</v>
      </c>
      <c r="Z767" s="23">
        <f t="shared" si="213"/>
        <v>282.22538071065981</v>
      </c>
      <c r="AA767" s="11">
        <f t="shared" si="214"/>
        <v>1.3186775435999309</v>
      </c>
      <c r="AB767" s="11">
        <f t="shared" si="215"/>
        <v>4351.6358938797721</v>
      </c>
    </row>
    <row r="768" spans="1:28" ht="17.25" customHeight="1" x14ac:dyDescent="0.2">
      <c r="A768" t="s">
        <v>9</v>
      </c>
      <c r="B768" s="20">
        <v>666</v>
      </c>
      <c r="C768" s="20">
        <v>122</v>
      </c>
      <c r="D768" s="20">
        <v>16</v>
      </c>
      <c r="E768" t="s">
        <v>77</v>
      </c>
      <c r="F768" s="26">
        <v>45190</v>
      </c>
      <c r="G768" t="s">
        <v>79</v>
      </c>
      <c r="H768" s="5">
        <v>11.22</v>
      </c>
      <c r="I768" s="5">
        <v>38.21</v>
      </c>
      <c r="J768" s="5">
        <v>34.270000000000003</v>
      </c>
      <c r="K768" s="5">
        <v>4.6500000000000004</v>
      </c>
      <c r="L768" s="5">
        <v>7.0000000000000007E-2</v>
      </c>
      <c r="M768" s="3">
        <f t="shared" si="212"/>
        <v>70</v>
      </c>
      <c r="N768" s="5">
        <v>2.91</v>
      </c>
      <c r="O768" s="23">
        <f t="shared" si="223"/>
        <v>2.9100000000000003E-3</v>
      </c>
      <c r="P768" s="23">
        <f t="shared" si="224"/>
        <v>5.2380000000000003E-2</v>
      </c>
      <c r="Q768" s="7">
        <f t="shared" si="225"/>
        <v>5.2380000000000003E-5</v>
      </c>
      <c r="R768" s="23">
        <f t="shared" si="226"/>
        <v>0.18856800000000001</v>
      </c>
      <c r="S768" s="5">
        <v>8.4700000000000006</v>
      </c>
      <c r="T768" s="5">
        <v>1.37</v>
      </c>
      <c r="U768" s="5">
        <f t="shared" si="227"/>
        <v>13700.000000000002</v>
      </c>
      <c r="V768" s="8">
        <v>-0.39</v>
      </c>
      <c r="W768" s="8">
        <v>-1.67</v>
      </c>
      <c r="X768" s="5">
        <f t="shared" si="228"/>
        <v>1.2799999999999998</v>
      </c>
      <c r="Y768" s="23">
        <f t="shared" si="229"/>
        <v>0.14731875000000003</v>
      </c>
      <c r="Z768" s="23">
        <f t="shared" si="213"/>
        <v>2018.2668750000007</v>
      </c>
      <c r="AA768" s="11">
        <f t="shared" si="214"/>
        <v>2.2715092410442694</v>
      </c>
      <c r="AB768" s="11">
        <f t="shared" si="215"/>
        <v>31119.676602306496</v>
      </c>
    </row>
    <row r="769" spans="1:28" ht="17.25" customHeight="1" x14ac:dyDescent="0.2">
      <c r="A769" t="s">
        <v>9</v>
      </c>
      <c r="B769" s="20">
        <v>666</v>
      </c>
      <c r="C769" s="20">
        <v>122</v>
      </c>
      <c r="D769" s="20">
        <v>17</v>
      </c>
      <c r="E769" t="s">
        <v>77</v>
      </c>
      <c r="F769" s="26">
        <v>45190</v>
      </c>
      <c r="G769" t="s">
        <v>79</v>
      </c>
      <c r="H769" s="5">
        <v>12.97</v>
      </c>
      <c r="I769" s="5">
        <v>38.409999999999997</v>
      </c>
      <c r="J769" s="5">
        <v>34.11</v>
      </c>
      <c r="K769" s="5">
        <v>4.47</v>
      </c>
      <c r="L769" s="5">
        <v>0.08</v>
      </c>
      <c r="M769" s="3">
        <f t="shared" si="212"/>
        <v>80</v>
      </c>
      <c r="N769" s="5">
        <v>3.41</v>
      </c>
      <c r="O769" s="23">
        <f t="shared" si="223"/>
        <v>3.4100000000000003E-3</v>
      </c>
      <c r="P769" s="23">
        <f t="shared" si="224"/>
        <v>6.1380000000000004E-2</v>
      </c>
      <c r="Q769" s="7">
        <f t="shared" si="225"/>
        <v>6.1379999999999998E-5</v>
      </c>
      <c r="R769" s="23">
        <f t="shared" si="226"/>
        <v>0.220968</v>
      </c>
      <c r="S769" s="5">
        <v>8.18</v>
      </c>
      <c r="T769" s="5">
        <v>1.23</v>
      </c>
      <c r="U769" s="3">
        <f t="shared" si="227"/>
        <v>12300</v>
      </c>
      <c r="V769" s="8">
        <v>-0.44</v>
      </c>
      <c r="W769" s="8">
        <v>-1.84</v>
      </c>
      <c r="X769" s="5">
        <f t="shared" si="228"/>
        <v>1.4000000000000001</v>
      </c>
      <c r="Y769" s="23">
        <f t="shared" si="229"/>
        <v>0.1578342857142857</v>
      </c>
      <c r="Z769" s="23">
        <f t="shared" si="213"/>
        <v>1941.3617142857142</v>
      </c>
      <c r="AA769" s="11">
        <f t="shared" si="214"/>
        <v>2.4336483886377089</v>
      </c>
      <c r="AB769" s="11">
        <f t="shared" si="215"/>
        <v>29933.87518024382</v>
      </c>
    </row>
    <row r="770" spans="1:28" ht="17.25" customHeight="1" x14ac:dyDescent="0.2">
      <c r="A770" t="s">
        <v>9</v>
      </c>
      <c r="B770" s="20">
        <v>666</v>
      </c>
      <c r="C770" s="20">
        <v>122</v>
      </c>
      <c r="D770" s="20">
        <v>18</v>
      </c>
      <c r="E770" t="s">
        <v>77</v>
      </c>
      <c r="F770" s="26">
        <v>45189</v>
      </c>
      <c r="G770" t="s">
        <v>79</v>
      </c>
      <c r="H770" s="5">
        <v>13.88</v>
      </c>
      <c r="I770" s="5">
        <v>38.369999999999997</v>
      </c>
      <c r="J770" s="5">
        <v>34.18</v>
      </c>
      <c r="K770" s="5">
        <v>4.4400000000000004</v>
      </c>
      <c r="L770" s="5">
        <v>0.19</v>
      </c>
      <c r="M770" s="3">
        <f t="shared" si="212"/>
        <v>190</v>
      </c>
      <c r="N770" s="5">
        <v>7.81</v>
      </c>
      <c r="O770" s="23">
        <f t="shared" si="223"/>
        <v>7.8099999999999992E-3</v>
      </c>
      <c r="P770" s="23">
        <f t="shared" si="224"/>
        <v>0.14057999999999998</v>
      </c>
      <c r="Q770" s="7">
        <f t="shared" si="225"/>
        <v>1.4057999999999999E-4</v>
      </c>
      <c r="R770" s="23">
        <f t="shared" si="226"/>
        <v>0.50608799999999998</v>
      </c>
      <c r="S770" s="5">
        <v>7.71</v>
      </c>
      <c r="T770" s="5">
        <v>1.2</v>
      </c>
      <c r="U770" s="3">
        <f t="shared" si="227"/>
        <v>12000</v>
      </c>
      <c r="V770" s="8">
        <v>-0.52</v>
      </c>
      <c r="W770" s="8">
        <v>-2.12</v>
      </c>
      <c r="X770" s="5">
        <f t="shared" si="228"/>
        <v>1.6</v>
      </c>
      <c r="Y770" s="23">
        <f t="shared" si="229"/>
        <v>0.31630499999999995</v>
      </c>
      <c r="Z770" s="23">
        <f t="shared" si="213"/>
        <v>3795.6599999999994</v>
      </c>
      <c r="AA770" s="11">
        <f t="shared" si="214"/>
        <v>4.8771098756166973</v>
      </c>
      <c r="AB770" s="11">
        <f t="shared" si="215"/>
        <v>58525.31850740037</v>
      </c>
    </row>
    <row r="771" spans="1:28" ht="17.25" customHeight="1" x14ac:dyDescent="0.2">
      <c r="A771" t="s">
        <v>9</v>
      </c>
      <c r="B771" s="20">
        <v>666</v>
      </c>
      <c r="C771" s="20">
        <v>123</v>
      </c>
      <c r="D771" s="20">
        <v>19</v>
      </c>
      <c r="E771" t="s">
        <v>77</v>
      </c>
      <c r="F771" s="26">
        <v>45189</v>
      </c>
      <c r="G771" t="s">
        <v>79</v>
      </c>
      <c r="H771" s="5">
        <v>17.04</v>
      </c>
      <c r="I771" s="5">
        <v>36.53</v>
      </c>
      <c r="J771" s="5">
        <v>33.67</v>
      </c>
      <c r="K771" s="5">
        <v>4.1900000000000004</v>
      </c>
      <c r="L771" s="5">
        <v>0.17</v>
      </c>
      <c r="M771" s="3">
        <f t="shared" ref="M771:M788" si="230">L771*1000</f>
        <v>170</v>
      </c>
      <c r="N771" s="5">
        <v>6.64</v>
      </c>
      <c r="O771" s="23">
        <f t="shared" si="223"/>
        <v>6.6400000000000001E-3</v>
      </c>
      <c r="P771" s="23">
        <f t="shared" si="224"/>
        <v>0.11952</v>
      </c>
      <c r="Q771" s="7">
        <f t="shared" si="225"/>
        <v>1.1952000000000001E-4</v>
      </c>
      <c r="R771" s="23">
        <f t="shared" si="226"/>
        <v>0.43027200000000004</v>
      </c>
      <c r="S771" s="5">
        <v>8.61</v>
      </c>
      <c r="T771" s="5">
        <v>1.52</v>
      </c>
      <c r="U771" s="3">
        <f t="shared" si="227"/>
        <v>15200</v>
      </c>
      <c r="V771" s="8">
        <v>-0.43</v>
      </c>
      <c r="W771" s="8">
        <v>-1.79</v>
      </c>
      <c r="X771" s="5">
        <f t="shared" si="228"/>
        <v>1.36</v>
      </c>
      <c r="Y771" s="23">
        <f t="shared" si="229"/>
        <v>0.31637647058823531</v>
      </c>
      <c r="Z771" s="23">
        <f t="shared" ref="Z771:Z788" si="231">Y771*U771</f>
        <v>4808.9223529411765</v>
      </c>
      <c r="AA771" s="11">
        <f t="shared" ref="AA771:AA788" si="232">Y771 * 1000 * 1000 / 18.01528 / 3600</f>
        <v>4.8782118813127786</v>
      </c>
      <c r="AB771" s="11">
        <f t="shared" ref="AB771:AB788" si="233">AA771*U771</f>
        <v>74148.820595954239</v>
      </c>
    </row>
    <row r="772" spans="1:28" ht="17.25" customHeight="1" x14ac:dyDescent="0.2">
      <c r="A772" t="s">
        <v>9</v>
      </c>
      <c r="B772" s="20">
        <v>666</v>
      </c>
      <c r="C772" s="20">
        <v>123</v>
      </c>
      <c r="D772" s="20">
        <v>20</v>
      </c>
      <c r="E772" t="s">
        <v>77</v>
      </c>
      <c r="F772" s="26">
        <v>45189</v>
      </c>
      <c r="G772" t="s">
        <v>79</v>
      </c>
      <c r="H772" s="5">
        <v>14.7</v>
      </c>
      <c r="I772" s="5">
        <v>37.380000000000003</v>
      </c>
      <c r="J772" s="5">
        <v>33.909999999999997</v>
      </c>
      <c r="K772" s="5">
        <v>4.3600000000000003</v>
      </c>
      <c r="L772" s="5">
        <v>0.15</v>
      </c>
      <c r="M772" s="3">
        <f t="shared" si="230"/>
        <v>150</v>
      </c>
      <c r="N772" s="5">
        <v>6.33</v>
      </c>
      <c r="O772" s="23">
        <f t="shared" si="223"/>
        <v>6.3299999999999997E-3</v>
      </c>
      <c r="P772" s="23">
        <f t="shared" si="224"/>
        <v>0.11394</v>
      </c>
      <c r="Q772" s="7">
        <f t="shared" si="225"/>
        <v>1.1394E-4</v>
      </c>
      <c r="R772" s="23">
        <f t="shared" si="226"/>
        <v>0.41018399999999999</v>
      </c>
      <c r="S772" s="5">
        <v>1.94</v>
      </c>
      <c r="T772" s="5">
        <v>0.35</v>
      </c>
      <c r="U772" s="3">
        <f t="shared" si="227"/>
        <v>3500</v>
      </c>
      <c r="V772" s="8">
        <v>-0.36</v>
      </c>
      <c r="W772" s="8">
        <v>-1.67</v>
      </c>
      <c r="X772" s="5">
        <f t="shared" si="228"/>
        <v>1.31</v>
      </c>
      <c r="Y772" s="23">
        <f t="shared" si="229"/>
        <v>0.31311755725190837</v>
      </c>
      <c r="Z772" s="23">
        <f t="shared" si="231"/>
        <v>1095.9114503816793</v>
      </c>
      <c r="AA772" s="11">
        <f t="shared" si="232"/>
        <v>4.8279626648401353</v>
      </c>
      <c r="AB772" s="11">
        <f t="shared" si="233"/>
        <v>16897.869326940472</v>
      </c>
    </row>
    <row r="773" spans="1:28" ht="17.25" customHeight="1" x14ac:dyDescent="0.2">
      <c r="A773" t="s">
        <v>9</v>
      </c>
      <c r="B773" s="20">
        <v>666</v>
      </c>
      <c r="C773" s="20">
        <v>123</v>
      </c>
      <c r="D773" s="20">
        <v>22</v>
      </c>
      <c r="E773" t="s">
        <v>77</v>
      </c>
      <c r="F773" s="26">
        <v>45189</v>
      </c>
      <c r="G773" t="s">
        <v>79</v>
      </c>
      <c r="H773" s="5">
        <v>13.59</v>
      </c>
      <c r="I773" s="5">
        <v>38.520000000000003</v>
      </c>
      <c r="J773" s="5">
        <v>36.21</v>
      </c>
      <c r="K773" s="5">
        <v>5.09</v>
      </c>
      <c r="L773" s="5">
        <v>0.09</v>
      </c>
      <c r="M773" s="3">
        <f t="shared" si="230"/>
        <v>90</v>
      </c>
      <c r="N773" s="5">
        <v>4.33</v>
      </c>
      <c r="O773" s="23">
        <f t="shared" si="223"/>
        <v>4.3299999999999996E-3</v>
      </c>
      <c r="P773" s="23">
        <f t="shared" si="224"/>
        <v>7.7939999999999995E-2</v>
      </c>
      <c r="Q773" s="7">
        <f t="shared" si="225"/>
        <v>7.7939999999999989E-5</v>
      </c>
      <c r="R773" s="23">
        <f t="shared" si="226"/>
        <v>0.28058399999999994</v>
      </c>
      <c r="S773" s="5">
        <v>7.09</v>
      </c>
      <c r="T773" s="5">
        <v>0.5</v>
      </c>
      <c r="U773" s="3">
        <f t="shared" si="227"/>
        <v>5000</v>
      </c>
      <c r="V773" s="8">
        <v>-0.52</v>
      </c>
      <c r="W773" s="8">
        <v>-1.87</v>
      </c>
      <c r="X773" s="5">
        <f t="shared" si="228"/>
        <v>1.35</v>
      </c>
      <c r="Y773" s="23">
        <f t="shared" si="229"/>
        <v>0.20783999999999994</v>
      </c>
      <c r="Z773" s="23">
        <f t="shared" si="231"/>
        <v>1039.1999999999998</v>
      </c>
      <c r="AA773" s="11">
        <f t="shared" si="232"/>
        <v>3.2046869842341232</v>
      </c>
      <c r="AB773" s="11">
        <f t="shared" si="233"/>
        <v>16023.434921170616</v>
      </c>
    </row>
    <row r="774" spans="1:28" ht="17.25" customHeight="1" x14ac:dyDescent="0.2">
      <c r="A774" t="s">
        <v>10</v>
      </c>
      <c r="B774" s="20">
        <v>1212</v>
      </c>
      <c r="C774" s="20">
        <v>3</v>
      </c>
      <c r="D774" s="20">
        <v>29</v>
      </c>
      <c r="E774" t="s">
        <v>77</v>
      </c>
      <c r="F774" s="26">
        <v>45189</v>
      </c>
      <c r="G774" t="s">
        <v>79</v>
      </c>
      <c r="H774" s="5">
        <v>13.76</v>
      </c>
      <c r="I774" s="5">
        <v>38.51</v>
      </c>
      <c r="J774" s="5">
        <v>37.130000000000003</v>
      </c>
      <c r="K774" s="5">
        <v>5.39</v>
      </c>
      <c r="L774" s="5">
        <v>0.04</v>
      </c>
      <c r="M774" s="3">
        <f t="shared" si="230"/>
        <v>40</v>
      </c>
      <c r="N774" s="5">
        <v>1.9</v>
      </c>
      <c r="O774" s="23">
        <f t="shared" si="223"/>
        <v>1.9E-3</v>
      </c>
      <c r="P774" s="23">
        <f t="shared" si="224"/>
        <v>3.4200000000000001E-2</v>
      </c>
      <c r="Q774" s="7">
        <f t="shared" si="225"/>
        <v>3.4200000000000005E-5</v>
      </c>
      <c r="R774" s="23">
        <f t="shared" si="226"/>
        <v>0.12312000000000002</v>
      </c>
      <c r="S774" s="5">
        <v>0.9</v>
      </c>
      <c r="T774" s="5">
        <v>0.17</v>
      </c>
      <c r="U774" s="5">
        <f t="shared" si="227"/>
        <v>1700.0000000000002</v>
      </c>
      <c r="V774" s="8">
        <v>-0.57999999999999996</v>
      </c>
      <c r="W774" s="8">
        <v>-2.12</v>
      </c>
      <c r="X774" s="5">
        <f t="shared" si="228"/>
        <v>1.54</v>
      </c>
      <c r="Y774" s="23">
        <f t="shared" si="229"/>
        <v>7.9948051948051962E-2</v>
      </c>
      <c r="Z774" s="23">
        <f t="shared" si="231"/>
        <v>135.91168831168835</v>
      </c>
      <c r="AA774" s="11">
        <f t="shared" si="232"/>
        <v>1.2327197916320043</v>
      </c>
      <c r="AB774" s="11">
        <f t="shared" si="233"/>
        <v>2095.6236457744076</v>
      </c>
    </row>
    <row r="775" spans="1:28" ht="17.25" customHeight="1" x14ac:dyDescent="0.2">
      <c r="A775" t="s">
        <v>10</v>
      </c>
      <c r="B775" s="20">
        <v>1212</v>
      </c>
      <c r="C775" s="20">
        <v>3</v>
      </c>
      <c r="D775" s="20">
        <v>30</v>
      </c>
      <c r="E775" t="s">
        <v>77</v>
      </c>
      <c r="F775" s="26">
        <v>45189</v>
      </c>
      <c r="G775" t="s">
        <v>79</v>
      </c>
      <c r="H775" s="5">
        <v>11.34</v>
      </c>
      <c r="I775" s="5">
        <v>38.93</v>
      </c>
      <c r="J775" s="5">
        <v>36.04</v>
      </c>
      <c r="K775" s="5">
        <v>5.19</v>
      </c>
      <c r="L775" s="5">
        <v>0.09</v>
      </c>
      <c r="M775" s="3">
        <f t="shared" si="230"/>
        <v>90</v>
      </c>
      <c r="N775" s="5">
        <v>3.92</v>
      </c>
      <c r="O775" s="23">
        <f t="shared" si="223"/>
        <v>3.9199999999999999E-3</v>
      </c>
      <c r="P775" s="23">
        <f t="shared" si="224"/>
        <v>7.0559999999999998E-2</v>
      </c>
      <c r="Q775" s="7">
        <f t="shared" si="225"/>
        <v>7.0560000000000002E-5</v>
      </c>
      <c r="R775" s="23">
        <f t="shared" si="226"/>
        <v>0.25401600000000002</v>
      </c>
      <c r="S775" s="5">
        <v>7.13</v>
      </c>
      <c r="T775" s="5">
        <v>1.39</v>
      </c>
      <c r="U775" s="5">
        <f t="shared" si="227"/>
        <v>13899.999999999998</v>
      </c>
      <c r="V775" s="8">
        <v>-0.35</v>
      </c>
      <c r="W775" s="8">
        <v>-1.78</v>
      </c>
      <c r="X775" s="5">
        <f t="shared" si="228"/>
        <v>1.4300000000000002</v>
      </c>
      <c r="Y775" s="23">
        <f t="shared" si="229"/>
        <v>0.17763356643356643</v>
      </c>
      <c r="Z775" s="23">
        <f t="shared" si="231"/>
        <v>2469.106573426573</v>
      </c>
      <c r="AA775" s="11">
        <f t="shared" si="232"/>
        <v>2.7389336908811486</v>
      </c>
      <c r="AB775" s="11">
        <f t="shared" si="233"/>
        <v>38071.178303247958</v>
      </c>
    </row>
    <row r="776" spans="1:28" ht="17.25" customHeight="1" x14ac:dyDescent="0.2">
      <c r="A776" t="s">
        <v>10</v>
      </c>
      <c r="B776" s="20">
        <v>1212</v>
      </c>
      <c r="C776" s="20">
        <v>3</v>
      </c>
      <c r="D776" s="20">
        <v>31</v>
      </c>
      <c r="E776" t="s">
        <v>77</v>
      </c>
      <c r="F776" s="26">
        <v>45190</v>
      </c>
      <c r="G776" t="s">
        <v>79</v>
      </c>
      <c r="H776" s="5">
        <v>11.71</v>
      </c>
      <c r="I776" s="5">
        <v>38.340000000000003</v>
      </c>
      <c r="J776" s="5">
        <v>35.840000000000003</v>
      </c>
      <c r="K776" s="5">
        <v>5.0999999999999996</v>
      </c>
      <c r="L776" s="5">
        <v>0.1</v>
      </c>
      <c r="M776" s="3">
        <f t="shared" si="230"/>
        <v>100</v>
      </c>
      <c r="N776" s="5">
        <v>4.83</v>
      </c>
      <c r="O776" s="23">
        <f t="shared" si="223"/>
        <v>4.8300000000000001E-3</v>
      </c>
      <c r="P776" s="23">
        <f t="shared" si="224"/>
        <v>8.6940000000000003E-2</v>
      </c>
      <c r="Q776" s="7">
        <f t="shared" si="225"/>
        <v>8.6940000000000004E-5</v>
      </c>
      <c r="R776" s="23">
        <f t="shared" si="226"/>
        <v>0.31298400000000004</v>
      </c>
      <c r="S776" s="5">
        <v>4.1399999999999997</v>
      </c>
      <c r="T776" s="5">
        <v>0.74</v>
      </c>
      <c r="U776" s="3">
        <f t="shared" si="227"/>
        <v>7400</v>
      </c>
      <c r="V776" s="8">
        <v>-0.32</v>
      </c>
      <c r="W776" s="8">
        <v>-1.82</v>
      </c>
      <c r="X776" s="5">
        <f t="shared" si="228"/>
        <v>1.5</v>
      </c>
      <c r="Y776" s="23">
        <f t="shared" si="229"/>
        <v>0.20865600000000004</v>
      </c>
      <c r="Z776" s="23">
        <f t="shared" si="231"/>
        <v>1544.0544000000002</v>
      </c>
      <c r="AA776" s="11">
        <f t="shared" si="232"/>
        <v>3.2172688961814639</v>
      </c>
      <c r="AB776" s="11">
        <f t="shared" si="233"/>
        <v>23807.789831742833</v>
      </c>
    </row>
    <row r="777" spans="1:28" ht="17.25" customHeight="1" x14ac:dyDescent="0.2">
      <c r="A777" t="s">
        <v>10</v>
      </c>
      <c r="B777" s="20">
        <v>1212</v>
      </c>
      <c r="C777" s="20">
        <v>4</v>
      </c>
      <c r="D777" s="20">
        <v>32</v>
      </c>
      <c r="E777" t="s">
        <v>77</v>
      </c>
      <c r="F777" s="26">
        <v>45189</v>
      </c>
      <c r="G777" t="s">
        <v>79</v>
      </c>
      <c r="H777" s="5">
        <v>12.67</v>
      </c>
      <c r="I777" s="5">
        <v>38.479999999999997</v>
      </c>
      <c r="J777" s="5">
        <v>37.799999999999997</v>
      </c>
      <c r="K777" s="5">
        <v>5.7</v>
      </c>
      <c r="L777" s="5">
        <v>0.02</v>
      </c>
      <c r="M777" s="3">
        <f t="shared" si="230"/>
        <v>20</v>
      </c>
      <c r="N777" s="5">
        <v>1.07</v>
      </c>
      <c r="O777" s="23">
        <f t="shared" si="223"/>
        <v>1.07E-3</v>
      </c>
      <c r="P777" s="23">
        <f t="shared" si="224"/>
        <v>1.9259999999999999E-2</v>
      </c>
      <c r="Q777" s="7">
        <f t="shared" si="225"/>
        <v>1.9259999999999999E-5</v>
      </c>
      <c r="R777" s="23">
        <f t="shared" si="226"/>
        <v>6.9335999999999995E-2</v>
      </c>
      <c r="S777" s="5">
        <v>7.33</v>
      </c>
      <c r="T777" s="5">
        <v>1.02</v>
      </c>
      <c r="U777" s="3">
        <f t="shared" si="227"/>
        <v>10200</v>
      </c>
      <c r="V777" s="8">
        <v>-0.64</v>
      </c>
      <c r="W777" s="8">
        <v>-1.56</v>
      </c>
      <c r="X777" s="5">
        <f t="shared" si="228"/>
        <v>0.92</v>
      </c>
      <c r="Y777" s="23">
        <f t="shared" si="229"/>
        <v>7.5365217391304334E-2</v>
      </c>
      <c r="Z777" s="23">
        <f t="shared" si="231"/>
        <v>768.72521739130423</v>
      </c>
      <c r="AA777" s="11">
        <f t="shared" si="232"/>
        <v>1.1620570209675147</v>
      </c>
      <c r="AB777" s="11">
        <f t="shared" si="233"/>
        <v>11852.981613868651</v>
      </c>
    </row>
    <row r="778" spans="1:28" ht="17.25" customHeight="1" x14ac:dyDescent="0.2">
      <c r="A778" t="s">
        <v>10</v>
      </c>
      <c r="B778" s="20">
        <v>1212</v>
      </c>
      <c r="C778" s="20">
        <v>4</v>
      </c>
      <c r="D778" s="20">
        <v>33</v>
      </c>
      <c r="E778" t="s">
        <v>77</v>
      </c>
      <c r="F778" s="26">
        <v>45190</v>
      </c>
      <c r="G778" t="s">
        <v>79</v>
      </c>
      <c r="H778" s="5">
        <v>12.61</v>
      </c>
      <c r="I778" s="5">
        <v>38.44</v>
      </c>
      <c r="J778" s="5">
        <v>35.79</v>
      </c>
      <c r="K778" s="5">
        <v>5.03</v>
      </c>
      <c r="L778" s="5">
        <v>0.06</v>
      </c>
      <c r="M778" s="3">
        <f t="shared" si="230"/>
        <v>60</v>
      </c>
      <c r="N778" s="5">
        <v>2.89</v>
      </c>
      <c r="O778" s="23">
        <f t="shared" si="223"/>
        <v>2.8900000000000002E-3</v>
      </c>
      <c r="P778" s="23">
        <f t="shared" si="224"/>
        <v>5.2020000000000004E-2</v>
      </c>
      <c r="Q778" s="7">
        <f t="shared" si="225"/>
        <v>5.2020000000000007E-5</v>
      </c>
      <c r="R778" s="23">
        <f t="shared" si="226"/>
        <v>0.18727200000000002</v>
      </c>
      <c r="S778" s="5">
        <v>19.41</v>
      </c>
      <c r="T778" s="5">
        <v>3.48</v>
      </c>
      <c r="U778" s="3">
        <f t="shared" si="227"/>
        <v>34800</v>
      </c>
      <c r="V778" s="8">
        <v>-0.28999999999999998</v>
      </c>
      <c r="W778" s="8">
        <v>-2.23</v>
      </c>
      <c r="X778" s="5">
        <f t="shared" si="228"/>
        <v>1.94</v>
      </c>
      <c r="Y778" s="23">
        <f t="shared" si="229"/>
        <v>9.6531958762886616E-2</v>
      </c>
      <c r="Z778" s="23">
        <f t="shared" si="231"/>
        <v>3359.3121649484542</v>
      </c>
      <c r="AA778" s="11">
        <f t="shared" si="232"/>
        <v>1.4884272123270204</v>
      </c>
      <c r="AB778" s="11">
        <f t="shared" si="233"/>
        <v>51797.266988980307</v>
      </c>
    </row>
    <row r="779" spans="1:28" ht="17.25" customHeight="1" x14ac:dyDescent="0.2">
      <c r="A779" t="s">
        <v>10</v>
      </c>
      <c r="B779" s="20">
        <v>1212</v>
      </c>
      <c r="C779" s="20">
        <v>4</v>
      </c>
      <c r="D779" s="20">
        <v>34</v>
      </c>
      <c r="E779" t="s">
        <v>77</v>
      </c>
      <c r="F779" s="26">
        <v>45189</v>
      </c>
      <c r="G779" t="s">
        <v>79</v>
      </c>
      <c r="H779" s="5">
        <v>12.1</v>
      </c>
      <c r="I779" s="5">
        <v>38.94</v>
      </c>
      <c r="J779" s="5">
        <v>35.549999999999997</v>
      </c>
      <c r="K779" s="5">
        <v>4.96</v>
      </c>
      <c r="L779" s="5">
        <v>7.0000000000000007E-2</v>
      </c>
      <c r="M779" s="3">
        <f t="shared" si="230"/>
        <v>70</v>
      </c>
      <c r="N779" s="5">
        <v>3.33</v>
      </c>
      <c r="O779" s="23">
        <f t="shared" si="223"/>
        <v>3.3300000000000001E-3</v>
      </c>
      <c r="P779" s="23">
        <f t="shared" si="224"/>
        <v>5.994E-2</v>
      </c>
      <c r="Q779" s="7">
        <f t="shared" si="225"/>
        <v>5.9939999999999999E-5</v>
      </c>
      <c r="R779" s="23">
        <f t="shared" si="226"/>
        <v>0.215784</v>
      </c>
      <c r="S779" s="5">
        <v>6.58</v>
      </c>
      <c r="T779" s="5">
        <v>1.1499999999999999</v>
      </c>
      <c r="U779" s="3">
        <f t="shared" si="227"/>
        <v>11500</v>
      </c>
      <c r="V779" s="8">
        <v>-0.45</v>
      </c>
      <c r="W779" s="8">
        <v>-2.08</v>
      </c>
      <c r="X779" s="5">
        <f t="shared" si="228"/>
        <v>1.6300000000000001</v>
      </c>
      <c r="Y779" s="23">
        <f t="shared" si="229"/>
        <v>0.13238282208588956</v>
      </c>
      <c r="Z779" s="23">
        <f t="shared" si="231"/>
        <v>1522.4024539877298</v>
      </c>
      <c r="AA779" s="11">
        <f t="shared" si="232"/>
        <v>2.0412120230698227</v>
      </c>
      <c r="AB779" s="11">
        <f t="shared" si="233"/>
        <v>23473.938265302961</v>
      </c>
    </row>
    <row r="780" spans="1:28" ht="17.25" customHeight="1" x14ac:dyDescent="0.2">
      <c r="A780" t="s">
        <v>10</v>
      </c>
      <c r="B780" s="20">
        <v>1212</v>
      </c>
      <c r="C780" s="20">
        <v>7</v>
      </c>
      <c r="D780" s="20">
        <v>36</v>
      </c>
      <c r="E780" t="s">
        <v>77</v>
      </c>
      <c r="F780" s="26">
        <v>45189</v>
      </c>
      <c r="G780" t="s">
        <v>79</v>
      </c>
      <c r="H780" s="5">
        <v>11.62</v>
      </c>
      <c r="I780" s="5">
        <v>38.92</v>
      </c>
      <c r="J780" s="5">
        <v>37.29</v>
      </c>
      <c r="K780" s="5">
        <v>5.57</v>
      </c>
      <c r="L780" s="5">
        <v>0.06</v>
      </c>
      <c r="M780" s="3">
        <f t="shared" si="230"/>
        <v>60</v>
      </c>
      <c r="N780" s="5">
        <v>3.13</v>
      </c>
      <c r="O780" s="23">
        <f t="shared" si="223"/>
        <v>3.13E-3</v>
      </c>
      <c r="P780" s="23">
        <f t="shared" si="224"/>
        <v>5.6340000000000001E-2</v>
      </c>
      <c r="Q780" s="7">
        <f t="shared" si="225"/>
        <v>5.6339999999999999E-5</v>
      </c>
      <c r="R780" s="23">
        <f t="shared" si="226"/>
        <v>0.202824</v>
      </c>
      <c r="S780" s="5">
        <v>8.77</v>
      </c>
      <c r="T780" s="5">
        <v>0.91</v>
      </c>
      <c r="U780" s="3">
        <f t="shared" si="227"/>
        <v>9100</v>
      </c>
      <c r="V780" s="8">
        <v>-0.24</v>
      </c>
      <c r="W780" s="8">
        <v>-1.9</v>
      </c>
      <c r="X780" s="5">
        <f t="shared" si="228"/>
        <v>1.66</v>
      </c>
      <c r="Y780" s="23">
        <f t="shared" si="229"/>
        <v>0.12218313253012049</v>
      </c>
      <c r="Z780" s="23">
        <f t="shared" si="231"/>
        <v>1111.8665060240965</v>
      </c>
      <c r="AA780" s="11">
        <f t="shared" si="232"/>
        <v>1.8839429104706993</v>
      </c>
      <c r="AB780" s="11">
        <f t="shared" si="233"/>
        <v>17143.880485283364</v>
      </c>
    </row>
    <row r="781" spans="1:28" ht="17.25" customHeight="1" x14ac:dyDescent="0.2">
      <c r="A781" t="s">
        <v>10</v>
      </c>
      <c r="B781" s="20">
        <v>1212</v>
      </c>
      <c r="C781" s="20">
        <v>7</v>
      </c>
      <c r="D781" s="20">
        <v>37</v>
      </c>
      <c r="E781" t="s">
        <v>77</v>
      </c>
      <c r="F781" s="26">
        <v>45189</v>
      </c>
      <c r="G781" t="s">
        <v>79</v>
      </c>
      <c r="H781" s="5">
        <v>12.59</v>
      </c>
      <c r="I781" s="5">
        <v>38.840000000000003</v>
      </c>
      <c r="J781" s="5">
        <v>34.06</v>
      </c>
      <c r="K781" s="5">
        <v>4.47</v>
      </c>
      <c r="L781" s="5">
        <v>0.15</v>
      </c>
      <c r="M781" s="3">
        <f t="shared" si="230"/>
        <v>150</v>
      </c>
      <c r="N781" s="5">
        <v>6.5</v>
      </c>
      <c r="O781" s="23">
        <f t="shared" si="223"/>
        <v>6.4999999999999997E-3</v>
      </c>
      <c r="P781" s="23">
        <f t="shared" si="224"/>
        <v>0.11699999999999999</v>
      </c>
      <c r="Q781" s="7">
        <f t="shared" si="225"/>
        <v>1.17E-4</v>
      </c>
      <c r="R781" s="23">
        <f t="shared" si="226"/>
        <v>0.42120000000000002</v>
      </c>
      <c r="S781" s="5">
        <v>4.8499999999999996</v>
      </c>
      <c r="T781" s="5">
        <v>0.94</v>
      </c>
      <c r="U781" s="3">
        <f t="shared" si="227"/>
        <v>9400</v>
      </c>
      <c r="V781" s="8">
        <v>-0.41</v>
      </c>
      <c r="W781" s="8">
        <v>-2.15</v>
      </c>
      <c r="X781" s="5">
        <f t="shared" si="228"/>
        <v>1.74</v>
      </c>
      <c r="Y781" s="23">
        <f t="shared" si="229"/>
        <v>0.24206896551724139</v>
      </c>
      <c r="Z781" s="23">
        <f t="shared" si="231"/>
        <v>2275.4482758620688</v>
      </c>
      <c r="AA781" s="11">
        <f t="shared" si="232"/>
        <v>3.7324637369135991</v>
      </c>
      <c r="AB781" s="11">
        <f t="shared" si="233"/>
        <v>35085.159126987834</v>
      </c>
    </row>
    <row r="782" spans="1:28" ht="17.25" customHeight="1" x14ac:dyDescent="0.2">
      <c r="A782" t="s">
        <v>10</v>
      </c>
      <c r="B782" s="20">
        <v>1212</v>
      </c>
      <c r="C782" s="20">
        <v>7</v>
      </c>
      <c r="D782" s="20">
        <v>83</v>
      </c>
      <c r="E782" t="s">
        <v>77</v>
      </c>
      <c r="F782" s="26">
        <v>45189</v>
      </c>
      <c r="G782" t="s">
        <v>79</v>
      </c>
      <c r="H782" s="5">
        <v>13.41</v>
      </c>
      <c r="I782" s="5">
        <v>38.520000000000003</v>
      </c>
      <c r="J782" s="5">
        <v>35.520000000000003</v>
      </c>
      <c r="K782" s="5">
        <v>4.8899999999999997</v>
      </c>
      <c r="L782" s="5">
        <v>0.08</v>
      </c>
      <c r="M782" s="3">
        <f t="shared" si="230"/>
        <v>80</v>
      </c>
      <c r="N782" s="5">
        <v>3.72</v>
      </c>
      <c r="O782" s="23">
        <f t="shared" si="223"/>
        <v>3.7200000000000002E-3</v>
      </c>
      <c r="P782" s="23">
        <f t="shared" si="224"/>
        <v>6.6960000000000006E-2</v>
      </c>
      <c r="Q782" s="7">
        <f t="shared" si="225"/>
        <v>6.6960000000000009E-5</v>
      </c>
      <c r="R782" s="23">
        <f t="shared" si="226"/>
        <v>0.24105600000000002</v>
      </c>
      <c r="S782" s="5">
        <v>11.85</v>
      </c>
      <c r="T782" s="5">
        <v>1.4</v>
      </c>
      <c r="U782" s="3">
        <f t="shared" si="227"/>
        <v>14000</v>
      </c>
      <c r="V782" s="8">
        <v>-0.43</v>
      </c>
      <c r="W782" s="8">
        <v>-2.17</v>
      </c>
      <c r="X782" s="5">
        <f t="shared" si="228"/>
        <v>1.74</v>
      </c>
      <c r="Y782" s="23">
        <f t="shared" si="229"/>
        <v>0.13853793103448278</v>
      </c>
      <c r="Z782" s="23">
        <f t="shared" si="231"/>
        <v>1939.531034482759</v>
      </c>
      <c r="AA782" s="11">
        <f t="shared" si="232"/>
        <v>2.1361177078951674</v>
      </c>
      <c r="AB782" s="11">
        <f t="shared" si="233"/>
        <v>29905.647910532345</v>
      </c>
    </row>
    <row r="783" spans="1:28" ht="17.25" customHeight="1" x14ac:dyDescent="0.2">
      <c r="A783" t="s">
        <v>10</v>
      </c>
      <c r="B783" s="20">
        <v>1212</v>
      </c>
      <c r="C783" s="20">
        <v>8</v>
      </c>
      <c r="D783" s="20">
        <v>38</v>
      </c>
      <c r="E783" t="s">
        <v>77</v>
      </c>
      <c r="F783" s="26">
        <v>45189</v>
      </c>
      <c r="G783" t="s">
        <v>79</v>
      </c>
      <c r="H783" s="5">
        <v>14.03</v>
      </c>
      <c r="I783" s="5">
        <v>38.200000000000003</v>
      </c>
      <c r="J783" s="5">
        <v>33.39</v>
      </c>
      <c r="K783" s="5">
        <v>4.21</v>
      </c>
      <c r="L783" s="5">
        <v>0.21</v>
      </c>
      <c r="M783" s="3">
        <f t="shared" si="230"/>
        <v>210</v>
      </c>
      <c r="N783" s="5">
        <v>8.19</v>
      </c>
      <c r="O783" s="23">
        <f t="shared" si="223"/>
        <v>8.1899999999999994E-3</v>
      </c>
      <c r="P783" s="23">
        <f t="shared" si="224"/>
        <v>0.14742</v>
      </c>
      <c r="Q783" s="7">
        <f t="shared" si="225"/>
        <v>1.4741999999999999E-4</v>
      </c>
      <c r="R783" s="23">
        <f t="shared" si="226"/>
        <v>0.53071199999999996</v>
      </c>
      <c r="S783" s="5">
        <v>26.5</v>
      </c>
      <c r="T783" s="5">
        <v>3.13</v>
      </c>
      <c r="U783" s="3">
        <f t="shared" si="227"/>
        <v>31300</v>
      </c>
      <c r="V783" s="8">
        <v>-0.38</v>
      </c>
      <c r="W783" s="8">
        <v>-1.73</v>
      </c>
      <c r="X783" s="5">
        <f t="shared" si="228"/>
        <v>1.35</v>
      </c>
      <c r="Y783" s="23">
        <f t="shared" si="229"/>
        <v>0.39311999999999997</v>
      </c>
      <c r="Z783" s="23">
        <f t="shared" si="231"/>
        <v>12304.655999999999</v>
      </c>
      <c r="AA783" s="11">
        <f t="shared" si="232"/>
        <v>6.0615211087476846</v>
      </c>
      <c r="AB783" s="11">
        <f t="shared" si="233"/>
        <v>189725.61070380252</v>
      </c>
    </row>
    <row r="784" spans="1:28" ht="17.25" customHeight="1" x14ac:dyDescent="0.2">
      <c r="A784" t="s">
        <v>10</v>
      </c>
      <c r="B784" s="20">
        <v>1212</v>
      </c>
      <c r="C784" s="20">
        <v>8</v>
      </c>
      <c r="D784" s="20">
        <v>39</v>
      </c>
      <c r="E784" t="s">
        <v>77</v>
      </c>
      <c r="F784" s="26">
        <v>45190</v>
      </c>
      <c r="G784" t="s">
        <v>79</v>
      </c>
      <c r="H784" s="5">
        <v>13.28</v>
      </c>
      <c r="I784" s="5">
        <v>38.03</v>
      </c>
      <c r="J784" s="5">
        <v>35.700000000000003</v>
      </c>
      <c r="K784" s="5">
        <v>4.96</v>
      </c>
      <c r="L784" s="5">
        <v>7.0000000000000007E-2</v>
      </c>
      <c r="M784" s="3">
        <f t="shared" si="230"/>
        <v>70</v>
      </c>
      <c r="N784" s="5">
        <v>3.25</v>
      </c>
      <c r="O784" s="23">
        <f t="shared" si="223"/>
        <v>3.2499999999999999E-3</v>
      </c>
      <c r="P784" s="23">
        <f t="shared" si="224"/>
        <v>5.8499999999999996E-2</v>
      </c>
      <c r="Q784" s="7">
        <f t="shared" si="225"/>
        <v>5.8499999999999999E-5</v>
      </c>
      <c r="R784" s="23">
        <f t="shared" si="226"/>
        <v>0.21060000000000001</v>
      </c>
      <c r="S784" s="5">
        <v>11.76</v>
      </c>
      <c r="T784" s="5">
        <v>2.09</v>
      </c>
      <c r="U784" s="3">
        <f t="shared" si="227"/>
        <v>20900</v>
      </c>
      <c r="V784" s="8">
        <v>-0.87</v>
      </c>
      <c r="W784" s="8">
        <v>-1.87</v>
      </c>
      <c r="X784" s="28">
        <f t="shared" si="228"/>
        <v>1</v>
      </c>
      <c r="Y784" s="23">
        <f t="shared" si="229"/>
        <v>0.21060000000000001</v>
      </c>
      <c r="Z784" s="23">
        <f t="shared" si="231"/>
        <v>4401.54</v>
      </c>
      <c r="AA784" s="11">
        <f t="shared" si="232"/>
        <v>3.2472434511148318</v>
      </c>
      <c r="AB784" s="11">
        <f t="shared" si="233"/>
        <v>67867.388128299979</v>
      </c>
    </row>
    <row r="785" spans="1:28" ht="17.25" customHeight="1" x14ac:dyDescent="0.2">
      <c r="A785" t="s">
        <v>10</v>
      </c>
      <c r="B785" s="20">
        <v>1212</v>
      </c>
      <c r="C785" s="20">
        <v>8</v>
      </c>
      <c r="D785" s="20">
        <v>40</v>
      </c>
      <c r="E785" t="s">
        <v>77</v>
      </c>
      <c r="F785" s="26">
        <v>45190</v>
      </c>
      <c r="G785" t="s">
        <v>79</v>
      </c>
      <c r="H785" s="5">
        <v>11.66</v>
      </c>
      <c r="I785" s="5">
        <v>38.159999999999997</v>
      </c>
      <c r="J785" s="5">
        <v>36.33</v>
      </c>
      <c r="K785" s="5">
        <v>5.28</v>
      </c>
      <c r="L785" s="5">
        <v>7.0000000000000007E-2</v>
      </c>
      <c r="M785" s="3">
        <f t="shared" si="230"/>
        <v>70</v>
      </c>
      <c r="N785" s="5">
        <v>3.49</v>
      </c>
      <c r="O785" s="23">
        <f t="shared" si="223"/>
        <v>3.49E-3</v>
      </c>
      <c r="P785" s="23">
        <f t="shared" si="224"/>
        <v>6.2820000000000001E-2</v>
      </c>
      <c r="Q785" s="7">
        <f t="shared" si="225"/>
        <v>6.2819999999999998E-5</v>
      </c>
      <c r="R785" s="23">
        <f t="shared" si="226"/>
        <v>0.22615199999999999</v>
      </c>
      <c r="S785" s="5">
        <v>3.51</v>
      </c>
      <c r="T785" s="5">
        <v>0.74</v>
      </c>
      <c r="U785" s="3">
        <f t="shared" si="227"/>
        <v>7400</v>
      </c>
      <c r="V785" s="8">
        <v>-0.25</v>
      </c>
      <c r="W785" s="8">
        <v>-1.78</v>
      </c>
      <c r="X785" s="5">
        <f t="shared" si="228"/>
        <v>1.53</v>
      </c>
      <c r="Y785" s="23">
        <f t="shared" si="229"/>
        <v>0.14781176470588234</v>
      </c>
      <c r="Z785" s="23">
        <f t="shared" si="231"/>
        <v>1093.8070588235294</v>
      </c>
      <c r="AA785" s="11">
        <f t="shared" si="232"/>
        <v>2.2791110395959291</v>
      </c>
      <c r="AB785" s="11">
        <f t="shared" si="233"/>
        <v>16865.421693009874</v>
      </c>
    </row>
    <row r="786" spans="1:28" ht="17.25" customHeight="1" x14ac:dyDescent="0.2">
      <c r="A786" t="s">
        <v>10</v>
      </c>
      <c r="B786" s="20">
        <v>1212</v>
      </c>
      <c r="C786" s="20">
        <v>10</v>
      </c>
      <c r="D786" s="20">
        <v>21</v>
      </c>
      <c r="E786" t="s">
        <v>77</v>
      </c>
      <c r="F786" s="26">
        <v>45189</v>
      </c>
      <c r="G786" t="s">
        <v>79</v>
      </c>
      <c r="H786" s="5">
        <v>13.05</v>
      </c>
      <c r="I786" s="5">
        <v>38.729999999999997</v>
      </c>
      <c r="J786" s="5">
        <v>34.89</v>
      </c>
      <c r="K786" s="5">
        <v>4.7</v>
      </c>
      <c r="L786" s="5">
        <v>0.14000000000000001</v>
      </c>
      <c r="M786" s="3">
        <f t="shared" si="230"/>
        <v>140</v>
      </c>
      <c r="N786" s="5">
        <v>6.21</v>
      </c>
      <c r="O786" s="23">
        <f t="shared" si="223"/>
        <v>6.2100000000000002E-3</v>
      </c>
      <c r="P786" s="23">
        <f t="shared" si="224"/>
        <v>0.11178</v>
      </c>
      <c r="Q786" s="7">
        <f t="shared" si="225"/>
        <v>1.1178E-4</v>
      </c>
      <c r="R786" s="23">
        <f t="shared" si="226"/>
        <v>0.40240799999999999</v>
      </c>
      <c r="S786" s="5">
        <v>7.09</v>
      </c>
      <c r="T786" s="5">
        <v>1.0900000000000001</v>
      </c>
      <c r="U786" s="3">
        <f t="shared" si="227"/>
        <v>10900</v>
      </c>
      <c r="V786" s="8">
        <v>-0.33</v>
      </c>
      <c r="W786" s="8">
        <v>-2.2200000000000002</v>
      </c>
      <c r="X786" s="5">
        <f t="shared" si="228"/>
        <v>1.8900000000000001</v>
      </c>
      <c r="Y786" s="23">
        <f t="shared" si="229"/>
        <v>0.21291428571428569</v>
      </c>
      <c r="Z786" s="23">
        <f t="shared" si="231"/>
        <v>2320.7657142857142</v>
      </c>
      <c r="AA786" s="11">
        <f t="shared" si="232"/>
        <v>3.2829274450831254</v>
      </c>
      <c r="AB786" s="11">
        <f t="shared" si="233"/>
        <v>35783.909151406064</v>
      </c>
    </row>
    <row r="787" spans="1:28" ht="17.25" customHeight="1" x14ac:dyDescent="0.2">
      <c r="A787" t="s">
        <v>10</v>
      </c>
      <c r="B787" s="20">
        <v>1212</v>
      </c>
      <c r="C787" s="20">
        <v>10</v>
      </c>
      <c r="D787" s="20">
        <v>41</v>
      </c>
      <c r="E787" t="s">
        <v>77</v>
      </c>
      <c r="F787" s="26">
        <v>45190</v>
      </c>
      <c r="G787" t="s">
        <v>79</v>
      </c>
      <c r="H787" s="5">
        <v>11.96</v>
      </c>
      <c r="I787" s="5">
        <v>37.979999999999997</v>
      </c>
      <c r="J787" s="5">
        <v>35.020000000000003</v>
      </c>
      <c r="K787" s="5">
        <v>4.8499999999999996</v>
      </c>
      <c r="L787" s="5">
        <v>0.06</v>
      </c>
      <c r="M787" s="3">
        <f t="shared" si="230"/>
        <v>60</v>
      </c>
      <c r="N787" s="5">
        <v>2.61</v>
      </c>
      <c r="O787" s="23">
        <f t="shared" si="223"/>
        <v>2.6099999999999999E-3</v>
      </c>
      <c r="P787" s="23">
        <f t="shared" si="224"/>
        <v>4.6980000000000001E-2</v>
      </c>
      <c r="Q787" s="7">
        <f t="shared" si="225"/>
        <v>4.6980000000000001E-5</v>
      </c>
      <c r="R787" s="23">
        <f t="shared" si="226"/>
        <v>0.169128</v>
      </c>
      <c r="S787" s="5">
        <v>19.809999999999999</v>
      </c>
      <c r="T787" s="5">
        <v>2.92</v>
      </c>
      <c r="U787" s="3">
        <f t="shared" si="227"/>
        <v>29200</v>
      </c>
      <c r="V787" s="8">
        <v>-0.19</v>
      </c>
      <c r="W787" s="8">
        <v>-2.68</v>
      </c>
      <c r="X787" s="5">
        <f t="shared" si="228"/>
        <v>2.4900000000000002</v>
      </c>
      <c r="Y787" s="23">
        <f t="shared" si="229"/>
        <v>6.7922891566265048E-2</v>
      </c>
      <c r="Z787" s="23">
        <f t="shared" si="231"/>
        <v>1983.3484337349394</v>
      </c>
      <c r="AA787" s="11">
        <f t="shared" si="232"/>
        <v>1.0473037265875451</v>
      </c>
      <c r="AB787" s="11">
        <f t="shared" si="233"/>
        <v>30581.268816356318</v>
      </c>
    </row>
    <row r="788" spans="1:28" ht="17.25" customHeight="1" x14ac:dyDescent="0.2">
      <c r="A788" t="s">
        <v>10</v>
      </c>
      <c r="B788" s="20">
        <v>1212</v>
      </c>
      <c r="C788" s="20">
        <v>10</v>
      </c>
      <c r="D788" s="20">
        <v>42</v>
      </c>
      <c r="E788" t="s">
        <v>77</v>
      </c>
      <c r="F788" s="26">
        <v>45190</v>
      </c>
      <c r="G788" t="s">
        <v>79</v>
      </c>
      <c r="H788" s="5">
        <v>11.95</v>
      </c>
      <c r="I788" s="5">
        <v>38.44</v>
      </c>
      <c r="J788" s="5">
        <v>33.46</v>
      </c>
      <c r="K788" s="5">
        <v>4.3600000000000003</v>
      </c>
      <c r="L788" s="5">
        <v>0.16</v>
      </c>
      <c r="M788" s="3">
        <f t="shared" si="230"/>
        <v>160</v>
      </c>
      <c r="N788" s="5">
        <v>6.64</v>
      </c>
      <c r="O788" s="23">
        <f t="shared" si="223"/>
        <v>6.6400000000000001E-3</v>
      </c>
      <c r="P788" s="23">
        <f t="shared" si="224"/>
        <v>0.11952</v>
      </c>
      <c r="Q788" s="7">
        <f t="shared" si="225"/>
        <v>1.1952000000000001E-4</v>
      </c>
      <c r="R788" s="23">
        <f t="shared" si="226"/>
        <v>0.43027200000000004</v>
      </c>
      <c r="S788" s="5">
        <v>2.74</v>
      </c>
      <c r="T788" s="5">
        <v>0.32</v>
      </c>
      <c r="U788" s="3">
        <f t="shared" si="227"/>
        <v>3200</v>
      </c>
      <c r="V788" s="8">
        <v>-0.46</v>
      </c>
      <c r="W788" s="8">
        <v>-1.47</v>
      </c>
      <c r="X788" s="5">
        <f t="shared" si="228"/>
        <v>1.01</v>
      </c>
      <c r="Y788" s="23">
        <f t="shared" si="229"/>
        <v>0.42601188118811883</v>
      </c>
      <c r="Z788" s="23">
        <f t="shared" si="231"/>
        <v>1363.2380198019803</v>
      </c>
      <c r="AA788" s="11">
        <f t="shared" si="232"/>
        <v>6.5686813451340385</v>
      </c>
      <c r="AB788" s="11">
        <f t="shared" si="233"/>
        <v>21019.780304428925</v>
      </c>
    </row>
  </sheetData>
  <mergeCells count="1">
    <mergeCell ref="N1:R1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Z736"/>
  <sheetViews>
    <sheetView tabSelected="1" topLeftCell="A55" workbookViewId="0">
      <selection activeCell="H76" sqref="H76"/>
    </sheetView>
  </sheetViews>
  <sheetFormatPr baseColWidth="10" defaultColWidth="8.83203125" defaultRowHeight="15" x14ac:dyDescent="0.2"/>
  <cols>
    <col min="1" max="1" width="12.5" bestFit="1" customWidth="1"/>
    <col min="2" max="2" width="18.1640625" style="12" customWidth="1"/>
    <col min="3" max="3" width="21.33203125" style="10" customWidth="1"/>
    <col min="4" max="4" width="18.83203125" style="12" customWidth="1"/>
    <col min="5" max="5" width="25.33203125" style="13" customWidth="1"/>
    <col min="6" max="6" width="20.6640625" style="10" customWidth="1"/>
    <col min="7" max="7" width="16.33203125" style="12" bestFit="1" customWidth="1"/>
    <col min="8" max="8" width="20.5" style="10" bestFit="1" customWidth="1"/>
    <col min="9" max="9" width="20.5" style="13" bestFit="1" customWidth="1"/>
    <col min="10" max="10" width="26.6640625" style="10" customWidth="1"/>
    <col min="11" max="11" width="17.83203125" style="14" bestFit="1" customWidth="1"/>
    <col min="12" max="12" width="17.83203125" style="10" bestFit="1" customWidth="1"/>
    <col min="13" max="13" width="16.6640625" style="38" customWidth="1"/>
    <col min="14" max="15" width="26.5" style="10" bestFit="1" customWidth="1"/>
    <col min="16" max="16" width="26.5" style="12" bestFit="1" customWidth="1"/>
    <col min="17" max="17" width="20.33203125" style="10" bestFit="1" customWidth="1"/>
    <col min="18" max="18" width="29.83203125" style="10" bestFit="1" customWidth="1"/>
    <col min="19" max="19" width="29" style="10" bestFit="1" customWidth="1"/>
    <col min="20" max="20" width="21.33203125" style="10" bestFit="1" customWidth="1"/>
    <col min="21" max="21" width="24.33203125" style="10" bestFit="1" customWidth="1"/>
    <col min="22" max="22" width="19" style="10" bestFit="1" customWidth="1"/>
    <col min="23" max="23" width="21.33203125" style="10" bestFit="1" customWidth="1"/>
    <col min="24" max="24" width="10.6640625" style="9" bestFit="1" customWidth="1"/>
    <col min="25" max="25" width="15" style="10" bestFit="1" customWidth="1"/>
    <col min="26" max="26" width="12.5" style="10" bestFit="1" customWidth="1"/>
  </cols>
  <sheetData>
    <row r="1" spans="1:26" ht="17.25" customHeight="1" x14ac:dyDescent="0.2">
      <c r="A1" s="34" t="s">
        <v>1</v>
      </c>
      <c r="B1" s="23" t="s">
        <v>2</v>
      </c>
      <c r="C1" s="23" t="s">
        <v>3</v>
      </c>
      <c r="D1" s="23" t="s">
        <v>4</v>
      </c>
      <c r="E1" s="23" t="s">
        <v>11</v>
      </c>
      <c r="F1" s="23" t="s">
        <v>12</v>
      </c>
      <c r="G1" s="6" t="s">
        <v>13</v>
      </c>
      <c r="H1" s="23" t="s">
        <v>14</v>
      </c>
      <c r="I1" s="7" t="s">
        <v>15</v>
      </c>
      <c r="J1" s="23" t="s">
        <v>16</v>
      </c>
      <c r="K1" s="23" t="s">
        <v>17</v>
      </c>
      <c r="L1" s="23" t="s">
        <v>18</v>
      </c>
      <c r="M1" s="31" t="s">
        <v>19</v>
      </c>
      <c r="N1" s="23" t="s">
        <v>20</v>
      </c>
      <c r="O1" s="23" t="s">
        <v>21</v>
      </c>
      <c r="P1" s="23" t="s">
        <v>22</v>
      </c>
      <c r="Q1" s="23" t="s">
        <v>23</v>
      </c>
      <c r="R1" s="23" t="s">
        <v>24</v>
      </c>
      <c r="S1" s="23" t="s">
        <v>25</v>
      </c>
      <c r="T1" s="23" t="s">
        <v>26</v>
      </c>
      <c r="U1" s="23" t="s">
        <v>27</v>
      </c>
      <c r="V1" s="23" t="s">
        <v>28</v>
      </c>
      <c r="W1" s="23" t="s">
        <v>29</v>
      </c>
      <c r="X1" s="23" t="s">
        <v>30</v>
      </c>
      <c r="Y1" s="23" t="s">
        <v>31</v>
      </c>
      <c r="Z1" s="23" t="s">
        <v>32</v>
      </c>
    </row>
    <row r="2" spans="1:26" ht="17.25" customHeight="1" x14ac:dyDescent="0.2">
      <c r="A2" s="34" t="s">
        <v>7</v>
      </c>
      <c r="B2" s="23">
        <v>72</v>
      </c>
      <c r="C2" s="23">
        <v>156</v>
      </c>
      <c r="D2" s="23">
        <v>43</v>
      </c>
      <c r="E2" s="23">
        <v>8.66</v>
      </c>
      <c r="F2" s="23">
        <v>27.73</v>
      </c>
      <c r="G2" s="6">
        <v>1.58</v>
      </c>
      <c r="H2" s="23">
        <v>479</v>
      </c>
      <c r="I2" s="7">
        <f t="shared" ref="I2:I38" si="0">H2/1000000</f>
        <v>4.7899999999999999E-4</v>
      </c>
      <c r="J2" s="23">
        <v>827</v>
      </c>
      <c r="K2" s="23">
        <v>114010</v>
      </c>
      <c r="L2" s="23">
        <f t="shared" ref="L2:L38" si="1">K2/1000000</f>
        <v>0.11401</v>
      </c>
      <c r="M2" s="31">
        <f t="shared" ref="M2:M38" si="2">K2/10000000000</f>
        <v>1.1401E-5</v>
      </c>
      <c r="N2" s="23">
        <f t="shared" ref="N2:N38" si="3">H2/K2</f>
        <v>4.2013858433470747E-3</v>
      </c>
      <c r="O2" s="23">
        <f>I2/M2</f>
        <v>42.013858433470745</v>
      </c>
      <c r="P2" s="23">
        <f t="shared" ref="P2:P38" si="4">J2/K2</f>
        <v>7.2537496710814841E-3</v>
      </c>
      <c r="Q2" s="35">
        <v>3.8849999999999998</v>
      </c>
      <c r="R2" s="23">
        <v>16.178568559999999</v>
      </c>
      <c r="S2" s="23">
        <v>30.524652719999999</v>
      </c>
      <c r="T2" s="23">
        <v>67.450591029999998</v>
      </c>
      <c r="U2" s="23">
        <v>116.6195352</v>
      </c>
      <c r="V2" s="23">
        <v>137.2372723</v>
      </c>
      <c r="W2" s="23">
        <v>240.84449459999999</v>
      </c>
      <c r="X2" s="24"/>
      <c r="Y2" s="34"/>
      <c r="Z2" s="34"/>
    </row>
    <row r="3" spans="1:26" ht="17.25" customHeight="1" x14ac:dyDescent="0.2">
      <c r="A3" s="34" t="s">
        <v>7</v>
      </c>
      <c r="B3" s="23">
        <v>72</v>
      </c>
      <c r="C3" s="23">
        <v>156</v>
      </c>
      <c r="D3" s="23">
        <v>44</v>
      </c>
      <c r="E3" s="23">
        <v>7.83</v>
      </c>
      <c r="F3" s="23">
        <v>27.73</v>
      </c>
      <c r="G3" s="6">
        <v>1.64</v>
      </c>
      <c r="H3" s="23">
        <v>320</v>
      </c>
      <c r="I3" s="7">
        <f t="shared" si="0"/>
        <v>3.2000000000000003E-4</v>
      </c>
      <c r="J3" s="23">
        <v>462</v>
      </c>
      <c r="K3" s="23">
        <v>114010</v>
      </c>
      <c r="L3" s="23">
        <f t="shared" si="1"/>
        <v>0.11401</v>
      </c>
      <c r="M3" s="31">
        <f t="shared" si="2"/>
        <v>1.1401E-5</v>
      </c>
      <c r="N3" s="23">
        <f t="shared" si="3"/>
        <v>2.8067713358477324E-3</v>
      </c>
      <c r="O3" s="23">
        <f t="shared" ref="O3:O38" si="5">I3/M3</f>
        <v>28.067713358477331</v>
      </c>
      <c r="P3" s="23">
        <f t="shared" si="4"/>
        <v>4.0522761161301641E-3</v>
      </c>
      <c r="Q3" s="35">
        <v>3.4159999999999999</v>
      </c>
      <c r="R3" s="23">
        <v>28.60063676</v>
      </c>
      <c r="S3" s="23">
        <v>25.885301269999999</v>
      </c>
      <c r="T3" s="23">
        <v>108.9880007</v>
      </c>
      <c r="U3" s="23">
        <v>104.8989069</v>
      </c>
      <c r="V3" s="23">
        <v>258.59365880000001</v>
      </c>
      <c r="W3" s="23">
        <v>229.2409275</v>
      </c>
      <c r="X3" s="23">
        <v>2.89</v>
      </c>
      <c r="Y3" s="23">
        <v>4.22</v>
      </c>
      <c r="Z3" s="36">
        <f>Y3*X3</f>
        <v>12.1958</v>
      </c>
    </row>
    <row r="4" spans="1:26" ht="17.25" customHeight="1" x14ac:dyDescent="0.2">
      <c r="A4" s="34" t="s">
        <v>7</v>
      </c>
      <c r="B4" s="23">
        <v>72</v>
      </c>
      <c r="C4" s="23">
        <v>156</v>
      </c>
      <c r="D4" s="23">
        <v>45</v>
      </c>
      <c r="E4" s="23">
        <v>6.06</v>
      </c>
      <c r="F4" s="23">
        <v>27.73</v>
      </c>
      <c r="G4" s="6">
        <v>1.56</v>
      </c>
      <c r="H4" s="23">
        <v>368</v>
      </c>
      <c r="I4" s="7">
        <f t="shared" si="0"/>
        <v>3.68E-4</v>
      </c>
      <c r="J4" s="23">
        <v>633</v>
      </c>
      <c r="K4" s="23">
        <v>114010</v>
      </c>
      <c r="L4" s="23">
        <f t="shared" si="1"/>
        <v>0.11401</v>
      </c>
      <c r="M4" s="31">
        <f t="shared" si="2"/>
        <v>1.1401E-5</v>
      </c>
      <c r="N4" s="23">
        <f t="shared" si="3"/>
        <v>3.2277870362248926E-3</v>
      </c>
      <c r="O4" s="23">
        <f t="shared" si="5"/>
        <v>32.277870362248926</v>
      </c>
      <c r="P4" s="23">
        <f t="shared" si="4"/>
        <v>5.5521445487237957E-3</v>
      </c>
      <c r="Q4" s="35">
        <v>3.645</v>
      </c>
      <c r="R4" s="23">
        <v>28.7197566</v>
      </c>
      <c r="S4" s="23">
        <v>28.022466779999998</v>
      </c>
      <c r="T4" s="23">
        <v>112.7383758</v>
      </c>
      <c r="U4" s="23">
        <v>110.38650130000001</v>
      </c>
      <c r="V4" s="23">
        <v>288.63488960000001</v>
      </c>
      <c r="W4" s="23">
        <v>234.18904280000001</v>
      </c>
      <c r="X4" s="24"/>
      <c r="Y4" s="34"/>
      <c r="Z4" s="34"/>
    </row>
    <row r="5" spans="1:26" ht="17.25" customHeight="1" x14ac:dyDescent="0.2">
      <c r="A5" s="34" t="s">
        <v>7</v>
      </c>
      <c r="B5" s="23">
        <v>72</v>
      </c>
      <c r="C5" s="23">
        <v>149</v>
      </c>
      <c r="D5" s="23">
        <v>46</v>
      </c>
      <c r="E5" s="23">
        <v>7.48</v>
      </c>
      <c r="F5" s="23">
        <v>27.73</v>
      </c>
      <c r="G5" s="6">
        <v>2.0499999999999998</v>
      </c>
      <c r="H5" s="23">
        <v>537</v>
      </c>
      <c r="I5" s="7">
        <f t="shared" si="0"/>
        <v>5.3700000000000004E-4</v>
      </c>
      <c r="J5" s="23">
        <v>897</v>
      </c>
      <c r="K5" s="23">
        <v>114010</v>
      </c>
      <c r="L5" s="23">
        <f t="shared" si="1"/>
        <v>0.11401</v>
      </c>
      <c r="M5" s="31">
        <f t="shared" si="2"/>
        <v>1.1401E-5</v>
      </c>
      <c r="N5" s="23">
        <f t="shared" si="3"/>
        <v>4.7101131479694762E-3</v>
      </c>
      <c r="O5" s="23">
        <f t="shared" si="5"/>
        <v>47.101131479694772</v>
      </c>
      <c r="P5" s="23">
        <f t="shared" si="4"/>
        <v>7.8677309007981755E-3</v>
      </c>
      <c r="Q5" s="35">
        <v>3.0150000000000001</v>
      </c>
      <c r="R5" s="23">
        <v>23.87605963</v>
      </c>
      <c r="S5" s="23">
        <v>18.78298431</v>
      </c>
      <c r="T5" s="23">
        <v>91.624720510000003</v>
      </c>
      <c r="U5" s="23">
        <v>106.80594360000001</v>
      </c>
      <c r="V5" s="23">
        <v>202.21486139999999</v>
      </c>
      <c r="W5" s="23">
        <v>214.1341606</v>
      </c>
      <c r="X5" s="23">
        <v>7.38</v>
      </c>
      <c r="Y5" s="23">
        <v>1.52</v>
      </c>
      <c r="Z5" s="36">
        <f>Y5*X5</f>
        <v>11.217599999999999</v>
      </c>
    </row>
    <row r="6" spans="1:26" ht="17.25" customHeight="1" x14ac:dyDescent="0.2">
      <c r="A6" s="34" t="s">
        <v>7</v>
      </c>
      <c r="B6" s="23">
        <v>72</v>
      </c>
      <c r="C6" s="23">
        <v>149</v>
      </c>
      <c r="D6" s="23">
        <v>47</v>
      </c>
      <c r="E6" s="23">
        <v>7.28</v>
      </c>
      <c r="F6" s="23">
        <v>27.73</v>
      </c>
      <c r="G6" s="6">
        <v>2.1800000000000002</v>
      </c>
      <c r="H6" s="23">
        <v>437</v>
      </c>
      <c r="I6" s="7">
        <f t="shared" si="0"/>
        <v>4.37E-4</v>
      </c>
      <c r="J6" s="23">
        <v>806</v>
      </c>
      <c r="K6" s="23">
        <v>114010</v>
      </c>
      <c r="L6" s="23">
        <f t="shared" si="1"/>
        <v>0.11401</v>
      </c>
      <c r="M6" s="31">
        <f t="shared" si="2"/>
        <v>1.1401E-5</v>
      </c>
      <c r="N6" s="23">
        <f t="shared" si="3"/>
        <v>3.8329971055170598E-3</v>
      </c>
      <c r="O6" s="23">
        <f t="shared" si="5"/>
        <v>38.329971055170603</v>
      </c>
      <c r="P6" s="23">
        <f t="shared" si="4"/>
        <v>7.0695553021664767E-3</v>
      </c>
      <c r="Q6" s="35">
        <v>3.5019999999999998</v>
      </c>
      <c r="R6" s="23">
        <v>26.01128989</v>
      </c>
      <c r="S6" s="23">
        <v>27.137131320000002</v>
      </c>
      <c r="T6" s="23">
        <v>95.498355430000004</v>
      </c>
      <c r="U6" s="23">
        <v>125.28902890000001</v>
      </c>
      <c r="V6" s="23">
        <v>224.31991389999999</v>
      </c>
      <c r="W6" s="23">
        <v>278.66997980000002</v>
      </c>
      <c r="X6" s="24"/>
      <c r="Y6" s="34"/>
      <c r="Z6" s="34"/>
    </row>
    <row r="7" spans="1:26" ht="17.25" customHeight="1" x14ac:dyDescent="0.2">
      <c r="A7" s="34" t="s">
        <v>7</v>
      </c>
      <c r="B7" s="23">
        <v>72</v>
      </c>
      <c r="C7" s="23">
        <v>149</v>
      </c>
      <c r="D7" s="23">
        <v>48</v>
      </c>
      <c r="E7" s="23">
        <v>7.96</v>
      </c>
      <c r="F7" s="23">
        <v>27.73</v>
      </c>
      <c r="G7" s="6">
        <v>2.2599999999999998</v>
      </c>
      <c r="H7" s="23">
        <v>604</v>
      </c>
      <c r="I7" s="7">
        <f t="shared" si="0"/>
        <v>6.0400000000000004E-4</v>
      </c>
      <c r="J7" s="23">
        <v>942</v>
      </c>
      <c r="K7" s="23">
        <v>114010</v>
      </c>
      <c r="L7" s="23">
        <f t="shared" si="1"/>
        <v>0.11401</v>
      </c>
      <c r="M7" s="31">
        <f t="shared" si="2"/>
        <v>1.1401E-5</v>
      </c>
      <c r="N7" s="23">
        <f t="shared" si="3"/>
        <v>5.2977808964125954E-3</v>
      </c>
      <c r="O7" s="23">
        <f t="shared" si="5"/>
        <v>52.977808964125956</v>
      </c>
      <c r="P7" s="23">
        <f t="shared" si="4"/>
        <v>8.2624331199017634E-3</v>
      </c>
      <c r="Q7" s="35">
        <v>4.0759999999999996</v>
      </c>
      <c r="R7" s="23">
        <v>18.184513679999998</v>
      </c>
      <c r="S7" s="23">
        <v>20.08791467</v>
      </c>
      <c r="T7" s="23">
        <v>75.316961210000002</v>
      </c>
      <c r="U7" s="23">
        <v>103.6185243</v>
      </c>
      <c r="V7" s="23">
        <v>227.62870419999999</v>
      </c>
      <c r="W7" s="23">
        <v>211.0961259</v>
      </c>
      <c r="X7" s="24"/>
      <c r="Y7" s="34"/>
      <c r="Z7" s="34"/>
    </row>
    <row r="8" spans="1:26" ht="17.25" customHeight="1" x14ac:dyDescent="0.2">
      <c r="A8" s="34" t="s">
        <v>7</v>
      </c>
      <c r="B8" s="23">
        <v>72</v>
      </c>
      <c r="C8" s="23">
        <v>152</v>
      </c>
      <c r="D8" s="23">
        <v>49</v>
      </c>
      <c r="E8" s="23">
        <v>6.49</v>
      </c>
      <c r="F8" s="23">
        <v>27.73</v>
      </c>
      <c r="G8" s="6">
        <v>1.64</v>
      </c>
      <c r="H8" s="23">
        <v>600</v>
      </c>
      <c r="I8" s="7">
        <f t="shared" si="0"/>
        <v>5.9999999999999995E-4</v>
      </c>
      <c r="J8" s="23">
        <v>1185</v>
      </c>
      <c r="K8" s="23">
        <v>114010</v>
      </c>
      <c r="L8" s="23">
        <f t="shared" si="1"/>
        <v>0.11401</v>
      </c>
      <c r="M8" s="31">
        <f t="shared" si="2"/>
        <v>1.1401E-5</v>
      </c>
      <c r="N8" s="23">
        <f t="shared" si="3"/>
        <v>5.2626962547144985E-3</v>
      </c>
      <c r="O8" s="23">
        <f t="shared" si="5"/>
        <v>52.626962547144984</v>
      </c>
      <c r="P8" s="23">
        <f t="shared" si="4"/>
        <v>1.0393825103061135E-2</v>
      </c>
      <c r="Q8" s="35">
        <v>3.327</v>
      </c>
      <c r="R8" s="23">
        <v>24.038220240000001</v>
      </c>
      <c r="S8" s="23">
        <v>33.434471809999998</v>
      </c>
      <c r="T8" s="23">
        <v>96.969493679999999</v>
      </c>
      <c r="U8" s="23">
        <v>124.4599178</v>
      </c>
      <c r="V8" s="23">
        <v>230.7102424</v>
      </c>
      <c r="W8" s="23">
        <v>253.93187119999999</v>
      </c>
      <c r="X8" s="24"/>
      <c r="Y8" s="34"/>
      <c r="Z8" s="34"/>
    </row>
    <row r="9" spans="1:26" ht="17.25" customHeight="1" x14ac:dyDescent="0.2">
      <c r="A9" s="34" t="s">
        <v>7</v>
      </c>
      <c r="B9" s="23">
        <v>72</v>
      </c>
      <c r="C9" s="23">
        <v>152</v>
      </c>
      <c r="D9" s="23">
        <v>50</v>
      </c>
      <c r="E9" s="23">
        <v>7.36</v>
      </c>
      <c r="F9" s="23">
        <v>27.73</v>
      </c>
      <c r="G9" s="6">
        <v>1.6</v>
      </c>
      <c r="H9" s="23">
        <v>745</v>
      </c>
      <c r="I9" s="7">
        <f t="shared" si="0"/>
        <v>7.45E-4</v>
      </c>
      <c r="J9" s="23">
        <v>1119</v>
      </c>
      <c r="K9" s="23">
        <v>114010</v>
      </c>
      <c r="L9" s="23">
        <f t="shared" si="1"/>
        <v>0.11401</v>
      </c>
      <c r="M9" s="31">
        <f t="shared" si="2"/>
        <v>1.1401E-5</v>
      </c>
      <c r="N9" s="23">
        <f t="shared" si="3"/>
        <v>6.5345145162705029E-3</v>
      </c>
      <c r="O9" s="23">
        <f t="shared" si="5"/>
        <v>65.345145162705023</v>
      </c>
      <c r="P9" s="23">
        <f t="shared" si="4"/>
        <v>9.8149285150425404E-3</v>
      </c>
      <c r="Q9" s="35">
        <v>3.7879999999999998</v>
      </c>
      <c r="R9" s="23">
        <v>30.199044570000002</v>
      </c>
      <c r="S9" s="23">
        <v>15.62899925</v>
      </c>
      <c r="T9" s="23">
        <v>104.7404281</v>
      </c>
      <c r="U9" s="23">
        <v>58.314139189999999</v>
      </c>
      <c r="V9" s="23">
        <v>248.0886778</v>
      </c>
      <c r="W9" s="23">
        <v>121.63338450000001</v>
      </c>
      <c r="X9" s="24"/>
      <c r="Y9" s="34"/>
      <c r="Z9" s="34"/>
    </row>
    <row r="10" spans="1:26" ht="17.25" customHeight="1" x14ac:dyDescent="0.2">
      <c r="A10" s="34" t="s">
        <v>7</v>
      </c>
      <c r="B10" s="23">
        <v>72</v>
      </c>
      <c r="C10" s="23">
        <v>152</v>
      </c>
      <c r="D10" s="23">
        <v>51</v>
      </c>
      <c r="E10" s="23">
        <v>6.5</v>
      </c>
      <c r="F10" s="23">
        <v>27.73</v>
      </c>
      <c r="G10" s="6">
        <v>1.36</v>
      </c>
      <c r="H10" s="23">
        <v>604</v>
      </c>
      <c r="I10" s="7">
        <f t="shared" si="0"/>
        <v>6.0400000000000004E-4</v>
      </c>
      <c r="J10" s="23">
        <v>1012</v>
      </c>
      <c r="K10" s="23">
        <v>114010</v>
      </c>
      <c r="L10" s="23">
        <f t="shared" si="1"/>
        <v>0.11401</v>
      </c>
      <c r="M10" s="31">
        <f t="shared" si="2"/>
        <v>1.1401E-5</v>
      </c>
      <c r="N10" s="23">
        <f t="shared" si="3"/>
        <v>5.2977808964125954E-3</v>
      </c>
      <c r="O10" s="23">
        <f t="shared" si="5"/>
        <v>52.977808964125956</v>
      </c>
      <c r="P10" s="23">
        <f t="shared" si="4"/>
        <v>8.8764143496184549E-3</v>
      </c>
      <c r="Q10" s="35">
        <v>3.2280000000000002</v>
      </c>
      <c r="R10" s="23">
        <v>25.84615144</v>
      </c>
      <c r="S10" s="23">
        <v>34.628875489999999</v>
      </c>
      <c r="T10" s="23">
        <v>97.555049479999994</v>
      </c>
      <c r="U10" s="23">
        <v>129.3298886</v>
      </c>
      <c r="V10" s="23">
        <v>230.05252200000001</v>
      </c>
      <c r="W10" s="23">
        <v>255.64724949999999</v>
      </c>
      <c r="X10" s="23">
        <v>3.51</v>
      </c>
      <c r="Y10" s="23">
        <v>5.29</v>
      </c>
      <c r="Z10" s="36">
        <f>Y10*X10</f>
        <v>18.567899999999998</v>
      </c>
    </row>
    <row r="11" spans="1:26" ht="17.25" customHeight="1" x14ac:dyDescent="0.2">
      <c r="A11" s="34" t="s">
        <v>7</v>
      </c>
      <c r="B11" s="23">
        <v>72</v>
      </c>
      <c r="C11" s="23">
        <v>155</v>
      </c>
      <c r="D11" s="23">
        <v>58</v>
      </c>
      <c r="E11" s="23">
        <v>8.1</v>
      </c>
      <c r="F11" s="23">
        <v>27.73</v>
      </c>
      <c r="G11" s="6">
        <v>1.28</v>
      </c>
      <c r="H11" s="23">
        <v>555</v>
      </c>
      <c r="I11" s="7">
        <f t="shared" si="0"/>
        <v>5.5500000000000005E-4</v>
      </c>
      <c r="J11" s="23">
        <v>827</v>
      </c>
      <c r="K11" s="23">
        <v>114010</v>
      </c>
      <c r="L11" s="23">
        <f t="shared" si="1"/>
        <v>0.11401</v>
      </c>
      <c r="M11" s="31">
        <f t="shared" si="2"/>
        <v>1.1401E-5</v>
      </c>
      <c r="N11" s="23">
        <f t="shared" si="3"/>
        <v>4.8679940356109114E-3</v>
      </c>
      <c r="O11" s="23">
        <f t="shared" si="5"/>
        <v>48.679940356109121</v>
      </c>
      <c r="P11" s="23">
        <f t="shared" si="4"/>
        <v>7.2537496710814841E-3</v>
      </c>
      <c r="Q11" s="35">
        <v>3.4009999999999998</v>
      </c>
      <c r="R11" s="23">
        <v>31.17742114</v>
      </c>
      <c r="S11" s="23">
        <v>30.633820889999999</v>
      </c>
      <c r="T11" s="23">
        <v>118.9913541</v>
      </c>
      <c r="U11" s="23">
        <v>136.39440200000001</v>
      </c>
      <c r="V11" s="23">
        <v>272.74271210000001</v>
      </c>
      <c r="W11" s="23">
        <v>284.95015899999999</v>
      </c>
      <c r="X11" s="24"/>
      <c r="Y11" s="34"/>
      <c r="Z11" s="34"/>
    </row>
    <row r="12" spans="1:26" ht="17.25" customHeight="1" x14ac:dyDescent="0.2">
      <c r="A12" s="34" t="s">
        <v>7</v>
      </c>
      <c r="B12" s="23">
        <v>72</v>
      </c>
      <c r="C12" s="23">
        <v>155</v>
      </c>
      <c r="D12" s="23">
        <v>59</v>
      </c>
      <c r="E12" s="23">
        <v>10.14</v>
      </c>
      <c r="F12" s="23">
        <v>27.73</v>
      </c>
      <c r="G12" s="6">
        <v>1.36</v>
      </c>
      <c r="H12" s="23">
        <v>535</v>
      </c>
      <c r="I12" s="7">
        <f t="shared" si="0"/>
        <v>5.3499999999999999E-4</v>
      </c>
      <c r="J12" s="23">
        <v>948</v>
      </c>
      <c r="K12" s="23">
        <v>114010</v>
      </c>
      <c r="L12" s="23">
        <f t="shared" si="1"/>
        <v>0.11401</v>
      </c>
      <c r="M12" s="31">
        <f t="shared" si="2"/>
        <v>1.1401E-5</v>
      </c>
      <c r="N12" s="23">
        <f t="shared" si="3"/>
        <v>4.6925708271204278E-3</v>
      </c>
      <c r="O12" s="23">
        <f t="shared" si="5"/>
        <v>46.925708271204279</v>
      </c>
      <c r="P12" s="23">
        <f t="shared" si="4"/>
        <v>8.3150600824489079E-3</v>
      </c>
      <c r="Q12" s="35">
        <v>2.8879999999999999</v>
      </c>
      <c r="R12" s="23">
        <v>25.16090204</v>
      </c>
      <c r="S12" s="23">
        <v>34.334627500000003</v>
      </c>
      <c r="T12" s="23">
        <v>97.133775470000003</v>
      </c>
      <c r="U12" s="23">
        <v>151.12378029999999</v>
      </c>
      <c r="V12" s="23">
        <v>229.3524094</v>
      </c>
      <c r="W12" s="23">
        <v>349.87138650000003</v>
      </c>
      <c r="X12" s="24"/>
      <c r="Y12" s="34"/>
      <c r="Z12" s="34"/>
    </row>
    <row r="13" spans="1:26" ht="17.25" customHeight="1" x14ac:dyDescent="0.2">
      <c r="A13" s="34" t="s">
        <v>7</v>
      </c>
      <c r="B13" s="23">
        <v>72</v>
      </c>
      <c r="C13" s="23">
        <v>155</v>
      </c>
      <c r="D13" s="23">
        <v>60</v>
      </c>
      <c r="E13" s="23">
        <v>9</v>
      </c>
      <c r="F13" s="23">
        <v>27.73</v>
      </c>
      <c r="G13" s="6">
        <v>1.33</v>
      </c>
      <c r="H13" s="23">
        <v>527</v>
      </c>
      <c r="I13" s="7">
        <f t="shared" si="0"/>
        <v>5.2700000000000002E-4</v>
      </c>
      <c r="J13" s="23">
        <v>910</v>
      </c>
      <c r="K13" s="23">
        <v>114010</v>
      </c>
      <c r="L13" s="23">
        <f t="shared" si="1"/>
        <v>0.11401</v>
      </c>
      <c r="M13" s="31">
        <f t="shared" si="2"/>
        <v>1.1401E-5</v>
      </c>
      <c r="N13" s="23">
        <f t="shared" si="3"/>
        <v>4.6224015437242348E-3</v>
      </c>
      <c r="O13" s="23">
        <f t="shared" si="5"/>
        <v>46.22401543724235</v>
      </c>
      <c r="P13" s="23">
        <f t="shared" si="4"/>
        <v>7.98175598631699E-3</v>
      </c>
      <c r="Q13" s="35">
        <v>3.7879999999999998</v>
      </c>
      <c r="R13" s="23">
        <v>25.826177940000001</v>
      </c>
      <c r="S13" s="23">
        <v>35.876411519999998</v>
      </c>
      <c r="T13" s="23">
        <v>90.45974167</v>
      </c>
      <c r="U13" s="23">
        <v>176.62033020000001</v>
      </c>
      <c r="V13" s="23">
        <v>221.70857670000001</v>
      </c>
      <c r="W13" s="23">
        <v>267.82223099999999</v>
      </c>
      <c r="X13" s="23">
        <v>0.44</v>
      </c>
      <c r="Y13" s="23">
        <v>23.12</v>
      </c>
      <c r="Z13" s="36">
        <f>Y13*X13</f>
        <v>10.172800000000001</v>
      </c>
    </row>
    <row r="14" spans="1:26" ht="17.25" customHeight="1" x14ac:dyDescent="0.2">
      <c r="A14" s="34" t="s">
        <v>7</v>
      </c>
      <c r="B14" s="23">
        <v>72</v>
      </c>
      <c r="C14" s="23">
        <v>5</v>
      </c>
      <c r="D14" s="23">
        <v>61</v>
      </c>
      <c r="E14" s="23">
        <v>6.64</v>
      </c>
      <c r="F14" s="23">
        <v>27.73</v>
      </c>
      <c r="G14" s="6">
        <v>1.1399999999999999</v>
      </c>
      <c r="H14" s="23">
        <v>306</v>
      </c>
      <c r="I14" s="7">
        <f t="shared" si="0"/>
        <v>3.0600000000000001E-4</v>
      </c>
      <c r="J14" s="23">
        <v>437</v>
      </c>
      <c r="K14" s="23">
        <v>114010</v>
      </c>
      <c r="L14" s="23">
        <f t="shared" si="1"/>
        <v>0.11401</v>
      </c>
      <c r="M14" s="31">
        <f t="shared" si="2"/>
        <v>1.1401E-5</v>
      </c>
      <c r="N14" s="23">
        <f t="shared" si="3"/>
        <v>2.6839750899043942E-3</v>
      </c>
      <c r="O14" s="23">
        <f t="shared" si="5"/>
        <v>26.839750899043946</v>
      </c>
      <c r="P14" s="23">
        <f t="shared" si="4"/>
        <v>3.8329971055170598E-3</v>
      </c>
      <c r="Q14" s="35">
        <v>3.323</v>
      </c>
      <c r="R14" s="23">
        <v>25.282649079999999</v>
      </c>
      <c r="S14" s="23">
        <v>30.668105879999999</v>
      </c>
      <c r="T14" s="23">
        <v>91.907939229999997</v>
      </c>
      <c r="U14" s="23">
        <v>139.9751857</v>
      </c>
      <c r="V14" s="23">
        <v>249.6141289</v>
      </c>
      <c r="W14" s="23">
        <v>308.14071999999999</v>
      </c>
      <c r="X14" s="24"/>
      <c r="Y14" s="34"/>
      <c r="Z14" s="34"/>
    </row>
    <row r="15" spans="1:26" ht="17.25" customHeight="1" x14ac:dyDescent="0.2">
      <c r="A15" s="34" t="s">
        <v>7</v>
      </c>
      <c r="B15" s="23">
        <v>72</v>
      </c>
      <c r="C15" s="23">
        <v>5</v>
      </c>
      <c r="D15" s="23">
        <v>63</v>
      </c>
      <c r="E15" s="23">
        <v>7.06</v>
      </c>
      <c r="F15" s="23">
        <v>27.73</v>
      </c>
      <c r="G15" s="6">
        <v>1.44</v>
      </c>
      <c r="H15" s="23">
        <v>487</v>
      </c>
      <c r="I15" s="7">
        <f t="shared" si="0"/>
        <v>4.8700000000000002E-4</v>
      </c>
      <c r="J15" s="23">
        <v>651</v>
      </c>
      <c r="K15" s="23">
        <v>114010</v>
      </c>
      <c r="L15" s="23">
        <f t="shared" si="1"/>
        <v>0.11401</v>
      </c>
      <c r="M15" s="31">
        <f t="shared" si="2"/>
        <v>1.1401E-5</v>
      </c>
      <c r="N15" s="23">
        <f t="shared" si="3"/>
        <v>4.2715551267432685E-3</v>
      </c>
      <c r="O15" s="23">
        <f t="shared" si="5"/>
        <v>42.715551267432687</v>
      </c>
      <c r="P15" s="23">
        <f t="shared" si="4"/>
        <v>5.7100254363652309E-3</v>
      </c>
      <c r="Q15" s="35">
        <v>3.0049999999999999</v>
      </c>
      <c r="R15" s="23">
        <v>22.463388009999999</v>
      </c>
      <c r="S15" s="23">
        <v>25.471402090000002</v>
      </c>
      <c r="T15" s="23">
        <v>90.759460599999997</v>
      </c>
      <c r="U15" s="23">
        <v>113.0398201</v>
      </c>
      <c r="V15" s="23">
        <v>207.27797720000001</v>
      </c>
      <c r="W15" s="23">
        <v>237.66134869999999</v>
      </c>
      <c r="X15" s="24"/>
      <c r="Y15" s="34"/>
      <c r="Z15" s="34"/>
    </row>
    <row r="16" spans="1:26" ht="17.25" customHeight="1" x14ac:dyDescent="0.2">
      <c r="A16" s="34" t="s">
        <v>7</v>
      </c>
      <c r="B16" s="23">
        <v>72</v>
      </c>
      <c r="C16" s="23">
        <v>5</v>
      </c>
      <c r="D16" s="23">
        <v>85</v>
      </c>
      <c r="E16" s="23">
        <v>6.97</v>
      </c>
      <c r="F16" s="23">
        <v>27.73</v>
      </c>
      <c r="G16" s="6">
        <v>1.37</v>
      </c>
      <c r="H16" s="23">
        <v>354</v>
      </c>
      <c r="I16" s="7">
        <f t="shared" si="0"/>
        <v>3.5399999999999999E-4</v>
      </c>
      <c r="J16" s="23">
        <v>577</v>
      </c>
      <c r="K16" s="23">
        <v>114010</v>
      </c>
      <c r="L16" s="23">
        <f t="shared" si="1"/>
        <v>0.11401</v>
      </c>
      <c r="M16" s="31">
        <f t="shared" si="2"/>
        <v>1.1401E-5</v>
      </c>
      <c r="N16" s="23">
        <f t="shared" si="3"/>
        <v>3.1049907902815544E-3</v>
      </c>
      <c r="O16" s="23">
        <f t="shared" si="5"/>
        <v>31.049907902815541</v>
      </c>
      <c r="P16" s="23">
        <f t="shared" si="4"/>
        <v>5.0609595649504426E-3</v>
      </c>
      <c r="Q16" s="35">
        <v>3.3</v>
      </c>
      <c r="R16" s="23">
        <v>18.707496939999999</v>
      </c>
      <c r="S16" s="23">
        <v>23.516593409999999</v>
      </c>
      <c r="T16" s="23">
        <v>68.033266909999995</v>
      </c>
      <c r="U16" s="23">
        <v>111.4160949</v>
      </c>
      <c r="V16" s="23">
        <v>196.07112129999999</v>
      </c>
      <c r="W16" s="23">
        <v>229.19717700000001</v>
      </c>
      <c r="X16" s="23">
        <v>4.0199999999999996</v>
      </c>
      <c r="Y16" s="23">
        <v>1.95</v>
      </c>
      <c r="Z16" s="36">
        <f>Y16*X16</f>
        <v>7.8389999999999986</v>
      </c>
    </row>
    <row r="17" spans="1:26" ht="17.25" customHeight="1" x14ac:dyDescent="0.2">
      <c r="A17" s="34" t="s">
        <v>87</v>
      </c>
      <c r="B17" s="23">
        <f>AVERAGE(B2:B16)</f>
        <v>72</v>
      </c>
      <c r="C17" s="23">
        <f t="shared" ref="C17:O17" si="6">AVERAGE(C2:C16)</f>
        <v>123.4</v>
      </c>
      <c r="D17" s="23">
        <f t="shared" si="6"/>
        <v>53.93333333333333</v>
      </c>
      <c r="E17" s="23">
        <f t="shared" si="6"/>
        <v>7.5686666666666671</v>
      </c>
      <c r="F17" s="23">
        <f t="shared" si="6"/>
        <v>27.730000000000004</v>
      </c>
      <c r="G17" s="6">
        <f t="shared" si="6"/>
        <v>1.5859999999999999</v>
      </c>
      <c r="H17" s="23">
        <f t="shared" si="6"/>
        <v>497.2</v>
      </c>
      <c r="I17" s="7">
        <f t="shared" si="6"/>
        <v>4.9719999999999994E-4</v>
      </c>
      <c r="J17" s="23">
        <f t="shared" si="6"/>
        <v>815.5333333333333</v>
      </c>
      <c r="K17" s="23">
        <f t="shared" si="6"/>
        <v>114010</v>
      </c>
      <c r="L17" s="23">
        <f t="shared" si="6"/>
        <v>0.11400999999999996</v>
      </c>
      <c r="M17" s="31">
        <f t="shared" si="6"/>
        <v>1.1400999999999996E-5</v>
      </c>
      <c r="N17" s="23">
        <f t="shared" si="6"/>
        <v>4.3610209630734155E-3</v>
      </c>
      <c r="O17" s="23">
        <f t="shared" si="6"/>
        <v>43.610209630734147</v>
      </c>
      <c r="P17" s="23">
        <f>AVERAGE(P2:P16)</f>
        <v>7.1531736982136072E-3</v>
      </c>
      <c r="Q17" s="23">
        <f t="shared" ref="Q17" si="7">AVERAGE(Q2:Q16)</f>
        <v>3.4391333333333329</v>
      </c>
      <c r="R17" s="23">
        <f t="shared" ref="R17" si="8">AVERAGE(R2:R16)</f>
        <v>24.684818434666667</v>
      </c>
      <c r="S17" s="23">
        <f t="shared" ref="S17" si="9">AVERAGE(S2:S16)</f>
        <v>27.642250593999997</v>
      </c>
      <c r="T17" s="23">
        <f t="shared" ref="T17" si="10">AVERAGE(T2:T16)</f>
        <v>93.877834261333348</v>
      </c>
      <c r="U17" s="23">
        <f t="shared" ref="U17" si="11">AVERAGE(U2:U16)</f>
        <v>120.55279993266667</v>
      </c>
      <c r="V17" s="23">
        <f t="shared" ref="V17" si="12">AVERAGE(V2:V16)</f>
        <v>228.28317786666665</v>
      </c>
      <c r="W17" s="23">
        <f t="shared" ref="W17" si="13">AVERAGE(W2:W16)</f>
        <v>247.80201724</v>
      </c>
      <c r="X17" s="23"/>
      <c r="Y17" s="23"/>
      <c r="Z17" s="36"/>
    </row>
    <row r="18" spans="1:26" ht="17.25" customHeight="1" x14ac:dyDescent="0.2">
      <c r="A18" s="34" t="s">
        <v>86</v>
      </c>
      <c r="B18" s="34">
        <f>STDEV(B2:B16)/SQRT(COUNT(B2:B16))</f>
        <v>0</v>
      </c>
      <c r="C18" s="34">
        <f t="shared" ref="C18:W18" si="14">STDEV(C2:C16)/SQRT(COUNT(C2:C16))</f>
        <v>15.835403373454055</v>
      </c>
      <c r="D18" s="34">
        <f t="shared" si="14"/>
        <v>2.8190958811827578</v>
      </c>
      <c r="E18" s="34">
        <f t="shared" si="14"/>
        <v>0.28074029121433819</v>
      </c>
      <c r="F18" s="34">
        <f t="shared" si="14"/>
        <v>9.495026699554799E-16</v>
      </c>
      <c r="G18" s="12">
        <f t="shared" si="14"/>
        <v>8.6116200566444007E-2</v>
      </c>
      <c r="H18" s="34">
        <f t="shared" si="14"/>
        <v>31.716181839499377</v>
      </c>
      <c r="I18" s="40">
        <f t="shared" si="14"/>
        <v>3.1716181839499383E-5</v>
      </c>
      <c r="J18" s="34">
        <f t="shared" si="14"/>
        <v>57.826247679016113</v>
      </c>
      <c r="K18" s="34">
        <f t="shared" si="14"/>
        <v>0</v>
      </c>
      <c r="L18" s="34">
        <f t="shared" si="14"/>
        <v>1.1126984413540779E-17</v>
      </c>
      <c r="M18" s="38">
        <f t="shared" si="14"/>
        <v>9.0551630969570151E-22</v>
      </c>
      <c r="N18" s="34">
        <f t="shared" si="14"/>
        <v>2.7818771896762903E-4</v>
      </c>
      <c r="O18" s="34">
        <f t="shared" si="14"/>
        <v>2.7818771896762939</v>
      </c>
      <c r="P18" s="34">
        <f t="shared" si="14"/>
        <v>5.0720329514091877E-4</v>
      </c>
      <c r="Q18" s="34">
        <f t="shared" si="14"/>
        <v>8.8861575962502923E-2</v>
      </c>
      <c r="R18" s="34">
        <f t="shared" si="14"/>
        <v>1.1244373675262522</v>
      </c>
      <c r="S18" s="34">
        <f t="shared" si="14"/>
        <v>1.5833337543423418</v>
      </c>
      <c r="T18" s="34">
        <f t="shared" si="14"/>
        <v>3.8484634944745042</v>
      </c>
      <c r="U18" s="34">
        <f t="shared" si="14"/>
        <v>6.7873349804394554</v>
      </c>
      <c r="V18" s="34">
        <f t="shared" si="14"/>
        <v>9.2330273086013683</v>
      </c>
      <c r="W18" s="34">
        <f t="shared" si="14"/>
        <v>13.150817624644391</v>
      </c>
      <c r="X18" s="23"/>
      <c r="Y18" s="23"/>
      <c r="Z18" s="36"/>
    </row>
    <row r="19" spans="1:26" ht="17.25" customHeight="1" x14ac:dyDescent="0.2">
      <c r="A19" s="34" t="s">
        <v>88</v>
      </c>
      <c r="B19" s="34">
        <f>_xlfn.VAR.S(B2:B16)</f>
        <v>0</v>
      </c>
      <c r="C19" s="34">
        <f t="shared" ref="C19:W19" si="15">_xlfn.VAR.S(C2:C16)</f>
        <v>3761.4000000000005</v>
      </c>
      <c r="D19" s="34">
        <f t="shared" si="15"/>
        <v>119.20952380952387</v>
      </c>
      <c r="E19" s="34">
        <f t="shared" si="15"/>
        <v>1.182226666666671</v>
      </c>
      <c r="F19" s="34">
        <f t="shared" si="15"/>
        <v>1.3523329803788773E-29</v>
      </c>
      <c r="G19" s="12">
        <f t="shared" si="15"/>
        <v>0.1112400000000002</v>
      </c>
      <c r="H19" s="34">
        <f t="shared" si="15"/>
        <v>15088.74285714285</v>
      </c>
      <c r="I19" s="40">
        <f>_xlfn.VAR.S(I2:I16)</f>
        <v>1.5088742857142859E-8</v>
      </c>
      <c r="J19" s="34">
        <f t="shared" si="15"/>
        <v>50158.12380952375</v>
      </c>
      <c r="K19" s="34">
        <f t="shared" si="15"/>
        <v>0</v>
      </c>
      <c r="L19" s="34">
        <f t="shared" si="15"/>
        <v>1.8571467320876916E-33</v>
      </c>
      <c r="M19" s="38">
        <f t="shared" si="15"/>
        <v>1.2299396806873823E-41</v>
      </c>
      <c r="N19" s="34">
        <f t="shared" si="15"/>
        <v>1.1608261047661883E-6</v>
      </c>
      <c r="O19" s="34">
        <f>_xlfn.VAR.S(O2:O16)</f>
        <v>116.08261047661914</v>
      </c>
      <c r="P19" s="34">
        <f t="shared" si="15"/>
        <v>3.8588277390270891E-6</v>
      </c>
      <c r="Q19" s="34">
        <f t="shared" si="15"/>
        <v>0.11844569523809516</v>
      </c>
      <c r="R19" s="34">
        <f t="shared" si="15"/>
        <v>18.965390902340523</v>
      </c>
      <c r="S19" s="34">
        <f t="shared" si="15"/>
        <v>37.604186664597236</v>
      </c>
      <c r="T19" s="34">
        <f t="shared" si="15"/>
        <v>222.1600690245437</v>
      </c>
      <c r="U19" s="34">
        <f t="shared" si="15"/>
        <v>691.0187420504559</v>
      </c>
      <c r="V19" s="34">
        <f t="shared" si="15"/>
        <v>1278.7318992206795</v>
      </c>
      <c r="W19" s="34">
        <f t="shared" si="15"/>
        <v>2594.1600629498635</v>
      </c>
      <c r="X19" s="23"/>
      <c r="Y19" s="23"/>
      <c r="Z19" s="36"/>
    </row>
    <row r="20" spans="1:26" ht="17.25" customHeight="1" x14ac:dyDescent="0.2">
      <c r="A20" s="34" t="s">
        <v>8</v>
      </c>
      <c r="B20" s="23">
        <v>1521</v>
      </c>
      <c r="C20" s="23">
        <v>153</v>
      </c>
      <c r="D20" s="23">
        <v>69</v>
      </c>
      <c r="E20" s="23">
        <v>8.01</v>
      </c>
      <c r="F20" s="23">
        <v>27.73</v>
      </c>
      <c r="G20" s="6">
        <v>1.43</v>
      </c>
      <c r="H20" s="23">
        <v>448</v>
      </c>
      <c r="I20" s="7">
        <f t="shared" si="0"/>
        <v>4.4799999999999999E-4</v>
      </c>
      <c r="J20" s="23">
        <v>827</v>
      </c>
      <c r="K20" s="23">
        <v>114010</v>
      </c>
      <c r="L20" s="23">
        <f t="shared" si="1"/>
        <v>0.11401</v>
      </c>
      <c r="M20" s="31">
        <f t="shared" si="2"/>
        <v>1.1401E-5</v>
      </c>
      <c r="N20" s="23">
        <f t="shared" si="3"/>
        <v>3.9294798701868259E-3</v>
      </c>
      <c r="O20" s="23">
        <f t="shared" si="5"/>
        <v>39.29479870186826</v>
      </c>
      <c r="P20" s="23">
        <f t="shared" si="4"/>
        <v>7.2537496710814841E-3</v>
      </c>
      <c r="Q20" s="35">
        <v>4.2</v>
      </c>
      <c r="R20" s="23">
        <v>21.978966939999999</v>
      </c>
      <c r="S20" s="23">
        <v>26.008328890000001</v>
      </c>
      <c r="T20" s="23">
        <v>73.008945479999994</v>
      </c>
      <c r="U20" s="23">
        <v>121.751322</v>
      </c>
      <c r="V20" s="23">
        <v>195.530216</v>
      </c>
      <c r="W20" s="23">
        <v>258.52217480000002</v>
      </c>
      <c r="X20" s="24"/>
      <c r="Y20" s="34"/>
      <c r="Z20" s="34"/>
    </row>
    <row r="21" spans="1:26" ht="17.25" customHeight="1" x14ac:dyDescent="0.2">
      <c r="A21" s="34" t="s">
        <v>8</v>
      </c>
      <c r="B21" s="23">
        <v>1521</v>
      </c>
      <c r="C21" s="23">
        <v>153</v>
      </c>
      <c r="D21" s="23">
        <v>76</v>
      </c>
      <c r="E21" s="23">
        <v>7.44</v>
      </c>
      <c r="F21" s="23">
        <v>27.73</v>
      </c>
      <c r="G21" s="6">
        <v>1.42</v>
      </c>
      <c r="H21" s="23">
        <v>406</v>
      </c>
      <c r="I21" s="7">
        <f t="shared" si="0"/>
        <v>4.06E-4</v>
      </c>
      <c r="J21" s="23">
        <v>462</v>
      </c>
      <c r="K21" s="23">
        <v>114010</v>
      </c>
      <c r="L21" s="23">
        <f t="shared" si="1"/>
        <v>0.11401</v>
      </c>
      <c r="M21" s="31">
        <f t="shared" si="2"/>
        <v>1.1401E-5</v>
      </c>
      <c r="N21" s="23">
        <f t="shared" si="3"/>
        <v>3.561091132356811E-3</v>
      </c>
      <c r="O21" s="23">
        <f t="shared" si="5"/>
        <v>35.610911323568111</v>
      </c>
      <c r="P21" s="23">
        <f t="shared" si="4"/>
        <v>4.0522761161301641E-3</v>
      </c>
      <c r="Q21" s="35">
        <v>4.2320000000000002</v>
      </c>
      <c r="R21" s="23">
        <v>16.03356956</v>
      </c>
      <c r="S21" s="23">
        <v>21.87495041</v>
      </c>
      <c r="T21" s="23">
        <v>56.721846360000001</v>
      </c>
      <c r="U21" s="23">
        <v>107.51054139999999</v>
      </c>
      <c r="V21" s="23">
        <v>195.4835473</v>
      </c>
      <c r="W21" s="23">
        <v>211.41478559999999</v>
      </c>
      <c r="X21" s="24"/>
      <c r="Y21" s="34"/>
      <c r="Z21" s="34"/>
    </row>
    <row r="22" spans="1:26" ht="17.25" customHeight="1" x14ac:dyDescent="0.2">
      <c r="A22" s="34" t="s">
        <v>8</v>
      </c>
      <c r="B22" s="23">
        <v>1521</v>
      </c>
      <c r="C22" s="23">
        <v>153</v>
      </c>
      <c r="D22" s="23">
        <v>90</v>
      </c>
      <c r="E22" s="23">
        <v>7.98</v>
      </c>
      <c r="F22" s="23">
        <v>27.73</v>
      </c>
      <c r="G22" s="6">
        <v>2.16</v>
      </c>
      <c r="H22" s="23">
        <v>716</v>
      </c>
      <c r="I22" s="7">
        <f t="shared" si="0"/>
        <v>7.1599999999999995E-4</v>
      </c>
      <c r="J22" s="23">
        <v>633</v>
      </c>
      <c r="K22" s="23">
        <v>114010</v>
      </c>
      <c r="L22" s="23">
        <f t="shared" si="1"/>
        <v>0.11401</v>
      </c>
      <c r="M22" s="31">
        <f t="shared" si="2"/>
        <v>1.1401E-5</v>
      </c>
      <c r="N22" s="23">
        <f t="shared" si="3"/>
        <v>6.2801508639593016E-3</v>
      </c>
      <c r="O22" s="23">
        <f t="shared" si="5"/>
        <v>62.801508639593017</v>
      </c>
      <c r="P22" s="23">
        <f t="shared" si="4"/>
        <v>5.5521445487237957E-3</v>
      </c>
      <c r="Q22" s="35">
        <v>4.8860000000000001</v>
      </c>
      <c r="R22" s="23">
        <v>13.21412772</v>
      </c>
      <c r="S22" s="23">
        <v>21.26659261</v>
      </c>
      <c r="T22" s="23">
        <v>49.657833359999998</v>
      </c>
      <c r="U22" s="23">
        <v>82.779526450000006</v>
      </c>
      <c r="V22" s="23">
        <v>112.2144447</v>
      </c>
      <c r="W22" s="23">
        <v>167.74214939999999</v>
      </c>
      <c r="X22" s="23">
        <v>8.68</v>
      </c>
      <c r="Y22" s="23">
        <v>0.14599999999999999</v>
      </c>
      <c r="Z22" s="36">
        <f>Y22*X22</f>
        <v>1.26728</v>
      </c>
    </row>
    <row r="23" spans="1:26" ht="17.25" customHeight="1" x14ac:dyDescent="0.2">
      <c r="A23" s="34" t="s">
        <v>8</v>
      </c>
      <c r="B23" s="23">
        <v>1521</v>
      </c>
      <c r="C23" s="23">
        <v>155</v>
      </c>
      <c r="D23" s="23">
        <v>62</v>
      </c>
      <c r="E23" s="23">
        <v>7</v>
      </c>
      <c r="F23" s="23">
        <v>27.73</v>
      </c>
      <c r="G23" s="6">
        <v>1.42</v>
      </c>
      <c r="H23" s="23">
        <v>267</v>
      </c>
      <c r="I23" s="7">
        <f t="shared" si="0"/>
        <v>2.6699999999999998E-4</v>
      </c>
      <c r="J23" s="23">
        <v>897</v>
      </c>
      <c r="K23" s="23">
        <v>114010</v>
      </c>
      <c r="L23" s="23">
        <f t="shared" si="1"/>
        <v>0.11401</v>
      </c>
      <c r="M23" s="31">
        <f t="shared" si="2"/>
        <v>1.1401E-5</v>
      </c>
      <c r="N23" s="23">
        <f t="shared" si="3"/>
        <v>2.341899833347952E-3</v>
      </c>
      <c r="O23" s="23">
        <f t="shared" si="5"/>
        <v>23.418998333479518</v>
      </c>
      <c r="P23" s="23">
        <f t="shared" si="4"/>
        <v>7.8677309007981755E-3</v>
      </c>
      <c r="Q23" s="35">
        <v>3.6349999999999998</v>
      </c>
      <c r="R23" s="23">
        <v>17.259631540000001</v>
      </c>
      <c r="S23" s="23">
        <v>26.16352582</v>
      </c>
      <c r="T23" s="23">
        <v>98.703483570000003</v>
      </c>
      <c r="U23" s="23">
        <v>88.525081560000004</v>
      </c>
      <c r="V23" s="23">
        <v>229.31395839999999</v>
      </c>
      <c r="W23" s="23">
        <v>177.76821219999999</v>
      </c>
      <c r="X23" s="24"/>
      <c r="Y23" s="34"/>
      <c r="Z23" s="34"/>
    </row>
    <row r="24" spans="1:26" ht="17.25" customHeight="1" x14ac:dyDescent="0.2">
      <c r="A24" s="34" t="s">
        <v>8</v>
      </c>
      <c r="B24" s="23">
        <v>1521</v>
      </c>
      <c r="C24" s="23">
        <v>155</v>
      </c>
      <c r="D24" s="23">
        <v>64</v>
      </c>
      <c r="E24" s="23">
        <v>7.62</v>
      </c>
      <c r="F24" s="23">
        <v>27.73</v>
      </c>
      <c r="G24" s="6">
        <v>1.85</v>
      </c>
      <c r="H24" s="23">
        <v>306</v>
      </c>
      <c r="I24" s="7">
        <f t="shared" si="0"/>
        <v>3.0600000000000001E-4</v>
      </c>
      <c r="J24" s="23">
        <v>806</v>
      </c>
      <c r="K24" s="23">
        <v>114010</v>
      </c>
      <c r="L24" s="23">
        <f t="shared" si="1"/>
        <v>0.11401</v>
      </c>
      <c r="M24" s="31">
        <f t="shared" si="2"/>
        <v>1.1401E-5</v>
      </c>
      <c r="N24" s="23">
        <f t="shared" si="3"/>
        <v>2.6839750899043942E-3</v>
      </c>
      <c r="O24" s="23">
        <f t="shared" si="5"/>
        <v>26.839750899043946</v>
      </c>
      <c r="P24" s="23">
        <f t="shared" si="4"/>
        <v>7.0695553021664767E-3</v>
      </c>
      <c r="Q24" s="35">
        <v>3.7</v>
      </c>
      <c r="R24" s="23">
        <v>22.78908259</v>
      </c>
      <c r="S24" s="23">
        <v>20.860712979999999</v>
      </c>
      <c r="T24" s="23">
        <v>104.66246219999999</v>
      </c>
      <c r="U24" s="23">
        <v>83.918466530000003</v>
      </c>
      <c r="V24" s="23">
        <v>238.21353189999999</v>
      </c>
      <c r="W24" s="23">
        <v>172.85719309999999</v>
      </c>
      <c r="X24" s="24"/>
      <c r="Y24" s="34"/>
      <c r="Z24" s="34"/>
    </row>
    <row r="25" spans="1:26" ht="17.25" customHeight="1" x14ac:dyDescent="0.2">
      <c r="A25" s="34" t="s">
        <v>8</v>
      </c>
      <c r="B25" s="23">
        <v>1521</v>
      </c>
      <c r="C25" s="23">
        <v>155</v>
      </c>
      <c r="D25" s="23">
        <v>66</v>
      </c>
      <c r="E25" s="23">
        <v>8.3800000000000008</v>
      </c>
      <c r="F25" s="23">
        <v>27.73</v>
      </c>
      <c r="G25" s="6">
        <v>1.94</v>
      </c>
      <c r="H25" s="23">
        <v>469</v>
      </c>
      <c r="I25" s="7">
        <f t="shared" si="0"/>
        <v>4.6900000000000002E-4</v>
      </c>
      <c r="J25" s="23">
        <v>942</v>
      </c>
      <c r="K25" s="23">
        <v>114010</v>
      </c>
      <c r="L25" s="23">
        <f t="shared" si="1"/>
        <v>0.11401</v>
      </c>
      <c r="M25" s="31">
        <f t="shared" si="2"/>
        <v>1.1401E-5</v>
      </c>
      <c r="N25" s="23">
        <f t="shared" si="3"/>
        <v>4.1136742391018333E-3</v>
      </c>
      <c r="O25" s="23">
        <f t="shared" si="5"/>
        <v>41.136742391018331</v>
      </c>
      <c r="P25" s="23">
        <f t="shared" si="4"/>
        <v>8.2624331199017634E-3</v>
      </c>
      <c r="Q25" s="35">
        <v>4.45</v>
      </c>
      <c r="R25" s="23">
        <v>27.04496031</v>
      </c>
      <c r="S25" s="23">
        <v>23.181528700000001</v>
      </c>
      <c r="T25" s="23">
        <v>118.2256003</v>
      </c>
      <c r="U25" s="23">
        <v>121.88949839999999</v>
      </c>
      <c r="V25" s="23">
        <v>278.1266493</v>
      </c>
      <c r="W25" s="23">
        <v>268.11935560000001</v>
      </c>
      <c r="X25" s="23">
        <v>1.33</v>
      </c>
      <c r="Y25" s="23">
        <v>2.33</v>
      </c>
      <c r="Z25" s="36">
        <f>Y25*X25</f>
        <v>3.0989000000000004</v>
      </c>
    </row>
    <row r="26" spans="1:26" ht="17.25" customHeight="1" x14ac:dyDescent="0.2">
      <c r="A26" s="34" t="s">
        <v>8</v>
      </c>
      <c r="B26" s="23">
        <v>1521</v>
      </c>
      <c r="C26" s="23">
        <v>156</v>
      </c>
      <c r="D26" s="23">
        <v>71</v>
      </c>
      <c r="E26" s="23">
        <v>5.24</v>
      </c>
      <c r="F26" s="23">
        <v>27.73</v>
      </c>
      <c r="G26" s="6">
        <v>1.95</v>
      </c>
      <c r="H26" s="23">
        <v>514</v>
      </c>
      <c r="I26" s="7">
        <f t="shared" si="0"/>
        <v>5.1400000000000003E-4</v>
      </c>
      <c r="J26" s="23">
        <v>1185</v>
      </c>
      <c r="K26" s="23">
        <v>114010</v>
      </c>
      <c r="L26" s="23">
        <f t="shared" si="1"/>
        <v>0.11401</v>
      </c>
      <c r="M26" s="31">
        <f t="shared" si="2"/>
        <v>1.1401E-5</v>
      </c>
      <c r="N26" s="23">
        <f t="shared" si="3"/>
        <v>4.5083764582054204E-3</v>
      </c>
      <c r="O26" s="23">
        <f t="shared" si="5"/>
        <v>45.083764582054208</v>
      </c>
      <c r="P26" s="23">
        <f t="shared" si="4"/>
        <v>1.0393825103061135E-2</v>
      </c>
      <c r="Q26" s="35">
        <v>4.9829999999999997</v>
      </c>
      <c r="R26" s="23">
        <v>20.09467038</v>
      </c>
      <c r="S26" s="23">
        <v>22.527470709999999</v>
      </c>
      <c r="T26" s="23">
        <v>72.774765119999998</v>
      </c>
      <c r="U26" s="23">
        <v>110.2580851</v>
      </c>
      <c r="V26" s="23">
        <v>171.31161399999999</v>
      </c>
      <c r="W26" s="23">
        <v>247.4344351</v>
      </c>
      <c r="X26" s="23">
        <v>0.28999999999999998</v>
      </c>
      <c r="Y26" s="23">
        <v>5.28</v>
      </c>
      <c r="Z26" s="36">
        <f>Y26*X26</f>
        <v>1.5311999999999999</v>
      </c>
    </row>
    <row r="27" spans="1:26" ht="17.25" customHeight="1" x14ac:dyDescent="0.2">
      <c r="A27" s="34" t="s">
        <v>8</v>
      </c>
      <c r="B27" s="23">
        <v>1521</v>
      </c>
      <c r="C27" s="23">
        <v>156</v>
      </c>
      <c r="D27" s="23">
        <v>74</v>
      </c>
      <c r="E27" s="23">
        <v>6.2</v>
      </c>
      <c r="F27" s="23">
        <v>27.73</v>
      </c>
      <c r="G27" s="6">
        <v>1.92</v>
      </c>
      <c r="H27" s="23">
        <v>454</v>
      </c>
      <c r="I27" s="7">
        <f t="shared" si="0"/>
        <v>4.5399999999999998E-4</v>
      </c>
      <c r="J27" s="23">
        <v>1119</v>
      </c>
      <c r="K27" s="23">
        <v>114010</v>
      </c>
      <c r="L27" s="23">
        <f t="shared" si="1"/>
        <v>0.11401</v>
      </c>
      <c r="M27" s="31">
        <f t="shared" si="2"/>
        <v>1.1401E-5</v>
      </c>
      <c r="N27" s="23">
        <f t="shared" si="3"/>
        <v>3.9821068327339703E-3</v>
      </c>
      <c r="O27" s="23">
        <f t="shared" si="5"/>
        <v>39.821068327339702</v>
      </c>
      <c r="P27" s="23">
        <f t="shared" si="4"/>
        <v>9.8149285150425404E-3</v>
      </c>
      <c r="Q27" s="35">
        <v>4.0490000000000004</v>
      </c>
      <c r="R27" s="23">
        <v>9.9183868700000009</v>
      </c>
      <c r="S27" s="23">
        <v>21.207179780000001</v>
      </c>
      <c r="T27" s="23">
        <v>52.078912989999999</v>
      </c>
      <c r="U27" s="23">
        <v>107.78331559999999</v>
      </c>
      <c r="V27" s="23">
        <v>130.4750453</v>
      </c>
      <c r="W27" s="23">
        <v>215.10947010000001</v>
      </c>
      <c r="X27" s="24"/>
      <c r="Y27" s="34"/>
      <c r="Z27" s="34"/>
    </row>
    <row r="28" spans="1:26" ht="17.25" customHeight="1" x14ac:dyDescent="0.2">
      <c r="A28" s="34" t="s">
        <v>8</v>
      </c>
      <c r="B28" s="23">
        <v>1521</v>
      </c>
      <c r="C28" s="23">
        <v>156</v>
      </c>
      <c r="D28" s="23">
        <v>75</v>
      </c>
      <c r="E28" s="23">
        <v>8.6300000000000008</v>
      </c>
      <c r="F28" s="23">
        <v>27.73</v>
      </c>
      <c r="G28" s="6">
        <v>2.11</v>
      </c>
      <c r="H28" s="23">
        <v>481</v>
      </c>
      <c r="I28" s="7">
        <f t="shared" si="0"/>
        <v>4.8099999999999998E-4</v>
      </c>
      <c r="J28" s="23">
        <v>1012</v>
      </c>
      <c r="K28" s="23">
        <v>114010</v>
      </c>
      <c r="L28" s="23">
        <f t="shared" si="1"/>
        <v>0.11401</v>
      </c>
      <c r="M28" s="31">
        <f t="shared" si="2"/>
        <v>1.1401E-5</v>
      </c>
      <c r="N28" s="23">
        <f t="shared" si="3"/>
        <v>4.2189281641961231E-3</v>
      </c>
      <c r="O28" s="23">
        <f t="shared" si="5"/>
        <v>42.18928164196123</v>
      </c>
      <c r="P28" s="23">
        <f t="shared" si="4"/>
        <v>8.8764143496184549E-3</v>
      </c>
      <c r="Q28" s="35">
        <v>4.45</v>
      </c>
      <c r="R28" s="23">
        <v>18.22877652</v>
      </c>
      <c r="S28" s="23">
        <v>20.914830349999999</v>
      </c>
      <c r="T28" s="23">
        <v>64.770507140000007</v>
      </c>
      <c r="U28" s="23">
        <v>99.248058220000004</v>
      </c>
      <c r="V28" s="23">
        <v>149.55825479999999</v>
      </c>
      <c r="W28" s="23">
        <v>237.94259679999999</v>
      </c>
      <c r="X28" s="24"/>
      <c r="Y28" s="34"/>
      <c r="Z28" s="34"/>
    </row>
    <row r="29" spans="1:26" ht="17.25" customHeight="1" x14ac:dyDescent="0.2">
      <c r="A29" s="34" t="s">
        <v>8</v>
      </c>
      <c r="B29" s="23">
        <v>1521</v>
      </c>
      <c r="C29" s="23">
        <v>157</v>
      </c>
      <c r="D29" s="23">
        <v>67</v>
      </c>
      <c r="E29" s="23">
        <v>7.72</v>
      </c>
      <c r="F29" s="23">
        <v>27.73</v>
      </c>
      <c r="G29" s="6">
        <v>2.34</v>
      </c>
      <c r="H29" s="23">
        <v>376</v>
      </c>
      <c r="I29" s="7">
        <f t="shared" si="0"/>
        <v>3.7599999999999998E-4</v>
      </c>
      <c r="J29" s="23">
        <v>827</v>
      </c>
      <c r="K29" s="23">
        <v>114010</v>
      </c>
      <c r="L29" s="23">
        <f t="shared" si="1"/>
        <v>0.11401</v>
      </c>
      <c r="M29" s="31">
        <f t="shared" si="2"/>
        <v>1.1401E-5</v>
      </c>
      <c r="N29" s="23">
        <f t="shared" si="3"/>
        <v>3.297956319621086E-3</v>
      </c>
      <c r="O29" s="23">
        <f t="shared" si="5"/>
        <v>32.979563196210854</v>
      </c>
      <c r="P29" s="23">
        <f t="shared" si="4"/>
        <v>7.2537496710814841E-3</v>
      </c>
      <c r="Q29" s="35">
        <v>4.3689999999999998</v>
      </c>
      <c r="R29" s="23">
        <v>12.119463250000001</v>
      </c>
      <c r="S29" s="23">
        <v>19.412790390000001</v>
      </c>
      <c r="T29" s="23">
        <v>36.856379830000002</v>
      </c>
      <c r="U29" s="23">
        <v>110.33185640000001</v>
      </c>
      <c r="V29" s="23">
        <v>115.4993767</v>
      </c>
      <c r="W29" s="23">
        <v>218.97264699999999</v>
      </c>
      <c r="X29" s="24"/>
      <c r="Y29" s="34"/>
      <c r="Z29" s="34"/>
    </row>
    <row r="30" spans="1:26" ht="17.25" customHeight="1" x14ac:dyDescent="0.2">
      <c r="A30" s="34" t="s">
        <v>8</v>
      </c>
      <c r="B30" s="23">
        <v>1521</v>
      </c>
      <c r="C30" s="23">
        <v>157</v>
      </c>
      <c r="D30" s="23">
        <v>68</v>
      </c>
      <c r="E30" s="23">
        <v>7.08</v>
      </c>
      <c r="F30" s="23">
        <v>27.73</v>
      </c>
      <c r="G30" s="6">
        <v>2.36</v>
      </c>
      <c r="H30" s="23">
        <v>340</v>
      </c>
      <c r="I30" s="7">
        <f t="shared" si="0"/>
        <v>3.4000000000000002E-4</v>
      </c>
      <c r="J30" s="23">
        <v>948</v>
      </c>
      <c r="K30" s="23">
        <v>114010</v>
      </c>
      <c r="L30" s="23">
        <f t="shared" si="1"/>
        <v>0.11401</v>
      </c>
      <c r="M30" s="31">
        <f t="shared" si="2"/>
        <v>1.1401E-5</v>
      </c>
      <c r="N30" s="23">
        <f t="shared" si="3"/>
        <v>2.9821945443382161E-3</v>
      </c>
      <c r="O30" s="23">
        <f t="shared" si="5"/>
        <v>29.821945443382162</v>
      </c>
      <c r="P30" s="23">
        <f t="shared" si="4"/>
        <v>8.3150600824489079E-3</v>
      </c>
      <c r="Q30" s="35">
        <v>4.2240000000000002</v>
      </c>
      <c r="R30" s="23">
        <v>14.48663709</v>
      </c>
      <c r="S30" s="23">
        <v>19.92049836</v>
      </c>
      <c r="T30" s="23">
        <v>43.656190969999997</v>
      </c>
      <c r="U30" s="23">
        <v>114.53534809999999</v>
      </c>
      <c r="V30" s="23">
        <v>129.6109189</v>
      </c>
      <c r="W30" s="23">
        <v>237.5827146</v>
      </c>
      <c r="X30" s="23">
        <v>0.48</v>
      </c>
      <c r="Y30" s="23">
        <v>4.71</v>
      </c>
      <c r="Z30" s="36">
        <f>Y30*X30</f>
        <v>2.2607999999999997</v>
      </c>
    </row>
    <row r="31" spans="1:26" ht="17.25" customHeight="1" x14ac:dyDescent="0.2">
      <c r="A31" s="34" t="s">
        <v>8</v>
      </c>
      <c r="B31" s="23">
        <v>1521</v>
      </c>
      <c r="C31" s="23">
        <v>157</v>
      </c>
      <c r="D31" s="23">
        <v>72</v>
      </c>
      <c r="E31" s="23">
        <v>6.95</v>
      </c>
      <c r="F31" s="23">
        <v>27.73</v>
      </c>
      <c r="G31" s="6">
        <v>2.6</v>
      </c>
      <c r="H31" s="23">
        <v>345</v>
      </c>
      <c r="I31" s="7">
        <f t="shared" si="0"/>
        <v>3.4499999999999998E-4</v>
      </c>
      <c r="J31" s="23">
        <v>910</v>
      </c>
      <c r="K31" s="23">
        <v>114010</v>
      </c>
      <c r="L31" s="23">
        <f t="shared" si="1"/>
        <v>0.11401</v>
      </c>
      <c r="M31" s="31">
        <f t="shared" si="2"/>
        <v>1.1401E-5</v>
      </c>
      <c r="N31" s="23">
        <f t="shared" si="3"/>
        <v>3.0260503464608368E-3</v>
      </c>
      <c r="O31" s="23">
        <f t="shared" si="5"/>
        <v>30.260503464608366</v>
      </c>
      <c r="P31" s="23">
        <f t="shared" si="4"/>
        <v>7.98175598631699E-3</v>
      </c>
      <c r="Q31" s="35">
        <v>6.1</v>
      </c>
      <c r="R31" s="23">
        <v>14.925410400000001</v>
      </c>
      <c r="S31" s="23">
        <v>24.30677356</v>
      </c>
      <c r="T31" s="23">
        <v>58.512313349999999</v>
      </c>
      <c r="U31" s="23">
        <v>153.0018134</v>
      </c>
      <c r="V31" s="23">
        <v>152.8473386</v>
      </c>
      <c r="W31" s="23">
        <v>363.33520170000003</v>
      </c>
      <c r="X31" s="24"/>
      <c r="Y31" s="34"/>
      <c r="Z31" s="34"/>
    </row>
    <row r="32" spans="1:26" ht="17.25" customHeight="1" x14ac:dyDescent="0.2">
      <c r="A32" s="34" t="s">
        <v>8</v>
      </c>
      <c r="B32" s="23">
        <v>1521</v>
      </c>
      <c r="C32" s="23">
        <v>158</v>
      </c>
      <c r="D32" s="23">
        <v>70</v>
      </c>
      <c r="E32" s="23">
        <v>7.79</v>
      </c>
      <c r="F32" s="23">
        <v>27.73</v>
      </c>
      <c r="G32" s="6">
        <v>1.44</v>
      </c>
      <c r="H32" s="23">
        <v>523</v>
      </c>
      <c r="I32" s="7">
        <f t="shared" si="0"/>
        <v>5.2300000000000003E-4</v>
      </c>
      <c r="J32" s="23">
        <v>437</v>
      </c>
      <c r="K32" s="23">
        <v>114010</v>
      </c>
      <c r="L32" s="23">
        <f t="shared" si="1"/>
        <v>0.11401</v>
      </c>
      <c r="M32" s="31">
        <f t="shared" si="2"/>
        <v>1.1401E-5</v>
      </c>
      <c r="N32" s="23">
        <f t="shared" si="3"/>
        <v>4.5873169020261379E-3</v>
      </c>
      <c r="O32" s="23">
        <f t="shared" si="5"/>
        <v>45.873169020261386</v>
      </c>
      <c r="P32" s="23">
        <f t="shared" si="4"/>
        <v>3.8329971055170598E-3</v>
      </c>
      <c r="Q32" s="35">
        <v>3.4169999999999998</v>
      </c>
      <c r="R32" s="23">
        <v>19.411764309999999</v>
      </c>
      <c r="S32" s="23">
        <v>22.631666249999999</v>
      </c>
      <c r="T32" s="23">
        <v>64.644144429999997</v>
      </c>
      <c r="U32" s="23">
        <v>109.2598236</v>
      </c>
      <c r="V32" s="23">
        <v>153.29039069999999</v>
      </c>
      <c r="W32" s="23">
        <v>224.7669688</v>
      </c>
      <c r="X32" s="24"/>
      <c r="Y32" s="34"/>
      <c r="Z32" s="34"/>
    </row>
    <row r="33" spans="1:26" ht="17.25" customHeight="1" x14ac:dyDescent="0.2">
      <c r="A33" s="34" t="s">
        <v>8</v>
      </c>
      <c r="B33" s="23">
        <v>1521</v>
      </c>
      <c r="C33" s="23">
        <v>158</v>
      </c>
      <c r="D33" s="23">
        <v>73</v>
      </c>
      <c r="E33" s="23">
        <v>6.96</v>
      </c>
      <c r="F33" s="23">
        <v>27.73</v>
      </c>
      <c r="G33" s="6">
        <v>1.76</v>
      </c>
      <c r="H33" s="23">
        <v>454</v>
      </c>
      <c r="I33" s="7">
        <f t="shared" si="0"/>
        <v>4.5399999999999998E-4</v>
      </c>
      <c r="J33" s="23">
        <v>651</v>
      </c>
      <c r="K33" s="23">
        <v>114010</v>
      </c>
      <c r="L33" s="23">
        <f t="shared" si="1"/>
        <v>0.11401</v>
      </c>
      <c r="M33" s="31">
        <f t="shared" si="2"/>
        <v>1.1401E-5</v>
      </c>
      <c r="N33" s="23">
        <f t="shared" si="3"/>
        <v>3.9821068327339703E-3</v>
      </c>
      <c r="O33" s="23">
        <f t="shared" si="5"/>
        <v>39.821068327339702</v>
      </c>
      <c r="P33" s="23">
        <f t="shared" si="4"/>
        <v>5.7100254363652309E-3</v>
      </c>
      <c r="Q33" s="35">
        <v>4.6130000000000004</v>
      </c>
      <c r="R33" s="23">
        <v>11.47423186</v>
      </c>
      <c r="S33" s="23">
        <v>22.864112630000001</v>
      </c>
      <c r="T33" s="23">
        <v>39.282754079999997</v>
      </c>
      <c r="U33" s="23">
        <v>113.8068956</v>
      </c>
      <c r="V33" s="23">
        <v>96.144170180000003</v>
      </c>
      <c r="W33" s="23">
        <v>241.34714940000001</v>
      </c>
      <c r="X33" s="23">
        <v>4.92</v>
      </c>
      <c r="Y33" s="23">
        <v>0.15</v>
      </c>
      <c r="Z33" s="36">
        <f>Y33*X33</f>
        <v>0.73799999999999999</v>
      </c>
    </row>
    <row r="34" spans="1:26" ht="17.25" customHeight="1" x14ac:dyDescent="0.2">
      <c r="A34" s="34" t="s">
        <v>8</v>
      </c>
      <c r="B34" s="23">
        <v>1521</v>
      </c>
      <c r="C34" s="23">
        <v>158</v>
      </c>
      <c r="D34" s="23">
        <v>81</v>
      </c>
      <c r="E34" s="23">
        <v>9.81</v>
      </c>
      <c r="F34" s="23">
        <v>27.73</v>
      </c>
      <c r="G34" s="6">
        <v>1.48</v>
      </c>
      <c r="H34" s="23">
        <v>266</v>
      </c>
      <c r="I34" s="7">
        <f t="shared" si="0"/>
        <v>2.6600000000000001E-4</v>
      </c>
      <c r="J34" s="23">
        <v>577</v>
      </c>
      <c r="K34" s="23">
        <v>114010</v>
      </c>
      <c r="L34" s="23">
        <f t="shared" si="1"/>
        <v>0.11401</v>
      </c>
      <c r="M34" s="31">
        <f t="shared" si="2"/>
        <v>1.1401E-5</v>
      </c>
      <c r="N34" s="23">
        <f t="shared" si="3"/>
        <v>2.3331286729234278E-3</v>
      </c>
      <c r="O34" s="23">
        <f t="shared" si="5"/>
        <v>23.331286729234279</v>
      </c>
      <c r="P34" s="23">
        <f t="shared" si="4"/>
        <v>5.0609595649504426E-3</v>
      </c>
      <c r="Q34" s="35">
        <v>3.8690000000000002</v>
      </c>
      <c r="R34" s="23">
        <v>13.97725133</v>
      </c>
      <c r="S34" s="23">
        <v>23.341230360000001</v>
      </c>
      <c r="T34" s="23">
        <v>56.133606690000001</v>
      </c>
      <c r="U34" s="23">
        <v>116.368898</v>
      </c>
      <c r="V34" s="23">
        <v>131.95716060000001</v>
      </c>
      <c r="W34" s="23">
        <v>247.76854729999999</v>
      </c>
      <c r="X34" s="24"/>
      <c r="Y34" s="34"/>
      <c r="Z34" s="34"/>
    </row>
    <row r="35" spans="1:26" ht="17.25" customHeight="1" x14ac:dyDescent="0.2">
      <c r="A35" s="34" t="s">
        <v>87</v>
      </c>
      <c r="B35" s="23">
        <f>AVERAGE(B20:B34)</f>
        <v>1521</v>
      </c>
      <c r="C35" s="23">
        <f t="shared" ref="C35" si="16">AVERAGE(C20:C34)</f>
        <v>155.80000000000001</v>
      </c>
      <c r="D35" s="23">
        <f t="shared" ref="D35" si="17">AVERAGE(D20:D34)</f>
        <v>71.86666666666666</v>
      </c>
      <c r="E35" s="23">
        <f t="shared" ref="E35" si="18">AVERAGE(E20:E34)</f>
        <v>7.5206666666666671</v>
      </c>
      <c r="F35" s="23">
        <f t="shared" ref="F35" si="19">AVERAGE(F20:F34)</f>
        <v>27.730000000000004</v>
      </c>
      <c r="G35" s="6">
        <f t="shared" ref="G35" si="20">AVERAGE(G20:G34)</f>
        <v>1.8786666666666669</v>
      </c>
      <c r="H35" s="23">
        <f t="shared" ref="H35" si="21">AVERAGE(H20:H34)</f>
        <v>424.33333333333331</v>
      </c>
      <c r="I35" s="7">
        <f t="shared" ref="I35" si="22">AVERAGE(I20:I34)</f>
        <v>4.243333333333332E-4</v>
      </c>
      <c r="J35" s="23">
        <f t="shared" ref="J35" si="23">AVERAGE(J20:J34)</f>
        <v>815.5333333333333</v>
      </c>
      <c r="K35" s="23">
        <f t="shared" ref="K35" si="24">AVERAGE(K20:K34)</f>
        <v>114010</v>
      </c>
      <c r="L35" s="23">
        <f t="shared" ref="L35" si="25">AVERAGE(L20:L34)</f>
        <v>0.11400999999999996</v>
      </c>
      <c r="M35" s="31">
        <f t="shared" ref="M35" si="26">AVERAGE(M20:M34)</f>
        <v>1.1400999999999996E-5</v>
      </c>
      <c r="N35" s="23">
        <f t="shared" ref="N35" si="27">AVERAGE(N20:N34)</f>
        <v>3.7218957401397531E-3</v>
      </c>
      <c r="O35" s="23">
        <f t="shared" ref="O35" si="28">AVERAGE(O20:O34)</f>
        <v>37.218957401397539</v>
      </c>
      <c r="P35" s="23">
        <f>AVERAGE(P20:P34)</f>
        <v>7.1531736982136072E-3</v>
      </c>
      <c r="Q35" s="23">
        <f t="shared" ref="Q35" si="29">AVERAGE(Q20:Q34)</f>
        <v>4.3451333333333348</v>
      </c>
      <c r="R35" s="23">
        <f t="shared" ref="R35" si="30">AVERAGE(R20:R34)</f>
        <v>16.863795377999999</v>
      </c>
      <c r="S35" s="23">
        <f t="shared" ref="S35" si="31">AVERAGE(S20:S34)</f>
        <v>22.432146120000002</v>
      </c>
      <c r="T35" s="23">
        <f t="shared" ref="T35" si="32">AVERAGE(T20:T34)</f>
        <v>65.979316391333342</v>
      </c>
      <c r="U35" s="23">
        <f t="shared" ref="U35" si="33">AVERAGE(U20:U34)</f>
        <v>109.39790202399999</v>
      </c>
      <c r="V35" s="23">
        <f t="shared" ref="V35" si="34">AVERAGE(V20:V34)</f>
        <v>165.30510782533332</v>
      </c>
      <c r="W35" s="23">
        <f t="shared" ref="W35" si="35">AVERAGE(W20:W34)</f>
        <v>232.71224010000003</v>
      </c>
      <c r="X35" s="24"/>
      <c r="Y35" s="34"/>
      <c r="Z35" s="34"/>
    </row>
    <row r="36" spans="1:26" ht="17.25" customHeight="1" x14ac:dyDescent="0.2">
      <c r="A36" s="34" t="s">
        <v>86</v>
      </c>
      <c r="B36" s="34">
        <f>STDEV(B20:B34)/SQRT(COUNT(B20:B34))</f>
        <v>0</v>
      </c>
      <c r="C36" s="34">
        <f t="shared" ref="C36:W36" si="36">STDEV(C20:C34)/SQRT(COUNT(C20:C34))</f>
        <v>0.459813626840888</v>
      </c>
      <c r="D36" s="34">
        <f t="shared" si="36"/>
        <v>1.8123036292090913</v>
      </c>
      <c r="E36" s="34">
        <f t="shared" si="36"/>
        <v>0.27464343406135794</v>
      </c>
      <c r="F36" s="34">
        <f t="shared" si="36"/>
        <v>9.495026699554799E-16</v>
      </c>
      <c r="G36" s="12">
        <f t="shared" si="36"/>
        <v>9.9913613480496502E-2</v>
      </c>
      <c r="H36" s="34">
        <f t="shared" si="36"/>
        <v>30.101046757098274</v>
      </c>
      <c r="I36" s="34">
        <f t="shared" si="36"/>
        <v>3.010104675709826E-5</v>
      </c>
      <c r="J36" s="34">
        <f t="shared" si="36"/>
        <v>57.826247679016113</v>
      </c>
      <c r="K36" s="34">
        <f t="shared" si="36"/>
        <v>0</v>
      </c>
      <c r="L36" s="34">
        <f t="shared" si="36"/>
        <v>1.1126984413540779E-17</v>
      </c>
      <c r="M36" s="38">
        <f t="shared" si="36"/>
        <v>9.0551630969570151E-22</v>
      </c>
      <c r="N36" s="34">
        <f t="shared" si="36"/>
        <v>2.6402111005261169E-4</v>
      </c>
      <c r="O36" s="34">
        <f t="shared" si="36"/>
        <v>2.6402111005261197</v>
      </c>
      <c r="P36" s="34">
        <f t="shared" si="36"/>
        <v>5.0720329514091877E-4</v>
      </c>
      <c r="Q36" s="34">
        <f t="shared" si="36"/>
        <v>0.16928611640163568</v>
      </c>
      <c r="R36" s="34">
        <f t="shared" si="36"/>
        <v>1.2255711432000096</v>
      </c>
      <c r="S36" s="34">
        <f t="shared" si="36"/>
        <v>0.51277053984986554</v>
      </c>
      <c r="T36" s="34">
        <f t="shared" si="36"/>
        <v>6.230856202014202</v>
      </c>
      <c r="U36" s="34">
        <f t="shared" si="36"/>
        <v>4.4767171216362529</v>
      </c>
      <c r="V36" s="34">
        <f t="shared" si="36"/>
        <v>13.492699332453318</v>
      </c>
      <c r="W36" s="34">
        <f t="shared" si="36"/>
        <v>12.225885546163521</v>
      </c>
      <c r="X36" s="24"/>
      <c r="Y36" s="34"/>
      <c r="Z36" s="34"/>
    </row>
    <row r="37" spans="1:26" ht="17.25" customHeight="1" x14ac:dyDescent="0.2">
      <c r="A37" s="34" t="s">
        <v>9</v>
      </c>
      <c r="B37" s="23">
        <v>666</v>
      </c>
      <c r="C37" s="23">
        <v>101</v>
      </c>
      <c r="D37" s="23">
        <v>1</v>
      </c>
      <c r="E37" s="23">
        <v>8.59</v>
      </c>
      <c r="F37" s="23">
        <v>27.73</v>
      </c>
      <c r="G37" s="6">
        <v>1.18</v>
      </c>
      <c r="H37" s="23">
        <v>452</v>
      </c>
      <c r="I37" s="7">
        <f t="shared" si="0"/>
        <v>4.5199999999999998E-4</v>
      </c>
      <c r="J37" s="23">
        <v>754</v>
      </c>
      <c r="K37" s="23">
        <v>114010</v>
      </c>
      <c r="L37" s="23">
        <f t="shared" si="1"/>
        <v>0.11401</v>
      </c>
      <c r="M37" s="31">
        <f t="shared" si="2"/>
        <v>1.1401E-5</v>
      </c>
      <c r="N37" s="23">
        <f t="shared" si="3"/>
        <v>3.9645645118849228E-3</v>
      </c>
      <c r="O37" s="23">
        <f t="shared" si="5"/>
        <v>39.645645118849224</v>
      </c>
      <c r="P37" s="23">
        <f t="shared" si="4"/>
        <v>6.6134549600912204E-3</v>
      </c>
      <c r="Q37" s="35">
        <v>3.2509999999999999</v>
      </c>
      <c r="R37" s="23">
        <v>24.755789350000001</v>
      </c>
      <c r="S37" s="23">
        <v>24.30565971</v>
      </c>
      <c r="T37" s="23">
        <v>83.842244269999995</v>
      </c>
      <c r="U37" s="23">
        <v>101.9414257</v>
      </c>
      <c r="V37" s="23">
        <v>205.61117379999999</v>
      </c>
      <c r="W37" s="23">
        <v>217.07177970000001</v>
      </c>
      <c r="X37" s="24"/>
      <c r="Y37" s="34"/>
      <c r="Z37" s="34"/>
    </row>
    <row r="38" spans="1:26" ht="17.25" customHeight="1" x14ac:dyDescent="0.2">
      <c r="A38" s="34" t="s">
        <v>9</v>
      </c>
      <c r="B38" s="23">
        <v>666</v>
      </c>
      <c r="C38" s="23">
        <v>101</v>
      </c>
      <c r="D38" s="23">
        <v>2</v>
      </c>
      <c r="E38" s="23">
        <v>8.5399999999999991</v>
      </c>
      <c r="F38" s="23">
        <v>27.73</v>
      </c>
      <c r="G38" s="6">
        <v>1.59</v>
      </c>
      <c r="H38" s="23">
        <v>456</v>
      </c>
      <c r="I38" s="7">
        <f t="shared" si="0"/>
        <v>4.5600000000000003E-4</v>
      </c>
      <c r="J38" s="23">
        <v>827</v>
      </c>
      <c r="K38" s="23">
        <v>114010</v>
      </c>
      <c r="L38" s="23">
        <f t="shared" si="1"/>
        <v>0.11401</v>
      </c>
      <c r="M38" s="31">
        <f t="shared" si="2"/>
        <v>1.1401E-5</v>
      </c>
      <c r="N38" s="23">
        <f t="shared" si="3"/>
        <v>3.9996491535830188E-3</v>
      </c>
      <c r="O38" s="23">
        <f t="shared" si="5"/>
        <v>39.996491535830195</v>
      </c>
      <c r="P38" s="23">
        <f t="shared" si="4"/>
        <v>7.2537496710814841E-3</v>
      </c>
      <c r="Q38" s="35">
        <v>3.4449999999999998</v>
      </c>
      <c r="R38" s="23">
        <v>26.173963610000001</v>
      </c>
      <c r="S38" s="23">
        <v>29.016015110000001</v>
      </c>
      <c r="T38" s="23">
        <v>85.48734383</v>
      </c>
      <c r="U38" s="23">
        <v>113.5504541</v>
      </c>
      <c r="V38" s="23">
        <v>205.6995306</v>
      </c>
      <c r="W38" s="23">
        <v>242.18004680000001</v>
      </c>
      <c r="X38" s="24"/>
      <c r="Y38" s="34"/>
      <c r="Z38" s="34"/>
    </row>
    <row r="39" spans="1:26" ht="17.25" customHeight="1" x14ac:dyDescent="0.2">
      <c r="A39" s="34" t="s">
        <v>9</v>
      </c>
      <c r="B39" s="23">
        <v>666</v>
      </c>
      <c r="C39" s="23">
        <v>101</v>
      </c>
      <c r="D39" s="23">
        <v>3</v>
      </c>
      <c r="E39" s="23">
        <v>8.66</v>
      </c>
      <c r="F39" s="23">
        <v>27.73</v>
      </c>
      <c r="G39" s="6">
        <v>1.67</v>
      </c>
      <c r="H39" s="23">
        <v>493</v>
      </c>
      <c r="I39" s="7">
        <f t="shared" ref="I39:I68" si="37">H39/1000000</f>
        <v>4.9299999999999995E-4</v>
      </c>
      <c r="J39" s="23">
        <v>850</v>
      </c>
      <c r="K39" s="23">
        <v>114010</v>
      </c>
      <c r="L39" s="23">
        <f t="shared" ref="L39:L68" si="38">K39/1000000</f>
        <v>0.11401</v>
      </c>
      <c r="M39" s="31">
        <f t="shared" ref="M39:M68" si="39">K39/10000000000</f>
        <v>1.1401E-5</v>
      </c>
      <c r="N39" s="23">
        <f t="shared" ref="N39:N68" si="40">H39/K39</f>
        <v>4.3241820892904129E-3</v>
      </c>
      <c r="O39" s="23">
        <f t="shared" ref="O39:O68" si="41">I39/M39</f>
        <v>43.24182089290413</v>
      </c>
      <c r="P39" s="23">
        <f t="shared" ref="P39:P68" si="42">J39/K39</f>
        <v>7.45548636084554E-3</v>
      </c>
      <c r="Q39" s="35">
        <v>3.0329999999999999</v>
      </c>
      <c r="R39" s="23">
        <v>24.34654244</v>
      </c>
      <c r="S39" s="23">
        <v>28.062841259999999</v>
      </c>
      <c r="T39" s="23">
        <v>77.854409759999996</v>
      </c>
      <c r="U39" s="23">
        <v>118.929434</v>
      </c>
      <c r="V39" s="23">
        <v>198.22717729999999</v>
      </c>
      <c r="W39" s="23">
        <v>254.11305390000001</v>
      </c>
      <c r="X39" s="23">
        <v>6.31</v>
      </c>
      <c r="Y39" s="23">
        <v>1.01</v>
      </c>
      <c r="Z39" s="36">
        <f>Y39*X39</f>
        <v>6.3731</v>
      </c>
    </row>
    <row r="40" spans="1:26" ht="17.25" customHeight="1" x14ac:dyDescent="0.2">
      <c r="A40" s="34" t="s">
        <v>9</v>
      </c>
      <c r="B40" s="23">
        <v>666</v>
      </c>
      <c r="C40" s="23">
        <v>105</v>
      </c>
      <c r="D40" s="23">
        <v>7</v>
      </c>
      <c r="E40" s="23">
        <v>6.93</v>
      </c>
      <c r="F40" s="23">
        <v>27.73</v>
      </c>
      <c r="G40" s="6">
        <v>1.4</v>
      </c>
      <c r="H40" s="23">
        <v>368</v>
      </c>
      <c r="I40" s="7">
        <f t="shared" si="37"/>
        <v>3.68E-4</v>
      </c>
      <c r="J40" s="23">
        <v>591</v>
      </c>
      <c r="K40" s="23">
        <v>114010</v>
      </c>
      <c r="L40" s="23">
        <f t="shared" si="38"/>
        <v>0.11401</v>
      </c>
      <c r="M40" s="31">
        <f t="shared" si="39"/>
        <v>1.1401E-5</v>
      </c>
      <c r="N40" s="23">
        <f t="shared" si="40"/>
        <v>3.2277870362248926E-3</v>
      </c>
      <c r="O40" s="23">
        <f t="shared" si="41"/>
        <v>32.277870362248926</v>
      </c>
      <c r="P40" s="23">
        <f t="shared" si="42"/>
        <v>5.1837558108937809E-3</v>
      </c>
      <c r="Q40" s="35">
        <v>3.903</v>
      </c>
      <c r="R40" s="23">
        <v>25.547175670000001</v>
      </c>
      <c r="S40" s="23">
        <v>24.5603707</v>
      </c>
      <c r="T40" s="23">
        <v>92.324842149999995</v>
      </c>
      <c r="U40" s="23">
        <v>89.700536049999997</v>
      </c>
      <c r="V40" s="23">
        <v>216.4790806</v>
      </c>
      <c r="W40" s="23">
        <v>189.47631989999999</v>
      </c>
      <c r="X40" s="24"/>
      <c r="Y40" s="34"/>
      <c r="Z40" s="34"/>
    </row>
    <row r="41" spans="1:26" ht="17.25" customHeight="1" x14ac:dyDescent="0.2">
      <c r="A41" s="34" t="s">
        <v>9</v>
      </c>
      <c r="B41" s="23">
        <v>666</v>
      </c>
      <c r="C41" s="23">
        <v>105</v>
      </c>
      <c r="D41" s="23">
        <v>8</v>
      </c>
      <c r="E41" s="23">
        <v>8.0299999999999994</v>
      </c>
      <c r="F41" s="23">
        <v>27.73</v>
      </c>
      <c r="G41" s="6">
        <v>1.46</v>
      </c>
      <c r="H41" s="23">
        <v>380</v>
      </c>
      <c r="I41" s="7">
        <f t="shared" si="37"/>
        <v>3.8000000000000002E-4</v>
      </c>
      <c r="J41" s="23">
        <v>667</v>
      </c>
      <c r="K41" s="23">
        <v>114010</v>
      </c>
      <c r="L41" s="23">
        <f t="shared" si="38"/>
        <v>0.11401</v>
      </c>
      <c r="M41" s="31">
        <f t="shared" si="39"/>
        <v>1.1401E-5</v>
      </c>
      <c r="N41" s="23">
        <f t="shared" si="40"/>
        <v>3.3330409613191825E-3</v>
      </c>
      <c r="O41" s="23">
        <f t="shared" si="41"/>
        <v>33.330409613191826</v>
      </c>
      <c r="P41" s="23">
        <f t="shared" si="42"/>
        <v>5.8503640031576177E-3</v>
      </c>
      <c r="Q41" s="35">
        <v>2.7530000000000001</v>
      </c>
      <c r="R41" s="23">
        <v>27.525582150000002</v>
      </c>
      <c r="S41" s="23">
        <v>19.312214340000001</v>
      </c>
      <c r="T41" s="23">
        <v>97.628039999999999</v>
      </c>
      <c r="U41" s="23">
        <v>66.818054700000005</v>
      </c>
      <c r="V41" s="23">
        <v>230.6455991</v>
      </c>
      <c r="W41" s="23">
        <v>139.0071824</v>
      </c>
      <c r="X41" s="24"/>
      <c r="Y41" s="34"/>
      <c r="Z41" s="34"/>
    </row>
    <row r="42" spans="1:26" ht="17.25" customHeight="1" x14ac:dyDescent="0.2">
      <c r="A42" s="34" t="s">
        <v>9</v>
      </c>
      <c r="B42" s="23">
        <v>666</v>
      </c>
      <c r="C42" s="23">
        <v>105</v>
      </c>
      <c r="D42" s="23">
        <v>9</v>
      </c>
      <c r="E42" s="23">
        <v>8.3800000000000008</v>
      </c>
      <c r="F42" s="23">
        <v>27.73</v>
      </c>
      <c r="G42" s="6">
        <v>1.48</v>
      </c>
      <c r="H42" s="23">
        <v>462</v>
      </c>
      <c r="I42" s="7">
        <f t="shared" si="37"/>
        <v>4.6200000000000001E-4</v>
      </c>
      <c r="J42" s="23">
        <v>615</v>
      </c>
      <c r="K42" s="23">
        <v>114010</v>
      </c>
      <c r="L42" s="23">
        <f t="shared" si="38"/>
        <v>0.11401</v>
      </c>
      <c r="M42" s="31">
        <f t="shared" si="39"/>
        <v>1.1401E-5</v>
      </c>
      <c r="N42" s="23">
        <f t="shared" si="40"/>
        <v>4.0522761161301641E-3</v>
      </c>
      <c r="O42" s="23">
        <f t="shared" si="41"/>
        <v>40.522761161301645</v>
      </c>
      <c r="P42" s="23">
        <f t="shared" si="42"/>
        <v>5.3942636610823614E-3</v>
      </c>
      <c r="Q42" s="35">
        <v>3.375</v>
      </c>
      <c r="R42" s="23">
        <v>21.607960739999999</v>
      </c>
      <c r="S42" s="23">
        <v>21.753697330000001</v>
      </c>
      <c r="T42" s="23">
        <v>94.443495580000004</v>
      </c>
      <c r="U42" s="23">
        <v>117.8485816</v>
      </c>
      <c r="V42" s="23">
        <v>225.62511319999999</v>
      </c>
      <c r="W42" s="23">
        <v>237.16013409999999</v>
      </c>
      <c r="X42" s="23">
        <v>6.68</v>
      </c>
      <c r="Y42" s="23">
        <v>0.69</v>
      </c>
      <c r="Z42" s="36">
        <f>Y42*X42</f>
        <v>4.6091999999999995</v>
      </c>
    </row>
    <row r="43" spans="1:26" ht="17.25" customHeight="1" x14ac:dyDescent="0.2">
      <c r="A43" s="34" t="s">
        <v>9</v>
      </c>
      <c r="B43" s="23">
        <v>666</v>
      </c>
      <c r="C43" s="23">
        <v>118</v>
      </c>
      <c r="D43" s="23">
        <v>10</v>
      </c>
      <c r="E43" s="23">
        <v>9.02</v>
      </c>
      <c r="F43" s="23">
        <v>27.73</v>
      </c>
      <c r="G43" s="6">
        <v>1.97</v>
      </c>
      <c r="H43" s="23">
        <v>354</v>
      </c>
      <c r="I43" s="7">
        <f t="shared" si="37"/>
        <v>3.5399999999999999E-4</v>
      </c>
      <c r="J43" s="23">
        <v>651</v>
      </c>
      <c r="K43" s="23">
        <v>114010</v>
      </c>
      <c r="L43" s="23">
        <f t="shared" si="38"/>
        <v>0.11401</v>
      </c>
      <c r="M43" s="31">
        <f t="shared" si="39"/>
        <v>1.1401E-5</v>
      </c>
      <c r="N43" s="23">
        <f t="shared" si="40"/>
        <v>3.1049907902815544E-3</v>
      </c>
      <c r="O43" s="23">
        <f t="shared" si="41"/>
        <v>31.049907902815541</v>
      </c>
      <c r="P43" s="23">
        <f t="shared" si="42"/>
        <v>5.7100254363652309E-3</v>
      </c>
      <c r="Q43" s="35">
        <v>3.1659999999999999</v>
      </c>
      <c r="R43" s="23">
        <v>16.32544403</v>
      </c>
      <c r="S43" s="23">
        <v>24.90474729</v>
      </c>
      <c r="T43" s="23">
        <v>70.598697639999997</v>
      </c>
      <c r="U43" s="23">
        <v>103.2301162</v>
      </c>
      <c r="V43" s="23">
        <v>169.35316449999999</v>
      </c>
      <c r="W43" s="23">
        <v>209.66073460000001</v>
      </c>
      <c r="X43" s="23">
        <v>7.72</v>
      </c>
      <c r="Y43" s="23">
        <v>1.3</v>
      </c>
      <c r="Z43" s="36">
        <f>Y43*X43</f>
        <v>10.036</v>
      </c>
    </row>
    <row r="44" spans="1:26" ht="17.25" customHeight="1" x14ac:dyDescent="0.2">
      <c r="A44" s="34" t="s">
        <v>9</v>
      </c>
      <c r="B44" s="23">
        <v>666</v>
      </c>
      <c r="C44" s="23">
        <v>118</v>
      </c>
      <c r="D44" s="23">
        <v>11</v>
      </c>
      <c r="E44" s="23">
        <v>9.2100000000000009</v>
      </c>
      <c r="F44" s="23">
        <v>27.73</v>
      </c>
      <c r="G44" s="6">
        <v>1.36</v>
      </c>
      <c r="H44" s="23">
        <v>365</v>
      </c>
      <c r="I44" s="7">
        <f t="shared" si="37"/>
        <v>3.6499999999999998E-4</v>
      </c>
      <c r="J44" s="23">
        <v>547</v>
      </c>
      <c r="K44" s="23">
        <v>114010</v>
      </c>
      <c r="L44" s="23">
        <f t="shared" si="38"/>
        <v>0.11401</v>
      </c>
      <c r="M44" s="31">
        <f t="shared" si="39"/>
        <v>1.1401E-5</v>
      </c>
      <c r="N44" s="23">
        <f t="shared" si="40"/>
        <v>3.20147355495132E-3</v>
      </c>
      <c r="O44" s="23">
        <f t="shared" si="41"/>
        <v>32.014735549513198</v>
      </c>
      <c r="P44" s="23">
        <f t="shared" si="42"/>
        <v>4.7978247522147176E-3</v>
      </c>
      <c r="Q44" s="35">
        <v>3.6349999999999998</v>
      </c>
      <c r="R44" s="23">
        <v>7.0894142220000003</v>
      </c>
      <c r="S44" s="23">
        <v>27.10979523</v>
      </c>
      <c r="T44" s="23">
        <v>48.940411439999998</v>
      </c>
      <c r="U44" s="23">
        <v>119.2528631</v>
      </c>
      <c r="V44" s="23">
        <v>110.80849910000001</v>
      </c>
      <c r="W44" s="23">
        <v>244.0396264</v>
      </c>
      <c r="X44" s="24"/>
      <c r="Y44" s="34"/>
      <c r="Z44" s="34"/>
    </row>
    <row r="45" spans="1:26" ht="17.25" customHeight="1" x14ac:dyDescent="0.2">
      <c r="A45" s="34" t="s">
        <v>9</v>
      </c>
      <c r="B45" s="23">
        <v>666</v>
      </c>
      <c r="C45" s="23">
        <v>118</v>
      </c>
      <c r="D45" s="23">
        <v>12</v>
      </c>
      <c r="E45" s="23">
        <v>8</v>
      </c>
      <c r="F45" s="23">
        <v>27.73</v>
      </c>
      <c r="G45" s="6">
        <v>1.65</v>
      </c>
      <c r="H45" s="23">
        <v>323</v>
      </c>
      <c r="I45" s="7">
        <f t="shared" si="37"/>
        <v>3.2299999999999999E-4</v>
      </c>
      <c r="J45" s="23">
        <v>587</v>
      </c>
      <c r="K45" s="23">
        <v>114010</v>
      </c>
      <c r="L45" s="23">
        <f t="shared" si="38"/>
        <v>0.11401</v>
      </c>
      <c r="M45" s="31">
        <f t="shared" si="39"/>
        <v>1.1401E-5</v>
      </c>
      <c r="N45" s="23">
        <f t="shared" si="40"/>
        <v>2.8330848171213051E-3</v>
      </c>
      <c r="O45" s="23">
        <f t="shared" si="41"/>
        <v>28.330848171213052</v>
      </c>
      <c r="P45" s="23">
        <f t="shared" si="42"/>
        <v>5.1486711691956849E-3</v>
      </c>
      <c r="Q45" s="35">
        <v>2.9180000000000001</v>
      </c>
      <c r="R45" s="23">
        <v>15.74783225</v>
      </c>
      <c r="S45" s="23">
        <v>25.25442945</v>
      </c>
      <c r="T45" s="23">
        <v>69.389779739999994</v>
      </c>
      <c r="U45" s="23">
        <v>143.56272609999999</v>
      </c>
      <c r="V45" s="23">
        <v>164.83477389999999</v>
      </c>
      <c r="W45" s="23">
        <v>311.4351479</v>
      </c>
      <c r="X45" s="24"/>
      <c r="Y45" s="34"/>
      <c r="Z45" s="34"/>
    </row>
    <row r="46" spans="1:26" ht="17.25" customHeight="1" x14ac:dyDescent="0.2">
      <c r="A46" s="34" t="s">
        <v>9</v>
      </c>
      <c r="B46" s="23">
        <v>666</v>
      </c>
      <c r="C46" s="23">
        <v>122</v>
      </c>
      <c r="D46" s="23">
        <v>16</v>
      </c>
      <c r="E46" s="23">
        <v>8.23</v>
      </c>
      <c r="F46" s="23">
        <v>27.73</v>
      </c>
      <c r="G46" s="6">
        <v>1.83</v>
      </c>
      <c r="H46" s="23">
        <v>319</v>
      </c>
      <c r="I46" s="7">
        <f t="shared" si="37"/>
        <v>3.19E-4</v>
      </c>
      <c r="J46" s="23">
        <v>618</v>
      </c>
      <c r="K46" s="23">
        <v>114010</v>
      </c>
      <c r="L46" s="23">
        <f t="shared" si="38"/>
        <v>0.11401</v>
      </c>
      <c r="M46" s="31">
        <f t="shared" si="39"/>
        <v>1.1401E-5</v>
      </c>
      <c r="N46" s="23">
        <f t="shared" si="40"/>
        <v>2.7980001754232087E-3</v>
      </c>
      <c r="O46" s="23">
        <f t="shared" si="41"/>
        <v>27.980001754232084</v>
      </c>
      <c r="P46" s="23">
        <f t="shared" si="42"/>
        <v>5.4205771423559337E-3</v>
      </c>
      <c r="Q46" s="35">
        <v>3.81</v>
      </c>
      <c r="R46" s="23">
        <v>19.01063989</v>
      </c>
      <c r="S46" s="23">
        <v>21.320335790000001</v>
      </c>
      <c r="T46" s="23">
        <v>70.630464340000003</v>
      </c>
      <c r="U46" s="23">
        <v>137.81067039999999</v>
      </c>
      <c r="V46" s="23">
        <v>221.13824940000001</v>
      </c>
      <c r="W46" s="23">
        <v>281.87236899999999</v>
      </c>
      <c r="X46" s="24"/>
      <c r="Y46" s="34"/>
      <c r="Z46" s="34"/>
    </row>
    <row r="47" spans="1:26" ht="17.25" customHeight="1" x14ac:dyDescent="0.2">
      <c r="A47" s="34" t="s">
        <v>9</v>
      </c>
      <c r="B47" s="23">
        <v>666</v>
      </c>
      <c r="C47" s="23">
        <v>122</v>
      </c>
      <c r="D47" s="23">
        <v>17</v>
      </c>
      <c r="E47" s="23">
        <v>8.32</v>
      </c>
      <c r="F47" s="23">
        <v>27.73</v>
      </c>
      <c r="G47" s="6">
        <v>1.36</v>
      </c>
      <c r="H47" s="23">
        <v>405</v>
      </c>
      <c r="I47" s="7">
        <f t="shared" si="37"/>
        <v>4.0499999999999998E-4</v>
      </c>
      <c r="J47" s="23">
        <v>662</v>
      </c>
      <c r="K47" s="23">
        <v>114010</v>
      </c>
      <c r="L47" s="23">
        <f t="shared" si="38"/>
        <v>0.11401</v>
      </c>
      <c r="M47" s="31">
        <f t="shared" si="39"/>
        <v>1.1401E-5</v>
      </c>
      <c r="N47" s="23">
        <f t="shared" si="40"/>
        <v>3.5523199719322868E-3</v>
      </c>
      <c r="O47" s="23">
        <f t="shared" si="41"/>
        <v>35.523199719322868</v>
      </c>
      <c r="P47" s="23">
        <f t="shared" si="42"/>
        <v>5.806508201034997E-3</v>
      </c>
      <c r="Q47" s="35">
        <v>3.47</v>
      </c>
      <c r="R47" s="23">
        <v>24.560637849999999</v>
      </c>
      <c r="S47" s="23">
        <v>17.728298689999999</v>
      </c>
      <c r="T47" s="23">
        <v>94.15063619</v>
      </c>
      <c r="U47" s="23">
        <v>121.7448801</v>
      </c>
      <c r="V47" s="23">
        <v>208.89744709999999</v>
      </c>
      <c r="W47" s="23">
        <v>245.6174029</v>
      </c>
      <c r="X47" s="23">
        <v>11.69</v>
      </c>
      <c r="Y47" s="23">
        <v>0.7</v>
      </c>
      <c r="Z47" s="36">
        <f>Y47*X47</f>
        <v>8.1829999999999998</v>
      </c>
    </row>
    <row r="48" spans="1:26" ht="17.25" customHeight="1" x14ac:dyDescent="0.2">
      <c r="A48" s="34" t="s">
        <v>9</v>
      </c>
      <c r="B48" s="23">
        <v>666</v>
      </c>
      <c r="C48" s="23">
        <v>122</v>
      </c>
      <c r="D48" s="23">
        <v>18</v>
      </c>
      <c r="E48" s="23">
        <v>8.39</v>
      </c>
      <c r="F48" s="23">
        <v>27.73</v>
      </c>
      <c r="G48" s="6">
        <v>1.83</v>
      </c>
      <c r="H48" s="23">
        <v>376</v>
      </c>
      <c r="I48" s="7">
        <f t="shared" si="37"/>
        <v>3.7599999999999998E-4</v>
      </c>
      <c r="J48" s="23">
        <v>640</v>
      </c>
      <c r="K48" s="23">
        <v>114010</v>
      </c>
      <c r="L48" s="23">
        <f t="shared" si="38"/>
        <v>0.11401</v>
      </c>
      <c r="M48" s="31">
        <f t="shared" si="39"/>
        <v>1.1401E-5</v>
      </c>
      <c r="N48" s="23">
        <f t="shared" si="40"/>
        <v>3.297956319621086E-3</v>
      </c>
      <c r="O48" s="23">
        <f t="shared" si="41"/>
        <v>32.979563196210854</v>
      </c>
      <c r="P48" s="23">
        <f t="shared" si="42"/>
        <v>5.6135426716954649E-3</v>
      </c>
      <c r="Q48" s="35">
        <v>3.093</v>
      </c>
      <c r="R48" s="23">
        <v>11.58842634</v>
      </c>
      <c r="S48" s="23">
        <v>28.63976379</v>
      </c>
      <c r="T48" s="23">
        <v>59.14958464</v>
      </c>
      <c r="U48" s="23">
        <v>145.81984629999999</v>
      </c>
      <c r="V48" s="23">
        <v>177.00135779999999</v>
      </c>
      <c r="W48" s="23">
        <v>312.24870010000001</v>
      </c>
      <c r="X48" s="24"/>
      <c r="Y48" s="34"/>
      <c r="Z48" s="34"/>
    </row>
    <row r="49" spans="1:26" ht="17.25" customHeight="1" x14ac:dyDescent="0.2">
      <c r="A49" s="34" t="s">
        <v>9</v>
      </c>
      <c r="B49" s="23">
        <v>666</v>
      </c>
      <c r="C49" s="23">
        <v>123</v>
      </c>
      <c r="D49" s="23">
        <v>19</v>
      </c>
      <c r="E49" s="23">
        <v>7.35</v>
      </c>
      <c r="F49" s="23">
        <v>27.73</v>
      </c>
      <c r="G49" s="6">
        <v>1.63</v>
      </c>
      <c r="H49" s="23">
        <v>392</v>
      </c>
      <c r="I49" s="7">
        <f t="shared" si="37"/>
        <v>3.9199999999999999E-4</v>
      </c>
      <c r="J49" s="23">
        <v>566</v>
      </c>
      <c r="K49" s="23">
        <v>114010</v>
      </c>
      <c r="L49" s="23">
        <f t="shared" si="38"/>
        <v>0.11401</v>
      </c>
      <c r="M49" s="31">
        <f t="shared" si="39"/>
        <v>1.1401E-5</v>
      </c>
      <c r="N49" s="23">
        <f t="shared" si="40"/>
        <v>3.4382948864134723E-3</v>
      </c>
      <c r="O49" s="23">
        <f t="shared" si="41"/>
        <v>34.382948864134725</v>
      </c>
      <c r="P49" s="23">
        <f t="shared" si="42"/>
        <v>4.9644768002806774E-3</v>
      </c>
      <c r="Q49" s="35">
        <v>3.3</v>
      </c>
      <c r="R49" s="23">
        <v>20.93145625</v>
      </c>
      <c r="S49" s="23">
        <v>22.47176327</v>
      </c>
      <c r="T49" s="23">
        <v>92.203820719999996</v>
      </c>
      <c r="U49" s="23">
        <v>95.201985390000004</v>
      </c>
      <c r="V49" s="23">
        <v>205.8343318</v>
      </c>
      <c r="W49" s="23">
        <v>199.62912320000001</v>
      </c>
      <c r="X49" s="24"/>
      <c r="Y49" s="34"/>
      <c r="Z49" s="34"/>
    </row>
    <row r="50" spans="1:26" ht="17.25" customHeight="1" x14ac:dyDescent="0.2">
      <c r="A50" s="34" t="s">
        <v>9</v>
      </c>
      <c r="B50" s="23">
        <v>666</v>
      </c>
      <c r="C50" s="23">
        <v>123</v>
      </c>
      <c r="D50" s="23">
        <v>20</v>
      </c>
      <c r="E50" s="23">
        <v>7.15</v>
      </c>
      <c r="F50" s="23">
        <v>27.73</v>
      </c>
      <c r="G50" s="6">
        <v>1.93</v>
      </c>
      <c r="H50" s="23">
        <v>288</v>
      </c>
      <c r="I50" s="7">
        <f t="shared" si="37"/>
        <v>2.8800000000000001E-4</v>
      </c>
      <c r="J50" s="23">
        <v>562</v>
      </c>
      <c r="K50" s="23">
        <v>114010</v>
      </c>
      <c r="L50" s="23">
        <f t="shared" si="38"/>
        <v>0.11401</v>
      </c>
      <c r="M50" s="31">
        <f t="shared" si="39"/>
        <v>1.1401E-5</v>
      </c>
      <c r="N50" s="23">
        <f t="shared" si="40"/>
        <v>2.5260942022629594E-3</v>
      </c>
      <c r="O50" s="23">
        <f t="shared" si="41"/>
        <v>25.260942022629596</v>
      </c>
      <c r="P50" s="23">
        <f t="shared" si="42"/>
        <v>4.9293921585825805E-3</v>
      </c>
      <c r="Q50" s="35">
        <v>3.7549999999999999</v>
      </c>
      <c r="R50" s="23">
        <v>24.998878309999998</v>
      </c>
      <c r="S50" s="23">
        <v>27.514731699999999</v>
      </c>
      <c r="T50" s="23">
        <v>97.657725929999998</v>
      </c>
      <c r="U50" s="23">
        <v>132.8090085</v>
      </c>
      <c r="V50" s="23">
        <v>226.52609419999999</v>
      </c>
      <c r="W50" s="23">
        <v>286.1930193</v>
      </c>
      <c r="X50" s="24"/>
      <c r="Y50" s="34"/>
      <c r="Z50" s="34"/>
    </row>
    <row r="51" spans="1:26" ht="17.25" customHeight="1" x14ac:dyDescent="0.2">
      <c r="A51" s="34" t="s">
        <v>9</v>
      </c>
      <c r="B51" s="23">
        <v>666</v>
      </c>
      <c r="C51" s="23">
        <v>123</v>
      </c>
      <c r="D51" s="23">
        <v>22</v>
      </c>
      <c r="E51" s="23">
        <v>6.56</v>
      </c>
      <c r="F51" s="23">
        <v>27.73</v>
      </c>
      <c r="G51" s="6">
        <v>1.94</v>
      </c>
      <c r="H51" s="23">
        <v>294</v>
      </c>
      <c r="I51" s="7">
        <f t="shared" si="37"/>
        <v>2.9399999999999999E-4</v>
      </c>
      <c r="J51" s="23">
        <v>497</v>
      </c>
      <c r="K51" s="23">
        <v>114010</v>
      </c>
      <c r="L51" s="23">
        <f t="shared" si="38"/>
        <v>0.11401</v>
      </c>
      <c r="M51" s="31">
        <f t="shared" si="39"/>
        <v>1.1401E-5</v>
      </c>
      <c r="N51" s="23">
        <f t="shared" si="40"/>
        <v>2.5787211648101043E-3</v>
      </c>
      <c r="O51" s="23">
        <f t="shared" si="41"/>
        <v>25.787211648101042</v>
      </c>
      <c r="P51" s="23">
        <f t="shared" si="42"/>
        <v>4.3592667309885098E-3</v>
      </c>
      <c r="Q51" s="35">
        <v>3.4009999999999998</v>
      </c>
      <c r="R51" s="23">
        <v>20.80421398</v>
      </c>
      <c r="S51" s="23">
        <v>17.867123830000001</v>
      </c>
      <c r="T51" s="23">
        <v>79.601160340000007</v>
      </c>
      <c r="U51" s="23">
        <v>108.4757882</v>
      </c>
      <c r="V51" s="23">
        <v>204.92005470000001</v>
      </c>
      <c r="W51" s="23">
        <v>228.64888590000001</v>
      </c>
      <c r="X51" s="23">
        <v>0.79</v>
      </c>
      <c r="Y51" s="23">
        <v>3.16</v>
      </c>
      <c r="Z51" s="36">
        <f>Y51*X51</f>
        <v>2.4964000000000004</v>
      </c>
    </row>
    <row r="52" spans="1:26" ht="17.25" customHeight="1" x14ac:dyDescent="0.2">
      <c r="A52" s="41" t="s">
        <v>87</v>
      </c>
      <c r="B52" s="42">
        <v>72</v>
      </c>
      <c r="C52" s="42">
        <v>123.4</v>
      </c>
      <c r="D52" s="42">
        <v>53.933</v>
      </c>
      <c r="E52" s="42">
        <v>7.569</v>
      </c>
      <c r="F52" s="42">
        <v>27.73</v>
      </c>
      <c r="G52" s="32">
        <v>1.5860000000000001</v>
      </c>
      <c r="H52" s="42">
        <v>497.2</v>
      </c>
      <c r="I52" s="43">
        <v>4.9700000000000005E-4</v>
      </c>
      <c r="J52" s="42">
        <v>815.53300000000002</v>
      </c>
      <c r="K52" s="42">
        <v>114010</v>
      </c>
      <c r="L52" s="42">
        <v>0.114</v>
      </c>
      <c r="M52" s="45">
        <v>0</v>
      </c>
      <c r="N52" s="42">
        <v>4.0000000000000001E-3</v>
      </c>
      <c r="O52" s="42">
        <v>43.61</v>
      </c>
      <c r="P52" s="42">
        <v>7.0000000000000001E-3</v>
      </c>
      <c r="Q52" s="42">
        <v>3.4390000000000001</v>
      </c>
      <c r="R52" s="42">
        <v>24.684999999999999</v>
      </c>
      <c r="S52" s="42">
        <v>27.641999999999999</v>
      </c>
      <c r="T52" s="42">
        <v>93.878</v>
      </c>
      <c r="U52" s="42">
        <v>120.553</v>
      </c>
      <c r="V52" s="42">
        <v>228.28299999999999</v>
      </c>
      <c r="W52" s="42">
        <v>247.80199999999999</v>
      </c>
      <c r="X52" s="23"/>
      <c r="Y52" s="23"/>
      <c r="Z52" s="36"/>
    </row>
    <row r="53" spans="1:26" ht="17.25" customHeight="1" x14ac:dyDescent="0.2">
      <c r="A53" s="41" t="s">
        <v>86</v>
      </c>
      <c r="B53" s="41">
        <v>0</v>
      </c>
      <c r="C53" s="41">
        <v>15.835000000000001</v>
      </c>
      <c r="D53" s="41">
        <v>2.819</v>
      </c>
      <c r="E53" s="41">
        <v>0.28100000000000003</v>
      </c>
      <c r="F53" s="41">
        <v>0</v>
      </c>
      <c r="G53" s="44">
        <v>8.5999999999999993E-2</v>
      </c>
      <c r="H53" s="41">
        <v>31.716000000000001</v>
      </c>
      <c r="I53" s="41">
        <v>0</v>
      </c>
      <c r="J53" s="41">
        <v>57.826000000000001</v>
      </c>
      <c r="K53" s="41">
        <v>0</v>
      </c>
      <c r="L53" s="41">
        <v>0</v>
      </c>
      <c r="M53" s="46">
        <v>0</v>
      </c>
      <c r="N53" s="41">
        <v>0</v>
      </c>
      <c r="O53" s="41">
        <v>2.782</v>
      </c>
      <c r="P53" s="41">
        <v>1E-3</v>
      </c>
      <c r="Q53" s="41">
        <v>8.8999999999999996E-2</v>
      </c>
      <c r="R53" s="41">
        <v>1.1240000000000001</v>
      </c>
      <c r="S53" s="41">
        <v>1.583</v>
      </c>
      <c r="T53" s="41">
        <v>3.8479999999999999</v>
      </c>
      <c r="U53" s="41">
        <v>6.7869999999999999</v>
      </c>
      <c r="V53" s="41">
        <v>9.2330000000000005</v>
      </c>
      <c r="W53" s="41">
        <v>13.151</v>
      </c>
      <c r="X53" s="23"/>
      <c r="Y53" s="23"/>
      <c r="Z53" s="36"/>
    </row>
    <row r="54" spans="1:26" ht="17.25" customHeight="1" x14ac:dyDescent="0.2">
      <c r="A54" s="34" t="s">
        <v>10</v>
      </c>
      <c r="B54" s="23">
        <v>1212</v>
      </c>
      <c r="C54" s="23">
        <v>3</v>
      </c>
      <c r="D54" s="23">
        <v>29</v>
      </c>
      <c r="E54" s="23">
        <v>8.41</v>
      </c>
      <c r="F54" s="23">
        <v>27.73</v>
      </c>
      <c r="G54" s="6">
        <v>1.74</v>
      </c>
      <c r="H54" s="23">
        <v>375</v>
      </c>
      <c r="I54" s="7">
        <f t="shared" si="37"/>
        <v>3.7500000000000001E-4</v>
      </c>
      <c r="J54" s="23">
        <v>545</v>
      </c>
      <c r="K54" s="23">
        <v>114010</v>
      </c>
      <c r="L54" s="23">
        <f t="shared" si="38"/>
        <v>0.11401</v>
      </c>
      <c r="M54" s="31">
        <f t="shared" si="39"/>
        <v>1.1401E-5</v>
      </c>
      <c r="N54" s="23">
        <f t="shared" si="40"/>
        <v>3.2891851591965618E-3</v>
      </c>
      <c r="O54" s="23">
        <f t="shared" si="41"/>
        <v>32.891851591965619</v>
      </c>
      <c r="P54" s="23">
        <f t="shared" si="42"/>
        <v>4.78028243136567E-3</v>
      </c>
      <c r="Q54" s="35">
        <v>2.843</v>
      </c>
      <c r="R54" s="23">
        <v>23.22774373</v>
      </c>
      <c r="S54" s="23">
        <v>20.05519834</v>
      </c>
      <c r="T54" s="23">
        <v>91.521816630000004</v>
      </c>
      <c r="U54" s="23">
        <v>99.795749029999996</v>
      </c>
      <c r="V54" s="23">
        <v>190.7023571</v>
      </c>
      <c r="W54" s="23">
        <v>211.80241620000001</v>
      </c>
      <c r="X54" s="23">
        <v>3.73</v>
      </c>
      <c r="Y54" s="23">
        <v>0.24</v>
      </c>
      <c r="Z54" s="36">
        <f>Y54*X54</f>
        <v>0.8952</v>
      </c>
    </row>
    <row r="55" spans="1:26" ht="17.25" customHeight="1" x14ac:dyDescent="0.2">
      <c r="A55" s="34" t="s">
        <v>10</v>
      </c>
      <c r="B55" s="23">
        <v>1212</v>
      </c>
      <c r="C55" s="23">
        <v>3</v>
      </c>
      <c r="D55" s="23">
        <v>30</v>
      </c>
      <c r="E55" s="23">
        <v>8.51</v>
      </c>
      <c r="F55" s="23">
        <v>27.73</v>
      </c>
      <c r="G55" s="6">
        <v>1.86</v>
      </c>
      <c r="H55" s="23">
        <v>288</v>
      </c>
      <c r="I55" s="7">
        <f t="shared" si="37"/>
        <v>2.8800000000000001E-4</v>
      </c>
      <c r="J55" s="23">
        <v>512</v>
      </c>
      <c r="K55" s="23">
        <v>114010</v>
      </c>
      <c r="L55" s="23">
        <f t="shared" si="38"/>
        <v>0.11401</v>
      </c>
      <c r="M55" s="31">
        <f t="shared" si="39"/>
        <v>1.1401E-5</v>
      </c>
      <c r="N55" s="23">
        <f t="shared" si="40"/>
        <v>2.5260942022629594E-3</v>
      </c>
      <c r="O55" s="23">
        <f t="shared" si="41"/>
        <v>25.260942022629596</v>
      </c>
      <c r="P55" s="23">
        <f t="shared" si="42"/>
        <v>4.4908341373563719E-3</v>
      </c>
      <c r="Q55" s="35">
        <v>3.2949999999999999</v>
      </c>
      <c r="R55" s="23">
        <v>10.78926843</v>
      </c>
      <c r="S55" s="23">
        <v>22.701031860000001</v>
      </c>
      <c r="T55" s="23">
        <v>40.899946239999998</v>
      </c>
      <c r="U55" s="23">
        <v>89.181159989999998</v>
      </c>
      <c r="V55" s="23">
        <v>89.22032901</v>
      </c>
      <c r="W55" s="23">
        <v>181.1040477</v>
      </c>
      <c r="X55" s="24"/>
      <c r="Y55" s="34"/>
      <c r="Z55" s="34"/>
    </row>
    <row r="56" spans="1:26" ht="17.25" customHeight="1" x14ac:dyDescent="0.2">
      <c r="A56" s="34" t="s">
        <v>10</v>
      </c>
      <c r="B56" s="23">
        <v>1212</v>
      </c>
      <c r="C56" s="23">
        <v>3</v>
      </c>
      <c r="D56" s="23">
        <v>31</v>
      </c>
      <c r="E56" s="23">
        <v>8.76</v>
      </c>
      <c r="F56" s="23">
        <v>27.73</v>
      </c>
      <c r="G56" s="6">
        <v>1.43</v>
      </c>
      <c r="H56" s="23">
        <v>341</v>
      </c>
      <c r="I56" s="7">
        <f t="shared" si="37"/>
        <v>3.4099999999999999E-4</v>
      </c>
      <c r="J56" s="23">
        <v>562</v>
      </c>
      <c r="K56" s="23">
        <v>114010</v>
      </c>
      <c r="L56" s="23">
        <f t="shared" si="38"/>
        <v>0.11401</v>
      </c>
      <c r="M56" s="31">
        <f t="shared" si="39"/>
        <v>1.1401E-5</v>
      </c>
      <c r="N56" s="23">
        <f t="shared" si="40"/>
        <v>2.9909657047627403E-3</v>
      </c>
      <c r="O56" s="23">
        <f t="shared" si="41"/>
        <v>29.909657047627402</v>
      </c>
      <c r="P56" s="23">
        <f t="shared" si="42"/>
        <v>4.9293921585825805E-3</v>
      </c>
      <c r="Q56" s="35">
        <v>3.6560000000000001</v>
      </c>
      <c r="R56" s="23">
        <v>23.580718430000001</v>
      </c>
      <c r="S56" s="23">
        <v>21.18882911</v>
      </c>
      <c r="T56" s="23">
        <v>88.226393560000005</v>
      </c>
      <c r="U56" s="23">
        <v>113.8480082</v>
      </c>
      <c r="V56" s="23">
        <v>196.12756150000001</v>
      </c>
      <c r="W56" s="23">
        <v>217.68660890000001</v>
      </c>
      <c r="X56" s="24"/>
      <c r="Y56" s="34"/>
      <c r="Z56" s="34"/>
    </row>
    <row r="57" spans="1:26" ht="17.25" customHeight="1" x14ac:dyDescent="0.2">
      <c r="A57" s="34" t="s">
        <v>10</v>
      </c>
      <c r="B57" s="23">
        <v>1212</v>
      </c>
      <c r="C57" s="23">
        <v>4</v>
      </c>
      <c r="D57" s="23">
        <v>32</v>
      </c>
      <c r="E57" s="23">
        <v>7.95</v>
      </c>
      <c r="F57" s="23">
        <v>27.73</v>
      </c>
      <c r="G57" s="6">
        <v>1.76</v>
      </c>
      <c r="H57" s="23">
        <v>464</v>
      </c>
      <c r="I57" s="7">
        <f t="shared" si="37"/>
        <v>4.64E-4</v>
      </c>
      <c r="J57" s="23">
        <v>718</v>
      </c>
      <c r="K57" s="23">
        <v>114010</v>
      </c>
      <c r="L57" s="23">
        <f t="shared" si="38"/>
        <v>0.11401</v>
      </c>
      <c r="M57" s="31">
        <f t="shared" si="39"/>
        <v>1.1401E-5</v>
      </c>
      <c r="N57" s="23">
        <f t="shared" si="40"/>
        <v>4.0698184369792126E-3</v>
      </c>
      <c r="O57" s="23">
        <f t="shared" si="41"/>
        <v>40.698184369792124</v>
      </c>
      <c r="P57" s="23">
        <f t="shared" si="42"/>
        <v>6.2976931848083501E-3</v>
      </c>
      <c r="Q57" s="35">
        <v>3.161</v>
      </c>
      <c r="R57" s="23">
        <v>11.24119853</v>
      </c>
      <c r="S57" s="23">
        <v>10.9587091</v>
      </c>
      <c r="T57" s="23">
        <v>47.482610610000002</v>
      </c>
      <c r="U57" s="23">
        <v>77.044621100000001</v>
      </c>
      <c r="V57" s="23">
        <v>129.38971889999999</v>
      </c>
      <c r="W57" s="23">
        <v>157.08165840000001</v>
      </c>
      <c r="X57" s="24"/>
      <c r="Y57" s="34"/>
      <c r="Z57" s="34"/>
    </row>
    <row r="58" spans="1:26" ht="17.25" customHeight="1" x14ac:dyDescent="0.2">
      <c r="A58" s="34" t="s">
        <v>10</v>
      </c>
      <c r="B58" s="23">
        <v>1212</v>
      </c>
      <c r="C58" s="23">
        <v>4</v>
      </c>
      <c r="D58" s="23">
        <v>33</v>
      </c>
      <c r="E58" s="23">
        <v>7.67</v>
      </c>
      <c r="F58" s="23">
        <v>27.73</v>
      </c>
      <c r="G58" s="6">
        <v>1.8</v>
      </c>
      <c r="H58" s="23">
        <v>341</v>
      </c>
      <c r="I58" s="7">
        <f t="shared" si="37"/>
        <v>3.4099999999999999E-4</v>
      </c>
      <c r="J58" s="23">
        <v>558</v>
      </c>
      <c r="K58" s="23">
        <v>114010</v>
      </c>
      <c r="L58" s="23">
        <f t="shared" si="38"/>
        <v>0.11401</v>
      </c>
      <c r="M58" s="31">
        <f t="shared" si="39"/>
        <v>1.1401E-5</v>
      </c>
      <c r="N58" s="23">
        <f t="shared" si="40"/>
        <v>2.9909657047627403E-3</v>
      </c>
      <c r="O58" s="23">
        <f t="shared" si="41"/>
        <v>29.909657047627402</v>
      </c>
      <c r="P58" s="23">
        <f t="shared" si="42"/>
        <v>4.8943075168844836E-3</v>
      </c>
      <c r="Q58" s="35">
        <v>3.4</v>
      </c>
      <c r="R58" s="23">
        <v>15.00681346</v>
      </c>
      <c r="S58" s="23">
        <v>12.72446266</v>
      </c>
      <c r="T58" s="23">
        <v>63.88588996</v>
      </c>
      <c r="U58" s="23">
        <v>89.893406740000003</v>
      </c>
      <c r="V58" s="23">
        <v>145.346869</v>
      </c>
      <c r="W58" s="23">
        <v>183.99949219999999</v>
      </c>
      <c r="X58" s="24"/>
      <c r="Y58" s="34"/>
      <c r="Z58" s="34"/>
    </row>
    <row r="59" spans="1:26" ht="17.25" customHeight="1" x14ac:dyDescent="0.2">
      <c r="A59" s="34" t="s">
        <v>10</v>
      </c>
      <c r="B59" s="23">
        <v>1212</v>
      </c>
      <c r="C59" s="23">
        <v>4</v>
      </c>
      <c r="D59" s="23">
        <v>34</v>
      </c>
      <c r="E59" s="23">
        <v>7.73</v>
      </c>
      <c r="F59" s="23">
        <v>27.73</v>
      </c>
      <c r="G59" s="6">
        <v>1.53</v>
      </c>
      <c r="H59" s="23">
        <v>341</v>
      </c>
      <c r="I59" s="7">
        <f t="shared" si="37"/>
        <v>3.4099999999999999E-4</v>
      </c>
      <c r="J59" s="23">
        <v>570</v>
      </c>
      <c r="K59" s="23">
        <v>114010</v>
      </c>
      <c r="L59" s="23">
        <f t="shared" si="38"/>
        <v>0.11401</v>
      </c>
      <c r="M59" s="31">
        <f t="shared" si="39"/>
        <v>1.1401E-5</v>
      </c>
      <c r="N59" s="23">
        <f t="shared" si="40"/>
        <v>2.9909657047627403E-3</v>
      </c>
      <c r="O59" s="23">
        <f t="shared" si="41"/>
        <v>29.909657047627402</v>
      </c>
      <c r="P59" s="23">
        <f t="shared" si="42"/>
        <v>4.9995614419787735E-3</v>
      </c>
      <c r="Q59" s="35">
        <v>3.246</v>
      </c>
      <c r="R59" s="23">
        <v>19.98215304</v>
      </c>
      <c r="S59" s="23">
        <v>14.873629360000001</v>
      </c>
      <c r="T59" s="23">
        <v>72.911949010000001</v>
      </c>
      <c r="U59" s="23">
        <v>82.949790039999996</v>
      </c>
      <c r="V59" s="23">
        <v>168.77005310000001</v>
      </c>
      <c r="W59" s="23">
        <v>167.90794020000001</v>
      </c>
      <c r="X59" s="23">
        <v>0.82</v>
      </c>
      <c r="Y59" s="23">
        <v>8.01</v>
      </c>
      <c r="Z59" s="36">
        <f>Y59*X59</f>
        <v>6.5681999999999992</v>
      </c>
    </row>
    <row r="60" spans="1:26" ht="17.25" customHeight="1" x14ac:dyDescent="0.2">
      <c r="A60" s="34" t="s">
        <v>10</v>
      </c>
      <c r="B60" s="23">
        <v>1212</v>
      </c>
      <c r="C60" s="23">
        <v>7</v>
      </c>
      <c r="D60" s="23">
        <v>36</v>
      </c>
      <c r="E60" s="23">
        <v>10.43</v>
      </c>
      <c r="F60" s="23">
        <v>27.73</v>
      </c>
      <c r="G60" s="6">
        <v>1.8</v>
      </c>
      <c r="H60" s="23">
        <v>629</v>
      </c>
      <c r="I60" s="7">
        <f t="shared" si="37"/>
        <v>6.29E-4</v>
      </c>
      <c r="J60" s="23">
        <v>959</v>
      </c>
      <c r="K60" s="23">
        <v>114010</v>
      </c>
      <c r="L60" s="23">
        <f t="shared" si="38"/>
        <v>0.11401</v>
      </c>
      <c r="M60" s="31">
        <f t="shared" si="39"/>
        <v>1.1401E-5</v>
      </c>
      <c r="N60" s="23">
        <f t="shared" si="40"/>
        <v>5.5170599070256997E-3</v>
      </c>
      <c r="O60" s="23">
        <f t="shared" si="41"/>
        <v>55.170599070256998</v>
      </c>
      <c r="P60" s="23">
        <f t="shared" si="42"/>
        <v>8.4115428471186731E-3</v>
      </c>
      <c r="Q60" s="35">
        <v>2.4750000000000001</v>
      </c>
      <c r="R60" s="23">
        <v>10.41131977</v>
      </c>
      <c r="S60" s="23">
        <v>12.924865540000001</v>
      </c>
      <c r="T60" s="23">
        <v>32.804067799999999</v>
      </c>
      <c r="U60" s="23">
        <v>62.428036069999997</v>
      </c>
      <c r="V60" s="23">
        <v>73.900910699999997</v>
      </c>
      <c r="W60" s="23">
        <v>120.05877649999999</v>
      </c>
      <c r="X60" s="23">
        <v>5.03</v>
      </c>
      <c r="Y60" s="23">
        <v>1.74</v>
      </c>
      <c r="Z60" s="36">
        <f>Y60*X60</f>
        <v>8.7522000000000002</v>
      </c>
    </row>
    <row r="61" spans="1:26" ht="17.25" customHeight="1" x14ac:dyDescent="0.2">
      <c r="A61" s="34" t="s">
        <v>10</v>
      </c>
      <c r="B61" s="23">
        <v>1212</v>
      </c>
      <c r="C61" s="23">
        <v>7</v>
      </c>
      <c r="D61" s="23">
        <v>37</v>
      </c>
      <c r="E61" s="23">
        <v>7.96</v>
      </c>
      <c r="F61" s="23">
        <v>27.73</v>
      </c>
      <c r="G61" s="6">
        <v>1.65</v>
      </c>
      <c r="H61" s="23">
        <v>410</v>
      </c>
      <c r="I61" s="7">
        <f t="shared" si="37"/>
        <v>4.0999999999999999E-4</v>
      </c>
      <c r="J61" s="23">
        <v>516</v>
      </c>
      <c r="K61" s="23">
        <v>114010</v>
      </c>
      <c r="L61" s="23">
        <f t="shared" si="38"/>
        <v>0.11401</v>
      </c>
      <c r="M61" s="31">
        <f t="shared" si="39"/>
        <v>1.1401E-5</v>
      </c>
      <c r="N61" s="23">
        <f t="shared" si="40"/>
        <v>3.5961757740549075E-3</v>
      </c>
      <c r="O61" s="23">
        <f t="shared" si="41"/>
        <v>35.961757740549075</v>
      </c>
      <c r="P61" s="23">
        <f t="shared" si="42"/>
        <v>4.5259187790544688E-3</v>
      </c>
      <c r="Q61" s="35">
        <v>3.5379999999999998</v>
      </c>
      <c r="R61" s="23">
        <v>13.38064909</v>
      </c>
      <c r="S61" s="23">
        <v>25.729901250000001</v>
      </c>
      <c r="T61" s="23">
        <v>48.85683487</v>
      </c>
      <c r="U61" s="23">
        <v>122.7309635</v>
      </c>
      <c r="V61" s="23">
        <v>133.40925290000001</v>
      </c>
      <c r="W61" s="23">
        <v>273.58347700000002</v>
      </c>
      <c r="X61" s="24"/>
      <c r="Y61" s="34"/>
      <c r="Z61" s="34"/>
    </row>
    <row r="62" spans="1:26" ht="17.25" customHeight="1" x14ac:dyDescent="0.2">
      <c r="A62" s="34" t="s">
        <v>10</v>
      </c>
      <c r="B62" s="23">
        <v>1212</v>
      </c>
      <c r="C62" s="23">
        <v>7</v>
      </c>
      <c r="D62" s="23">
        <v>83</v>
      </c>
      <c r="E62" s="23">
        <v>8.86</v>
      </c>
      <c r="F62" s="23">
        <v>27.73</v>
      </c>
      <c r="G62" s="6">
        <v>1.87</v>
      </c>
      <c r="H62" s="23">
        <v>370</v>
      </c>
      <c r="I62" s="7">
        <f t="shared" si="37"/>
        <v>3.6999999999999999E-4</v>
      </c>
      <c r="J62" s="23">
        <v>806</v>
      </c>
      <c r="K62" s="23">
        <v>114010</v>
      </c>
      <c r="L62" s="23">
        <f t="shared" si="38"/>
        <v>0.11401</v>
      </c>
      <c r="M62" s="31">
        <f t="shared" si="39"/>
        <v>1.1401E-5</v>
      </c>
      <c r="N62" s="23">
        <f t="shared" si="40"/>
        <v>3.2453293570739411E-3</v>
      </c>
      <c r="O62" s="23">
        <f t="shared" si="41"/>
        <v>32.453293570739412</v>
      </c>
      <c r="P62" s="23">
        <f t="shared" si="42"/>
        <v>7.0695553021664767E-3</v>
      </c>
      <c r="Q62" s="35">
        <v>2.6379999999999999</v>
      </c>
      <c r="R62" s="23">
        <v>6.5130528349999999</v>
      </c>
      <c r="S62" s="23">
        <v>24.195498109999999</v>
      </c>
      <c r="T62" s="23">
        <v>31.317886949999998</v>
      </c>
      <c r="U62" s="23">
        <v>111.0498077</v>
      </c>
      <c r="V62" s="23">
        <v>71.927964220000007</v>
      </c>
      <c r="W62" s="23">
        <v>235.81729129999999</v>
      </c>
      <c r="X62" s="24"/>
      <c r="Y62" s="34"/>
      <c r="Z62" s="34"/>
    </row>
    <row r="63" spans="1:26" ht="17.25" customHeight="1" x14ac:dyDescent="0.2">
      <c r="A63" s="34" t="s">
        <v>10</v>
      </c>
      <c r="B63" s="23">
        <v>1212</v>
      </c>
      <c r="C63" s="23">
        <v>8</v>
      </c>
      <c r="D63" s="23">
        <v>38</v>
      </c>
      <c r="E63" s="23">
        <v>6.8</v>
      </c>
      <c r="F63" s="23">
        <v>27.73</v>
      </c>
      <c r="G63" s="6">
        <v>1.6</v>
      </c>
      <c r="H63" s="23">
        <v>408</v>
      </c>
      <c r="I63" s="7">
        <f t="shared" si="37"/>
        <v>4.08E-4</v>
      </c>
      <c r="J63" s="23">
        <v>847</v>
      </c>
      <c r="K63" s="23">
        <v>114010</v>
      </c>
      <c r="L63" s="23">
        <f t="shared" si="38"/>
        <v>0.11401</v>
      </c>
      <c r="M63" s="31">
        <f t="shared" si="39"/>
        <v>1.1401E-5</v>
      </c>
      <c r="N63" s="23">
        <f t="shared" si="40"/>
        <v>3.578633453205859E-3</v>
      </c>
      <c r="O63" s="23">
        <f t="shared" si="41"/>
        <v>35.786334532058589</v>
      </c>
      <c r="P63" s="23">
        <f t="shared" si="42"/>
        <v>7.4291728795719677E-3</v>
      </c>
      <c r="Q63" s="35">
        <v>2.665</v>
      </c>
      <c r="R63" s="23">
        <v>14.33030975</v>
      </c>
      <c r="S63" s="23">
        <v>36.870846720000003</v>
      </c>
      <c r="T63" s="23">
        <v>49.454634030000001</v>
      </c>
      <c r="U63" s="23">
        <v>147.1331654</v>
      </c>
      <c r="V63" s="23">
        <v>118.79776819999999</v>
      </c>
      <c r="W63" s="23">
        <v>338.83089530000001</v>
      </c>
      <c r="X63" s="24"/>
      <c r="Y63" s="34"/>
      <c r="Z63" s="34"/>
    </row>
    <row r="64" spans="1:26" ht="19.5" customHeight="1" x14ac:dyDescent="0.2">
      <c r="A64" s="34" t="s">
        <v>10</v>
      </c>
      <c r="B64" s="23">
        <v>1212</v>
      </c>
      <c r="C64" s="23">
        <v>8</v>
      </c>
      <c r="D64" s="23">
        <v>39</v>
      </c>
      <c r="E64" s="23">
        <v>11.35</v>
      </c>
      <c r="F64" s="23">
        <v>27.73</v>
      </c>
      <c r="G64" s="6">
        <v>1.54</v>
      </c>
      <c r="H64" s="23">
        <v>273</v>
      </c>
      <c r="I64" s="7">
        <f t="shared" si="37"/>
        <v>2.7300000000000002E-4</v>
      </c>
      <c r="J64" s="23">
        <v>564</v>
      </c>
      <c r="K64" s="23">
        <v>114010</v>
      </c>
      <c r="L64" s="23">
        <f t="shared" si="38"/>
        <v>0.11401</v>
      </c>
      <c r="M64" s="31">
        <f t="shared" si="39"/>
        <v>1.1401E-5</v>
      </c>
      <c r="N64" s="23">
        <f t="shared" si="40"/>
        <v>2.3945267958950969E-3</v>
      </c>
      <c r="O64" s="23">
        <f t="shared" si="41"/>
        <v>23.945267958950971</v>
      </c>
      <c r="P64" s="23">
        <f t="shared" si="42"/>
        <v>4.946934479431629E-3</v>
      </c>
      <c r="Q64" s="35">
        <v>3.4630000000000001</v>
      </c>
      <c r="R64" s="23">
        <v>12.803118100000001</v>
      </c>
      <c r="S64" s="23">
        <v>17.946016409999999</v>
      </c>
      <c r="T64" s="23">
        <v>53.236531050000004</v>
      </c>
      <c r="U64" s="23">
        <v>84.802385580000006</v>
      </c>
      <c r="V64" s="23">
        <v>120.4363871</v>
      </c>
      <c r="W64" s="23">
        <v>171.9133209</v>
      </c>
      <c r="X64" s="24"/>
      <c r="Y64" s="34"/>
      <c r="Z64" s="34"/>
    </row>
    <row r="65" spans="1:26" ht="19.5" customHeight="1" x14ac:dyDescent="0.2">
      <c r="A65" s="34" t="s">
        <v>10</v>
      </c>
      <c r="B65" s="23">
        <v>1212</v>
      </c>
      <c r="C65" s="23">
        <v>8</v>
      </c>
      <c r="D65" s="23">
        <v>40</v>
      </c>
      <c r="E65" s="23">
        <v>8.52</v>
      </c>
      <c r="F65" s="23">
        <v>27.73</v>
      </c>
      <c r="G65" s="6">
        <v>1.34</v>
      </c>
      <c r="H65" s="23">
        <v>279</v>
      </c>
      <c r="I65" s="7">
        <f t="shared" si="37"/>
        <v>2.7900000000000001E-4</v>
      </c>
      <c r="J65" s="23">
        <v>477</v>
      </c>
      <c r="K65" s="23">
        <v>114010</v>
      </c>
      <c r="L65" s="23">
        <f t="shared" si="38"/>
        <v>0.11401</v>
      </c>
      <c r="M65" s="31">
        <f t="shared" si="39"/>
        <v>1.1401E-5</v>
      </c>
      <c r="N65" s="23">
        <f t="shared" si="40"/>
        <v>2.4471537584422418E-3</v>
      </c>
      <c r="O65" s="23">
        <f t="shared" si="41"/>
        <v>24.471537584422421</v>
      </c>
      <c r="P65" s="23">
        <f t="shared" si="42"/>
        <v>4.1838435224980262E-3</v>
      </c>
      <c r="Q65" s="35">
        <v>3.2290000000000001</v>
      </c>
      <c r="R65" s="23">
        <v>9.5817597550000002</v>
      </c>
      <c r="S65" s="23">
        <v>27.317039099999999</v>
      </c>
      <c r="T65" s="23">
        <v>44.482968739999997</v>
      </c>
      <c r="U65" s="23">
        <v>119.0370356</v>
      </c>
      <c r="V65" s="23">
        <v>106.89587</v>
      </c>
      <c r="W65" s="23">
        <v>249.69439080000001</v>
      </c>
      <c r="X65" s="23">
        <v>5.26</v>
      </c>
      <c r="Y65" s="23">
        <v>0.69</v>
      </c>
      <c r="Z65" s="36">
        <f>Y65*X65</f>
        <v>3.6293999999999995</v>
      </c>
    </row>
    <row r="66" spans="1:26" ht="19.5" customHeight="1" x14ac:dyDescent="0.2">
      <c r="A66" s="34" t="s">
        <v>10</v>
      </c>
      <c r="B66" s="23">
        <v>1212</v>
      </c>
      <c r="C66" s="23">
        <v>10</v>
      </c>
      <c r="D66" s="23">
        <v>21</v>
      </c>
      <c r="E66" s="23">
        <v>7.12</v>
      </c>
      <c r="F66" s="23">
        <v>27.73</v>
      </c>
      <c r="G66" s="6">
        <v>1.69</v>
      </c>
      <c r="H66" s="23">
        <v>346</v>
      </c>
      <c r="I66" s="7">
        <f t="shared" si="37"/>
        <v>3.4600000000000001E-4</v>
      </c>
      <c r="J66" s="23">
        <v>649</v>
      </c>
      <c r="K66" s="23">
        <v>114010</v>
      </c>
      <c r="L66" s="23">
        <f t="shared" si="38"/>
        <v>0.11401</v>
      </c>
      <c r="M66" s="31">
        <f t="shared" si="39"/>
        <v>1.1401E-5</v>
      </c>
      <c r="N66" s="23">
        <f t="shared" si="40"/>
        <v>3.034821506885361E-3</v>
      </c>
      <c r="O66" s="23">
        <f t="shared" si="41"/>
        <v>30.348215068853612</v>
      </c>
      <c r="P66" s="23">
        <f t="shared" si="42"/>
        <v>5.6924831155161825E-3</v>
      </c>
      <c r="Q66" s="35">
        <v>3.66</v>
      </c>
      <c r="R66" s="23">
        <v>17.912131590000001</v>
      </c>
      <c r="S66" s="23">
        <v>21.98658812</v>
      </c>
      <c r="T66" s="23">
        <v>57.21442124</v>
      </c>
      <c r="U66" s="23">
        <v>115.1093055</v>
      </c>
      <c r="V66" s="23">
        <v>152.24198630000001</v>
      </c>
      <c r="W66" s="23">
        <v>242.66293350000001</v>
      </c>
      <c r="X66" s="24"/>
      <c r="Y66" s="34"/>
      <c r="Z66" s="34"/>
    </row>
    <row r="67" spans="1:26" ht="19.5" customHeight="1" x14ac:dyDescent="0.2">
      <c r="A67" s="34" t="s">
        <v>10</v>
      </c>
      <c r="B67" s="23">
        <v>1212</v>
      </c>
      <c r="C67" s="23">
        <v>10</v>
      </c>
      <c r="D67" s="23">
        <v>41</v>
      </c>
      <c r="E67" s="23">
        <v>7.26</v>
      </c>
      <c r="F67" s="23">
        <v>27.73</v>
      </c>
      <c r="G67" s="6">
        <v>1.92</v>
      </c>
      <c r="H67" s="23">
        <v>464</v>
      </c>
      <c r="I67" s="7">
        <f t="shared" si="37"/>
        <v>4.64E-4</v>
      </c>
      <c r="J67" s="23">
        <v>679</v>
      </c>
      <c r="K67" s="23">
        <v>114010</v>
      </c>
      <c r="L67" s="23">
        <f t="shared" si="38"/>
        <v>0.11401</v>
      </c>
      <c r="M67" s="31">
        <f t="shared" si="39"/>
        <v>1.1401E-5</v>
      </c>
      <c r="N67" s="23">
        <f t="shared" si="40"/>
        <v>4.0698184369792126E-3</v>
      </c>
      <c r="O67" s="23">
        <f t="shared" si="41"/>
        <v>40.698184369792124</v>
      </c>
      <c r="P67" s="23">
        <f t="shared" si="42"/>
        <v>5.9556179282519075E-3</v>
      </c>
      <c r="Q67" s="35">
        <v>3.3090000000000002</v>
      </c>
      <c r="R67" s="23">
        <v>28.287141569999999</v>
      </c>
      <c r="S67" s="23">
        <v>21.435052970000001</v>
      </c>
      <c r="T67" s="23">
        <v>109.9647916</v>
      </c>
      <c r="U67" s="23">
        <v>111.4710252</v>
      </c>
      <c r="V67" s="23">
        <v>251.64007430000001</v>
      </c>
      <c r="W67" s="23">
        <v>238.25161940000001</v>
      </c>
      <c r="X67" s="23">
        <v>3.88</v>
      </c>
      <c r="Y67" s="23">
        <v>5.1100000000000003</v>
      </c>
      <c r="Z67" s="36">
        <f>Y67*X67</f>
        <v>19.826800000000002</v>
      </c>
    </row>
    <row r="68" spans="1:26" ht="19.5" customHeight="1" x14ac:dyDescent="0.2">
      <c r="A68" s="34" t="s">
        <v>10</v>
      </c>
      <c r="B68" s="23">
        <v>1212</v>
      </c>
      <c r="C68" s="23">
        <v>10</v>
      </c>
      <c r="D68" s="23">
        <v>42</v>
      </c>
      <c r="E68" s="23">
        <v>7.4</v>
      </c>
      <c r="F68" s="23">
        <v>27.73</v>
      </c>
      <c r="G68" s="6">
        <v>1.99</v>
      </c>
      <c r="H68" s="23">
        <v>475</v>
      </c>
      <c r="I68" s="7">
        <f t="shared" si="37"/>
        <v>4.75E-4</v>
      </c>
      <c r="J68" s="23">
        <v>847</v>
      </c>
      <c r="K68" s="23">
        <v>114010</v>
      </c>
      <c r="L68" s="23">
        <f t="shared" si="38"/>
        <v>0.11401</v>
      </c>
      <c r="M68" s="31">
        <f t="shared" si="39"/>
        <v>1.1401E-5</v>
      </c>
      <c r="N68" s="23">
        <f t="shared" si="40"/>
        <v>4.1663012016489778E-3</v>
      </c>
      <c r="O68" s="23">
        <f t="shared" si="41"/>
        <v>41.66301201648978</v>
      </c>
      <c r="P68" s="23">
        <f t="shared" si="42"/>
        <v>7.4291728795719677E-3</v>
      </c>
      <c r="Q68" s="35">
        <v>3.4630000000000001</v>
      </c>
      <c r="R68" s="23">
        <v>13.77499222</v>
      </c>
      <c r="S68" s="23">
        <v>18.441572149999999</v>
      </c>
      <c r="T68" s="23">
        <v>56.939873390000002</v>
      </c>
      <c r="U68" s="23">
        <v>81.985488799999999</v>
      </c>
      <c r="V68" s="23">
        <v>160.21201199999999</v>
      </c>
      <c r="W68" s="23">
        <v>168.91348070000001</v>
      </c>
      <c r="X68" s="24"/>
      <c r="Y68" s="34"/>
      <c r="Z68" s="34"/>
    </row>
    <row r="69" spans="1:26" ht="17.25" customHeight="1" x14ac:dyDescent="0.2">
      <c r="A69" s="41" t="s">
        <v>87</v>
      </c>
      <c r="B69" s="42">
        <v>72</v>
      </c>
      <c r="C69" s="42">
        <v>123.4</v>
      </c>
      <c r="D69" s="42">
        <v>53.933</v>
      </c>
      <c r="E69" s="42">
        <v>7.569</v>
      </c>
      <c r="F69" s="42">
        <v>27.73</v>
      </c>
      <c r="G69" s="32">
        <v>1.5860000000000001</v>
      </c>
      <c r="H69" s="42">
        <v>497.2</v>
      </c>
      <c r="I69" s="43">
        <v>4.9700000000000005E-4</v>
      </c>
      <c r="J69" s="42">
        <v>815.53300000000002</v>
      </c>
      <c r="K69" s="42">
        <v>114010</v>
      </c>
      <c r="L69" s="42">
        <v>0.114</v>
      </c>
      <c r="M69" s="45">
        <v>0</v>
      </c>
      <c r="N69" s="42">
        <v>4.0000000000000001E-3</v>
      </c>
      <c r="O69" s="42">
        <v>43.61</v>
      </c>
      <c r="P69" s="42">
        <v>7.0000000000000001E-3</v>
      </c>
      <c r="Q69" s="42">
        <v>3.4390000000000001</v>
      </c>
      <c r="R69" s="42">
        <v>24.684999999999999</v>
      </c>
      <c r="S69" s="42">
        <v>27.641999999999999</v>
      </c>
      <c r="T69" s="42">
        <v>93.878</v>
      </c>
      <c r="U69" s="42">
        <v>120.553</v>
      </c>
      <c r="V69" s="42">
        <v>228.28299999999999</v>
      </c>
      <c r="W69" s="42">
        <v>247.80199999999999</v>
      </c>
      <c r="X69" s="24"/>
      <c r="Y69" s="34"/>
      <c r="Z69" s="34"/>
    </row>
    <row r="70" spans="1:26" ht="17.25" customHeight="1" x14ac:dyDescent="0.2">
      <c r="A70" s="41" t="s">
        <v>86</v>
      </c>
      <c r="B70" s="41">
        <v>0</v>
      </c>
      <c r="C70" s="41">
        <v>15.835000000000001</v>
      </c>
      <c r="D70" s="41">
        <v>2.819</v>
      </c>
      <c r="E70" s="41">
        <v>0.28100000000000003</v>
      </c>
      <c r="F70" s="41">
        <v>0</v>
      </c>
      <c r="G70" s="44">
        <v>8.5999999999999993E-2</v>
      </c>
      <c r="H70" s="41">
        <v>31.716000000000001</v>
      </c>
      <c r="I70" s="41">
        <v>0</v>
      </c>
      <c r="J70" s="41">
        <v>57.826000000000001</v>
      </c>
      <c r="K70" s="41">
        <v>0</v>
      </c>
      <c r="L70" s="41">
        <v>0</v>
      </c>
      <c r="M70" s="46">
        <v>0</v>
      </c>
      <c r="N70" s="41">
        <v>0</v>
      </c>
      <c r="O70" s="41">
        <v>2.782</v>
      </c>
      <c r="P70" s="41">
        <v>1E-3</v>
      </c>
      <c r="Q70" s="41">
        <v>8.8999999999999996E-2</v>
      </c>
      <c r="R70" s="41">
        <v>1.1240000000000001</v>
      </c>
      <c r="S70" s="41">
        <v>1.583</v>
      </c>
      <c r="T70" s="41">
        <v>3.8479999999999999</v>
      </c>
      <c r="U70" s="41">
        <v>6.7869999999999999</v>
      </c>
      <c r="V70" s="41">
        <v>9.2330000000000005</v>
      </c>
      <c r="W70" s="41">
        <v>13.151</v>
      </c>
      <c r="X70" s="24"/>
      <c r="Y70" s="34"/>
      <c r="Z70" s="34"/>
    </row>
    <row r="71" spans="1:26" ht="17.25" customHeight="1" x14ac:dyDescent="0.2">
      <c r="A71" s="34" t="s">
        <v>33</v>
      </c>
      <c r="B71" s="34"/>
      <c r="C71" s="34"/>
      <c r="D71" s="34"/>
      <c r="E71" s="34"/>
      <c r="F71" s="34"/>
      <c r="H71" s="34"/>
      <c r="J71" s="34"/>
      <c r="K71" s="34"/>
      <c r="L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24"/>
      <c r="Y71" s="34"/>
      <c r="Z71" s="34"/>
    </row>
    <row r="72" spans="1:26" ht="17.25" customHeight="1" x14ac:dyDescent="0.2">
      <c r="A72" s="34" t="s">
        <v>34</v>
      </c>
      <c r="B72" s="34"/>
      <c r="C72" s="34"/>
      <c r="D72" s="34"/>
      <c r="E72" s="34"/>
      <c r="F72" s="34"/>
      <c r="H72" s="34"/>
      <c r="J72" s="34"/>
      <c r="K72" s="34"/>
      <c r="L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24"/>
      <c r="Y72" s="34"/>
      <c r="Z72" s="34"/>
    </row>
    <row r="73" spans="1:26" ht="17.25" customHeight="1" x14ac:dyDescent="0.2"/>
    <row r="74" spans="1:26" ht="39.75" customHeight="1" x14ac:dyDescent="0.2">
      <c r="A74" t="s">
        <v>35</v>
      </c>
      <c r="B74" s="15" t="s">
        <v>36</v>
      </c>
      <c r="C74" s="16" t="s">
        <v>37</v>
      </c>
      <c r="D74" s="17" t="s">
        <v>38</v>
      </c>
      <c r="E74" s="18" t="s">
        <v>39</v>
      </c>
      <c r="F74" s="16" t="s">
        <v>40</v>
      </c>
      <c r="G74" s="17" t="s">
        <v>41</v>
      </c>
      <c r="H74" s="7" t="s">
        <v>43</v>
      </c>
      <c r="I74" s="5" t="s">
        <v>44</v>
      </c>
      <c r="J74" s="5" t="s">
        <v>48</v>
      </c>
      <c r="K74" s="16" t="s">
        <v>49</v>
      </c>
      <c r="L74" s="16" t="s">
        <v>42</v>
      </c>
      <c r="M74" s="19" t="s">
        <v>45</v>
      </c>
      <c r="N74" s="16" t="s">
        <v>46</v>
      </c>
      <c r="O74" s="47" t="s">
        <v>47</v>
      </c>
    </row>
    <row r="75" spans="1:26" ht="17.25" customHeight="1" x14ac:dyDescent="0.2">
      <c r="A75" t="s">
        <v>7</v>
      </c>
      <c r="B75" s="6">
        <f>AVERAGE(O2:O16)</f>
        <v>43.610209630734147</v>
      </c>
      <c r="C75" s="5">
        <f>D75*L2</f>
        <v>0.4115761</v>
      </c>
      <c r="D75" s="6">
        <v>3.61</v>
      </c>
      <c r="E75" s="7">
        <f>AVERAGE(G2:G16)</f>
        <v>1.5859999999999999</v>
      </c>
      <c r="F75" s="5">
        <f>C75/AVERAGE(I2:I16)</f>
        <v>827.78781174577648</v>
      </c>
      <c r="G75" s="6">
        <f>AVERAGE(Q2:Q16)/100</f>
        <v>3.4391333333333329E-2</v>
      </c>
      <c r="H75" s="7">
        <f>AVERAGE(T2:T16)</f>
        <v>93.877834261333348</v>
      </c>
      <c r="I75" s="5">
        <f>H75*1.67</f>
        <v>156.77598321642668</v>
      </c>
      <c r="J75" s="5">
        <f>AVERAGE('Repeated measurements'!Y3:Y17)</f>
        <v>0.28825445909522696</v>
      </c>
      <c r="K75" s="11">
        <f>J75*F75</f>
        <v>238.61352792040037</v>
      </c>
      <c r="L75" s="5">
        <f>AVERAGE('Repeated measurements'!AA3:AA17) / 0.25</f>
        <v>17.778393248843752</v>
      </c>
      <c r="M75" s="20">
        <v>779</v>
      </c>
      <c r="N75" s="11">
        <f>2*SQRT(M75/PI())</f>
        <v>31.493707392885515</v>
      </c>
      <c r="O75" s="48">
        <f>D75*0.95</f>
        <v>3.4294999999999995</v>
      </c>
    </row>
    <row r="76" spans="1:26" ht="17.25" customHeight="1" x14ac:dyDescent="0.2">
      <c r="A76" t="s">
        <v>8</v>
      </c>
      <c r="B76" s="6">
        <f>AVERAGE(O20:O34)</f>
        <v>37.218957401397539</v>
      </c>
      <c r="C76" s="5">
        <f>D76*L3</f>
        <v>0.38307360000000001</v>
      </c>
      <c r="D76" s="6">
        <v>3.36</v>
      </c>
      <c r="E76" s="7">
        <f>AVERAGE(G20:G34)</f>
        <v>1.8786666666666669</v>
      </c>
      <c r="F76" s="5">
        <f>C76/AVERAGE(I20:I34)</f>
        <v>902.76575019638676</v>
      </c>
      <c r="G76" s="6">
        <f>AVERAGE(Q20:Q34)/100</f>
        <v>4.3451333333333349E-2</v>
      </c>
      <c r="H76" s="7">
        <f>AVERAGE(T20:T34)</f>
        <v>65.979316391333342</v>
      </c>
      <c r="I76" s="5">
        <f>H76*1.67</f>
        <v>110.18545837352667</v>
      </c>
      <c r="J76" s="5">
        <f>AVERAGE('Repeated measurements'!Y18:Y32)</f>
        <v>0.22539160276319631</v>
      </c>
      <c r="K76" s="11">
        <f>J76*F76</f>
        <v>203.4758193564829</v>
      </c>
      <c r="L76" s="5">
        <f>AVERAGE('Repeated measurements'!AA18:AA32) / 0.25</f>
        <v>13.901261272726773</v>
      </c>
      <c r="M76" s="20">
        <v>679</v>
      </c>
      <c r="N76" s="11">
        <f>2*SQRT(M76/PI())</f>
        <v>29.40288507740653</v>
      </c>
      <c r="O76" s="48">
        <f>D76*0.95</f>
        <v>3.1919999999999997</v>
      </c>
    </row>
    <row r="77" spans="1:26" ht="17.25" customHeight="1" x14ac:dyDescent="0.2">
      <c r="A77" t="s">
        <v>9</v>
      </c>
      <c r="B77" s="6">
        <f>AVERAGE(O37:O51)</f>
        <v>33.488290500833259</v>
      </c>
      <c r="C77" s="5">
        <f>D77*L4</f>
        <v>0.4115761</v>
      </c>
      <c r="D77" s="6">
        <v>3.61</v>
      </c>
      <c r="E77" s="7">
        <f>AVERAGE(G37:G51)</f>
        <v>1.6186666666666667</v>
      </c>
      <c r="F77" s="50">
        <f>C77/AVERAGE(I37:I51)</f>
        <v>1077.9887375589315</v>
      </c>
      <c r="G77" s="6">
        <f>AVERAGE(Q37:Q51)/100</f>
        <v>3.3538666666666675E-2</v>
      </c>
      <c r="H77" s="7">
        <f>AVERAGE(T37:T51)</f>
        <v>80.926843771333338</v>
      </c>
      <c r="I77" s="5">
        <f>H77*1.67</f>
        <v>135.14782909812666</v>
      </c>
      <c r="J77" s="5">
        <f>AVERAGE('Repeated measurements'!Y33:Y47)</f>
        <v>0.28251538955911781</v>
      </c>
      <c r="K77" s="11">
        <f>J77*F77</f>
        <v>304.54840813180311</v>
      </c>
      <c r="L77" s="5">
        <f>AVERAGE('Repeated measurements'!AA33:AA47) / 0.25</f>
        <v>17.424430172554619</v>
      </c>
      <c r="M77" s="20">
        <v>779</v>
      </c>
      <c r="N77" s="11">
        <f>2*SQRT(M77/PI())</f>
        <v>31.493707392885515</v>
      </c>
      <c r="O77" s="48">
        <f>D77*0.95</f>
        <v>3.4294999999999995</v>
      </c>
    </row>
    <row r="78" spans="1:26" ht="17.25" customHeight="1" x14ac:dyDescent="0.2">
      <c r="A78" t="s">
        <v>10</v>
      </c>
      <c r="B78" s="6">
        <f>AVERAGE(O54:O68)</f>
        <v>33.938543402625498</v>
      </c>
      <c r="C78" s="5">
        <f>D78*L5</f>
        <v>0.4115761</v>
      </c>
      <c r="D78" s="6">
        <v>3.61</v>
      </c>
      <c r="E78" s="7">
        <f>AVERAGE(G54:G68)</f>
        <v>1.7013333333333334</v>
      </c>
      <c r="F78" s="50">
        <f>C78/AVERAGE(I54:I68)</f>
        <v>1063.6873707787734</v>
      </c>
      <c r="G78" s="6">
        <f>AVERAGE(Q54:Q68)/100</f>
        <v>3.2027333333333338E-2</v>
      </c>
      <c r="H78" s="7">
        <f>AVERAGE(T54:T68)</f>
        <v>59.280041045333334</v>
      </c>
      <c r="I78" s="5">
        <f>H78*1.67</f>
        <v>98.997668545706659</v>
      </c>
      <c r="J78" s="5">
        <f>AVERAGE('Repeated measurements'!Y48:Y62)</f>
        <v>0.2586999764303558</v>
      </c>
      <c r="K78" s="11">
        <f>J78*F78</f>
        <v>275.17589774973578</v>
      </c>
      <c r="L78" s="5">
        <f>AVERAGE('Repeated measurements'!AA48:AA62) / 0.25</f>
        <v>15.955589824635025</v>
      </c>
      <c r="M78" s="20">
        <v>779</v>
      </c>
      <c r="N78" s="11">
        <f>2*SQRT(M78/PI())</f>
        <v>31.493707392885515</v>
      </c>
      <c r="O78" s="48">
        <f>D78*0.95</f>
        <v>3.4294999999999995</v>
      </c>
    </row>
    <row r="79" spans="1:26" ht="17.25" customHeight="1" x14ac:dyDescent="0.2">
      <c r="H79" s="13"/>
      <c r="I79" s="10"/>
      <c r="K79" s="10"/>
    </row>
    <row r="80" spans="1:26" ht="17.25" customHeight="1" x14ac:dyDescent="0.2">
      <c r="A80" t="s">
        <v>35</v>
      </c>
      <c r="B80" s="12" t="s">
        <v>92</v>
      </c>
      <c r="C80" s="10" t="s">
        <v>95</v>
      </c>
      <c r="D80" s="12" t="s">
        <v>93</v>
      </c>
      <c r="E80" s="13" t="s">
        <v>94</v>
      </c>
      <c r="F80" s="10" t="s">
        <v>96</v>
      </c>
      <c r="G80" s="12" t="s">
        <v>99</v>
      </c>
      <c r="H80" s="13" t="s">
        <v>97</v>
      </c>
      <c r="I80" s="10" t="s">
        <v>98</v>
      </c>
      <c r="J80" s="10" t="s">
        <v>104</v>
      </c>
      <c r="K80" s="10" t="s">
        <v>106</v>
      </c>
    </row>
    <row r="81" spans="1:11" ht="17.25" customHeight="1" x14ac:dyDescent="0.2">
      <c r="A81" t="s">
        <v>7</v>
      </c>
      <c r="B81" s="12">
        <f>_xlfn.VAR.S(O2:O16)</f>
        <v>116.08261047661914</v>
      </c>
      <c r="C81" s="37">
        <f>L2^2*D81</f>
        <v>0.38902552511290006</v>
      </c>
      <c r="D81" s="12">
        <f>POWER(D87,2)*10</f>
        <v>29.929000000000002</v>
      </c>
      <c r="E81" s="7">
        <f>_xlfn.VAR.S(G2:G16)</f>
        <v>0.1112400000000002</v>
      </c>
      <c r="F81" s="34">
        <f>(L2^2)*((D81/(AVERAGE(I2:I16)^2))+((D75^2/(AVERAGE(I2:I16)^4)*I19)))</f>
        <v>1615502.261320645</v>
      </c>
      <c r="G81" s="12">
        <f>_xlfn.VAR.S(Q2:Q16)/(100^2)</f>
        <v>1.1844569523809515E-5</v>
      </c>
      <c r="H81" s="7">
        <f>_xlfn.VAR.S(T2:T16)</f>
        <v>222.1600690245437</v>
      </c>
      <c r="I81" s="39">
        <f>H81*(1.67^2)</f>
        <v>619.58221650254995</v>
      </c>
      <c r="J81" s="5">
        <f>_xlfn.VAR.S('Repeated measurements'!Y3:Y17)</f>
        <v>1.1724800253392413E-2</v>
      </c>
      <c r="K81" s="10">
        <f>(J81*F81)+(J81*F75^2)+(F81*J75^2)</f>
        <v>161208.76321367017</v>
      </c>
    </row>
    <row r="82" spans="1:11" ht="17.25" customHeight="1" x14ac:dyDescent="0.2">
      <c r="A82" t="s">
        <v>8</v>
      </c>
      <c r="B82" s="12">
        <f>_xlfn.VAR.S(O20:O34)</f>
        <v>104.56071983012018</v>
      </c>
      <c r="C82" s="37">
        <f>L3^2*D82</f>
        <v>0.20964925973290002</v>
      </c>
      <c r="D82" s="12">
        <f t="shared" ref="D82:D84" si="43">POWER(D88,2)*10</f>
        <v>16.129000000000001</v>
      </c>
      <c r="E82" s="7">
        <f>_xlfn.VAR.S(G20:G34)</f>
        <v>0.14974095238095078</v>
      </c>
      <c r="F82" s="34">
        <f>(L3^2)*((D82/(AVERAGE(I20:I34)^2))+((D76^2/(AVERAGE(I20:I34)^4)*_xlfn.VAR.S(I20:I34))))</f>
        <v>1225854.2171452751</v>
      </c>
      <c r="G82" s="12">
        <f>_xlfn.VAR.S(Q20:Q34)/(100^2)</f>
        <v>4.2986683809522222E-5</v>
      </c>
      <c r="H82" s="7">
        <f>_xlfn.VAR.S(T20:T34)</f>
        <v>582.35353515268275</v>
      </c>
      <c r="I82" s="39">
        <f t="shared" ref="I82:I84" si="44">H82*(1.67^2)</f>
        <v>1624.1257741873169</v>
      </c>
      <c r="J82" s="5">
        <f>_xlfn.VAR.S('Repeated measurements'!Y18:Y32)</f>
        <v>5.7528776530063374E-3</v>
      </c>
      <c r="K82" s="10">
        <f t="shared" ref="K82:K84" si="45">(J82*F82)+(J82*F76^2)+(F82*J76^2)</f>
        <v>74015.783362487462</v>
      </c>
    </row>
    <row r="83" spans="1:11" ht="17.25" customHeight="1" x14ac:dyDescent="0.2">
      <c r="A83" t="s">
        <v>9</v>
      </c>
      <c r="B83" s="12">
        <f>_xlfn.VAR.S(O37:O51)</f>
        <v>30.259168123107624</v>
      </c>
      <c r="C83" s="37">
        <f>L4^2*D83</f>
        <v>0.38902552511290006</v>
      </c>
      <c r="D83" s="12">
        <f t="shared" si="43"/>
        <v>29.929000000000002</v>
      </c>
      <c r="E83" s="7">
        <f>_xlfn.VAR.S(G37:G51)</f>
        <v>5.9712380952380073E-2</v>
      </c>
      <c r="F83" s="34">
        <f>(L4^2)*((D83/(AVERAGE(I37:I51)^2))+((D77^2/(AVERAGE(I37:I51)^4)*_xlfn.VAR.S(I37:I51))))</f>
        <v>2700094.3752363417</v>
      </c>
      <c r="G83" s="12">
        <f>_xlfn.VAR.S(Q37:Q51)/(100^2)</f>
        <v>1.1034383809523808E-5</v>
      </c>
      <c r="H83" s="7">
        <f>_xlfn.VAR.S(T37:T51)</f>
        <v>218.36937618281914</v>
      </c>
      <c r="I83" s="39">
        <f t="shared" si="44"/>
        <v>609.01035323626434</v>
      </c>
      <c r="J83" s="5">
        <f>_xlfn.VAR.S('Repeated measurements'!Y33:Y47)</f>
        <v>7.7005354975100259E-3</v>
      </c>
      <c r="K83" s="10">
        <f t="shared" si="45"/>
        <v>245248.5396603884</v>
      </c>
    </row>
    <row r="84" spans="1:11" ht="17.25" customHeight="1" x14ac:dyDescent="0.2">
      <c r="A84" t="s">
        <v>10</v>
      </c>
      <c r="B84" s="12">
        <f>_xlfn.VAR.S(O54:O68)</f>
        <v>67.074221904906153</v>
      </c>
      <c r="C84" s="37">
        <f>L5^2*D84</f>
        <v>0.38902552511290006</v>
      </c>
      <c r="D84" s="12">
        <f t="shared" si="43"/>
        <v>29.929000000000002</v>
      </c>
      <c r="E84" s="7">
        <f>_xlfn.VAR.S(G54:G68)</f>
        <v>3.4412380952380674E-2</v>
      </c>
      <c r="F84" s="34">
        <f>(L5^2)*((D84/(AVERAGE(I54:I68)^2))+((D78^2/(AVERAGE(I54:I68)^4)*_xlfn.VAR.S(I54:I68))))</f>
        <v>2664285.4304980501</v>
      </c>
      <c r="G84" s="12">
        <f>_xlfn.VAR.S(Q54:Q68)/(100^2)</f>
        <v>1.4232378095237916E-5</v>
      </c>
      <c r="H84" s="7">
        <f>_xlfn.VAR.S(T54:T68)</f>
        <v>505.97706907807304</v>
      </c>
      <c r="I84" s="39">
        <f t="shared" si="44"/>
        <v>1411.1194479518379</v>
      </c>
      <c r="J84" s="5">
        <f>_xlfn.VAR.S('Repeated measurements'!Y48:Y62)</f>
        <v>9.0555556793641776E-3</v>
      </c>
      <c r="K84" s="10">
        <f t="shared" si="45"/>
        <v>212681.42817663969</v>
      </c>
    </row>
    <row r="85" spans="1:11" ht="17.25" customHeight="1" x14ac:dyDescent="0.2">
      <c r="H85" s="13"/>
      <c r="I85" s="10"/>
      <c r="K85" s="10"/>
    </row>
    <row r="86" spans="1:11" ht="17.25" customHeight="1" x14ac:dyDescent="0.2">
      <c r="A86" t="s">
        <v>35</v>
      </c>
      <c r="B86" s="12" t="s">
        <v>81</v>
      </c>
      <c r="C86" s="13" t="s">
        <v>90</v>
      </c>
      <c r="D86" s="12" t="s">
        <v>89</v>
      </c>
      <c r="E86" s="18" t="s">
        <v>80</v>
      </c>
      <c r="F86" s="10" t="s">
        <v>91</v>
      </c>
      <c r="G86" s="12" t="s">
        <v>100</v>
      </c>
      <c r="H86" s="13" t="s">
        <v>101</v>
      </c>
      <c r="I86" s="10" t="s">
        <v>102</v>
      </c>
      <c r="J86" s="10" t="s">
        <v>105</v>
      </c>
      <c r="K86" s="10" t="s">
        <v>107</v>
      </c>
    </row>
    <row r="87" spans="1:11" ht="17.25" customHeight="1" x14ac:dyDescent="0.2">
      <c r="A87" t="s">
        <v>7</v>
      </c>
      <c r="B87" s="32">
        <f>STDEV(O2:O16)/SQRT(COUNT(O2:O16))</f>
        <v>2.7818771896762939</v>
      </c>
      <c r="C87" s="32">
        <f>SQRT(C81/COUNT(10))</f>
        <v>0.62371910754192872</v>
      </c>
      <c r="D87" s="12">
        <v>1.73</v>
      </c>
      <c r="E87" s="10">
        <f>SQRT(E81/COUNT(H2:H16))</f>
        <v>8.6116200566444021E-2</v>
      </c>
      <c r="F87" s="10">
        <f>SQRT(F81/COUNT(I2:I16))</f>
        <v>328.17701131357398</v>
      </c>
      <c r="G87" s="12">
        <f>SQRT(G81/COUNT(J2:J16))</f>
        <v>8.8861575962502926E-4</v>
      </c>
      <c r="H87" s="10">
        <f t="shared" ref="H87:K87" si="46">SQRT(H81/COUNT(K2:K16))</f>
        <v>3.8484634944745042</v>
      </c>
      <c r="I87" s="10">
        <f t="shared" si="46"/>
        <v>6.4269340357724225</v>
      </c>
      <c r="J87" s="10">
        <f t="shared" si="46"/>
        <v>2.7958064135883243E-2</v>
      </c>
      <c r="K87" s="10">
        <f t="shared" si="46"/>
        <v>103.66894848946498</v>
      </c>
    </row>
    <row r="88" spans="1:11" ht="17.25" customHeight="1" x14ac:dyDescent="0.2">
      <c r="A88" t="s">
        <v>8</v>
      </c>
      <c r="B88" s="32">
        <f>STDEV(O20:O34)/SQRT(COUNT(O20:O34))</f>
        <v>2.6402111005261197</v>
      </c>
      <c r="C88" s="32">
        <f t="shared" ref="C88:C90" si="47">SQRT(C82/COUNT(10))</f>
        <v>0.45787472056546213</v>
      </c>
      <c r="D88" s="12">
        <v>1.27</v>
      </c>
      <c r="E88" s="10">
        <f>SQRT(E82/COUNT(H20:H34))</f>
        <v>9.9913613480496502E-2</v>
      </c>
      <c r="F88" s="10">
        <f>SQRT(F82/COUNT(I20:I34))</f>
        <v>285.87342387209009</v>
      </c>
      <c r="G88" s="12">
        <f>SQRT(G82/COUNT(J20:J34))</f>
        <v>1.6928611640163569E-3</v>
      </c>
      <c r="H88" s="10">
        <f t="shared" ref="H88:K88" si="48">SQRT(H82/COUNT(K20:K34))</f>
        <v>6.230856202014202</v>
      </c>
      <c r="I88" s="10">
        <f t="shared" si="48"/>
        <v>10.405529857363717</v>
      </c>
      <c r="J88" s="10">
        <f t="shared" si="48"/>
        <v>1.9583798836464012E-2</v>
      </c>
      <c r="K88" s="10">
        <f t="shared" si="48"/>
        <v>70.245181738672756</v>
      </c>
    </row>
    <row r="89" spans="1:11" ht="17.25" customHeight="1" x14ac:dyDescent="0.2">
      <c r="A89" t="s">
        <v>9</v>
      </c>
      <c r="B89" s="32">
        <f>STDEV(O37:O51)/SQRT(COUNT(O37:O51))</f>
        <v>1.4203090772341918</v>
      </c>
      <c r="C89" s="32">
        <f t="shared" si="47"/>
        <v>0.62371910754192872</v>
      </c>
      <c r="D89" s="12">
        <v>1.73</v>
      </c>
      <c r="E89" s="10">
        <f>SQRT(E83/COUNT(H37:H51))</f>
        <v>6.3093782552842231E-2</v>
      </c>
      <c r="F89" s="10">
        <f>SQRT(F83/COUNT(I37:I51))</f>
        <v>424.27148346597932</v>
      </c>
      <c r="G89" s="12">
        <f>SQRT(G83/COUNT(J37:J51))</f>
        <v>8.5768618229605821E-4</v>
      </c>
      <c r="H89" s="10">
        <f t="shared" ref="H89:K89" si="49">SQRT(H83/COUNT(K37:K51))</f>
        <v>3.8154892755959806</v>
      </c>
      <c r="I89" s="10">
        <f t="shared" si="49"/>
        <v>6.3718670902452885</v>
      </c>
      <c r="J89" s="10">
        <f t="shared" si="49"/>
        <v>2.2657648447430175E-2</v>
      </c>
      <c r="K89" s="10">
        <f t="shared" si="49"/>
        <v>127.86673783289341</v>
      </c>
    </row>
    <row r="90" spans="1:11" ht="17.25" customHeight="1" x14ac:dyDescent="0.2">
      <c r="A90" t="s">
        <v>10</v>
      </c>
      <c r="B90" s="32">
        <f>STDEV(O54:O68)/SQRT(COUNT(O54:O68))</f>
        <v>2.1146193023001589</v>
      </c>
      <c r="C90" s="32">
        <f t="shared" si="47"/>
        <v>0.62371910754192872</v>
      </c>
      <c r="D90" s="12">
        <v>1.73</v>
      </c>
      <c r="E90" s="10">
        <f>SQRT(E84/COUNT(H54:H68))</f>
        <v>4.7897377069717618E-2</v>
      </c>
      <c r="F90" s="10">
        <f>SQRT(F84/COUNT(I54:I68))</f>
        <v>421.44872606269678</v>
      </c>
      <c r="G90" s="12">
        <f>SQRT(G84/COUNT(J54:J68))</f>
        <v>9.7407659162367436E-4</v>
      </c>
      <c r="H90" s="10">
        <f t="shared" ref="H90:K90" si="50">SQRT(H84/COUNT(K54:K68))</f>
        <v>5.807908797941379</v>
      </c>
      <c r="I90" s="10">
        <f t="shared" si="50"/>
        <v>9.6992076925621014</v>
      </c>
      <c r="J90" s="10">
        <f t="shared" si="50"/>
        <v>2.4570382820737893E-2</v>
      </c>
      <c r="K90" s="10">
        <f t="shared" si="50"/>
        <v>119.0746063543468</v>
      </c>
    </row>
    <row r="91" spans="1:11" ht="17.25" customHeight="1" x14ac:dyDescent="0.2"/>
    <row r="92" spans="1:11" ht="17.25" customHeight="1" x14ac:dyDescent="0.2">
      <c r="B92" s="12" t="s">
        <v>82</v>
      </c>
      <c r="C92" s="10" t="s">
        <v>109</v>
      </c>
      <c r="D92" s="12" t="s">
        <v>110</v>
      </c>
      <c r="E92" s="10" t="s">
        <v>85</v>
      </c>
      <c r="F92" s="10" t="s">
        <v>108</v>
      </c>
      <c r="G92" s="12" t="s">
        <v>111</v>
      </c>
      <c r="H92" s="10" t="s">
        <v>112</v>
      </c>
      <c r="I92" s="13" t="s">
        <v>113</v>
      </c>
      <c r="J92" s="10" t="s">
        <v>103</v>
      </c>
      <c r="K92" s="14" t="s">
        <v>49</v>
      </c>
    </row>
    <row r="93" spans="1:11" ht="17.25" customHeight="1" x14ac:dyDescent="0.2">
      <c r="A93" t="s">
        <v>83</v>
      </c>
      <c r="B93" s="30">
        <f t="shared" ref="B93:F96" si="51">B75+(1.96*B87)</f>
        <v>49.062688922499682</v>
      </c>
      <c r="C93" s="33">
        <f t="shared" si="51"/>
        <v>1.6340655507821802</v>
      </c>
      <c r="D93" s="33">
        <f t="shared" si="51"/>
        <v>7.0007999999999999</v>
      </c>
      <c r="E93" s="33">
        <f t="shared" si="51"/>
        <v>1.7547877531102301</v>
      </c>
      <c r="F93" s="33">
        <f t="shared" si="51"/>
        <v>1471.0147539203815</v>
      </c>
      <c r="G93" s="33">
        <f t="shared" ref="G93:K93" si="52">G75+(1.96*G87)</f>
        <v>3.6133020222198386E-2</v>
      </c>
      <c r="H93" s="33">
        <f t="shared" si="52"/>
        <v>101.42082271050337</v>
      </c>
      <c r="I93" s="33">
        <f t="shared" si="52"/>
        <v>169.37277392654062</v>
      </c>
      <c r="J93" s="33">
        <f t="shared" si="52"/>
        <v>0.34305226480155809</v>
      </c>
      <c r="K93" s="33">
        <f t="shared" si="52"/>
        <v>441.80466695975173</v>
      </c>
    </row>
    <row r="94" spans="1:11" ht="17.25" customHeight="1" x14ac:dyDescent="0.2">
      <c r="A94" t="s">
        <v>83</v>
      </c>
      <c r="B94" s="30">
        <f t="shared" si="51"/>
        <v>42.393771158428734</v>
      </c>
      <c r="C94" s="33">
        <f t="shared" si="51"/>
        <v>1.2805080523083059</v>
      </c>
      <c r="D94" s="33">
        <f t="shared" si="51"/>
        <v>5.8491999999999997</v>
      </c>
      <c r="E94" s="33">
        <f t="shared" si="51"/>
        <v>2.07449734908844</v>
      </c>
      <c r="F94" s="33">
        <f t="shared" si="51"/>
        <v>1463.0776609856835</v>
      </c>
      <c r="G94" s="33">
        <f t="shared" ref="G94:K94" si="53">G76+(1.96*G88)</f>
        <v>4.6769341214805409E-2</v>
      </c>
      <c r="H94" s="33">
        <f t="shared" si="53"/>
        <v>78.191794547281177</v>
      </c>
      <c r="I94" s="33">
        <f t="shared" si="53"/>
        <v>130.58029689395954</v>
      </c>
      <c r="J94" s="33">
        <f t="shared" si="53"/>
        <v>0.26377584848266578</v>
      </c>
      <c r="K94" s="33">
        <f t="shared" si="53"/>
        <v>341.15637556428146</v>
      </c>
    </row>
    <row r="95" spans="1:11" ht="17.25" customHeight="1" x14ac:dyDescent="0.2">
      <c r="A95" t="s">
        <v>83</v>
      </c>
      <c r="B95" s="30">
        <f t="shared" si="51"/>
        <v>36.272096292212275</v>
      </c>
      <c r="C95" s="33">
        <f t="shared" si="51"/>
        <v>1.6340655507821802</v>
      </c>
      <c r="D95" s="33">
        <f t="shared" si="51"/>
        <v>7.0007999999999999</v>
      </c>
      <c r="E95" s="33">
        <f t="shared" si="51"/>
        <v>1.7423304804702375</v>
      </c>
      <c r="F95" s="33">
        <f t="shared" si="51"/>
        <v>1909.5608451522507</v>
      </c>
      <c r="G95" s="33">
        <f t="shared" ref="G95:K95" si="54">G77+(1.96*G89)</f>
        <v>3.5219731583966948E-2</v>
      </c>
      <c r="H95" s="33">
        <f t="shared" si="54"/>
        <v>88.405202751501463</v>
      </c>
      <c r="I95" s="33">
        <f t="shared" si="54"/>
        <v>147.63668859500743</v>
      </c>
      <c r="J95" s="33">
        <f t="shared" si="54"/>
        <v>0.32692438051608097</v>
      </c>
      <c r="K95" s="33">
        <f t="shared" si="54"/>
        <v>555.16721428427422</v>
      </c>
    </row>
    <row r="96" spans="1:11" ht="17.25" customHeight="1" x14ac:dyDescent="0.2">
      <c r="A96" t="s">
        <v>83</v>
      </c>
      <c r="B96" s="30">
        <f t="shared" si="51"/>
        <v>38.083197235133809</v>
      </c>
      <c r="C96" s="33">
        <f t="shared" si="51"/>
        <v>1.6340655507821802</v>
      </c>
      <c r="D96" s="33">
        <f t="shared" si="51"/>
        <v>7.0007999999999999</v>
      </c>
      <c r="E96" s="33">
        <f t="shared" si="51"/>
        <v>1.79521219238998</v>
      </c>
      <c r="F96" s="33">
        <f t="shared" si="51"/>
        <v>1889.726873861659</v>
      </c>
      <c r="G96" s="33">
        <f t="shared" ref="G96:K96" si="55">G78+(1.96*G90)</f>
        <v>3.3936523452915743E-2</v>
      </c>
      <c r="H96" s="33">
        <f t="shared" si="55"/>
        <v>70.663542289298434</v>
      </c>
      <c r="I96" s="33">
        <f t="shared" si="55"/>
        <v>118.00811562312838</v>
      </c>
      <c r="J96" s="33">
        <f t="shared" si="55"/>
        <v>0.30685792675900209</v>
      </c>
      <c r="K96" s="33">
        <f t="shared" si="55"/>
        <v>508.56212620425549</v>
      </c>
    </row>
    <row r="97" spans="1:11" ht="17.25" customHeight="1" x14ac:dyDescent="0.2"/>
    <row r="98" spans="1:11" ht="17.25" customHeight="1" x14ac:dyDescent="0.2">
      <c r="A98" t="s">
        <v>84</v>
      </c>
      <c r="B98" s="30">
        <f t="shared" ref="B98:K98" si="56">B75-(1.96*B87)</f>
        <v>38.157730338968612</v>
      </c>
      <c r="C98" s="33">
        <f t="shared" si="56"/>
        <v>-0.81091335078218019</v>
      </c>
      <c r="D98" s="33">
        <f t="shared" si="56"/>
        <v>0.21919999999999984</v>
      </c>
      <c r="E98" s="33">
        <f t="shared" si="56"/>
        <v>1.4172122468897697</v>
      </c>
      <c r="F98" s="33">
        <f t="shared" si="56"/>
        <v>184.56086957117145</v>
      </c>
      <c r="G98" s="33">
        <f t="shared" si="56"/>
        <v>3.2649646444468272E-2</v>
      </c>
      <c r="H98" s="33">
        <f t="shared" si="56"/>
        <v>86.334845812163323</v>
      </c>
      <c r="I98" s="33">
        <f t="shared" si="56"/>
        <v>144.17919250631275</v>
      </c>
      <c r="J98" s="33">
        <f t="shared" si="56"/>
        <v>0.23345665338889579</v>
      </c>
      <c r="K98" s="33">
        <f t="shared" si="56"/>
        <v>35.422388881049017</v>
      </c>
    </row>
    <row r="99" spans="1:11" ht="17.25" customHeight="1" x14ac:dyDescent="0.2">
      <c r="A99" t="s">
        <v>84</v>
      </c>
      <c r="B99" s="30">
        <f t="shared" ref="B99:K99" si="57">B76-(1.96*B88)</f>
        <v>32.044143644366343</v>
      </c>
      <c r="C99" s="33">
        <f t="shared" si="57"/>
        <v>-0.51436085230830575</v>
      </c>
      <c r="D99" s="33">
        <f t="shared" si="57"/>
        <v>0.87080000000000002</v>
      </c>
      <c r="E99" s="33">
        <f t="shared" si="57"/>
        <v>1.6828359842448939</v>
      </c>
      <c r="F99" s="33">
        <f t="shared" si="57"/>
        <v>342.45383940709019</v>
      </c>
      <c r="G99" s="33">
        <f t="shared" si="57"/>
        <v>4.0133325451861289E-2</v>
      </c>
      <c r="H99" s="33">
        <f t="shared" si="57"/>
        <v>53.766838235385507</v>
      </c>
      <c r="I99" s="33">
        <f t="shared" si="57"/>
        <v>89.790619853093787</v>
      </c>
      <c r="J99" s="33">
        <f t="shared" si="57"/>
        <v>0.18700735704372684</v>
      </c>
      <c r="K99" s="33">
        <f t="shared" si="57"/>
        <v>65.795263148684313</v>
      </c>
    </row>
    <row r="100" spans="1:11" ht="17.25" customHeight="1" x14ac:dyDescent="0.2">
      <c r="A100" t="s">
        <v>84</v>
      </c>
      <c r="B100" s="30">
        <f t="shared" ref="B100:K100" si="58">B77-(1.96*B89)</f>
        <v>30.704484709454242</v>
      </c>
      <c r="C100" s="33">
        <f t="shared" si="58"/>
        <v>-0.81091335078218019</v>
      </c>
      <c r="D100" s="33">
        <f t="shared" si="58"/>
        <v>0.21919999999999984</v>
      </c>
      <c r="E100" s="33">
        <f t="shared" si="58"/>
        <v>1.4950028528630959</v>
      </c>
      <c r="F100" s="33">
        <f t="shared" si="58"/>
        <v>246.41662996561206</v>
      </c>
      <c r="G100" s="33">
        <f t="shared" si="58"/>
        <v>3.1857601749366402E-2</v>
      </c>
      <c r="H100" s="33">
        <f t="shared" si="58"/>
        <v>73.448484791165214</v>
      </c>
      <c r="I100" s="33">
        <f t="shared" si="58"/>
        <v>122.6589696012459</v>
      </c>
      <c r="J100" s="33">
        <f t="shared" si="58"/>
        <v>0.23810639860215466</v>
      </c>
      <c r="K100" s="33">
        <f t="shared" si="58"/>
        <v>53.929601979332034</v>
      </c>
    </row>
    <row r="101" spans="1:11" ht="17.25" customHeight="1" x14ac:dyDescent="0.2">
      <c r="A101" t="s">
        <v>84</v>
      </c>
      <c r="B101" s="30">
        <f t="shared" ref="B101:K101" si="59">B78-(1.96*B90)</f>
        <v>29.793889570117187</v>
      </c>
      <c r="C101" s="33">
        <f t="shared" si="59"/>
        <v>-0.81091335078218019</v>
      </c>
      <c r="D101" s="33">
        <f t="shared" si="59"/>
        <v>0.21919999999999984</v>
      </c>
      <c r="E101" s="33">
        <f t="shared" si="59"/>
        <v>1.6074544742766868</v>
      </c>
      <c r="F101" s="33">
        <f t="shared" si="59"/>
        <v>237.64786769588773</v>
      </c>
      <c r="G101" s="33">
        <f t="shared" si="59"/>
        <v>3.0118143213750937E-2</v>
      </c>
      <c r="H101" s="33">
        <f t="shared" si="59"/>
        <v>47.896539801368235</v>
      </c>
      <c r="I101" s="33">
        <f t="shared" si="59"/>
        <v>79.987221468284943</v>
      </c>
      <c r="J101" s="33">
        <f t="shared" si="59"/>
        <v>0.21054202610170952</v>
      </c>
      <c r="K101" s="33">
        <f t="shared" si="59"/>
        <v>41.789669295216072</v>
      </c>
    </row>
    <row r="102" spans="1:11" ht="17.25" customHeight="1" x14ac:dyDescent="0.2"/>
    <row r="103" spans="1:11" ht="17.25" customHeight="1" x14ac:dyDescent="0.2"/>
    <row r="104" spans="1:11" ht="17.25" customHeight="1" x14ac:dyDescent="0.2"/>
    <row r="105" spans="1:11" ht="17.25" customHeight="1" x14ac:dyDescent="0.2"/>
    <row r="106" spans="1:11" ht="17.25" customHeight="1" x14ac:dyDescent="0.2"/>
    <row r="107" spans="1:11" ht="17.25" customHeight="1" x14ac:dyDescent="0.2"/>
    <row r="108" spans="1:11" ht="17.25" customHeight="1" x14ac:dyDescent="0.2"/>
    <row r="109" spans="1:11" ht="17.25" customHeight="1" x14ac:dyDescent="0.2"/>
    <row r="110" spans="1:11" ht="17.25" customHeight="1" x14ac:dyDescent="0.2"/>
    <row r="111" spans="1:11" ht="17.25" customHeight="1" x14ac:dyDescent="0.2"/>
    <row r="112" spans="1:11" ht="17.25" customHeight="1" x14ac:dyDescent="0.2"/>
    <row r="113" ht="17.25" customHeight="1" x14ac:dyDescent="0.2"/>
    <row r="114" ht="17.25" customHeight="1" x14ac:dyDescent="0.2"/>
    <row r="115" ht="17.25" customHeight="1" x14ac:dyDescent="0.2"/>
    <row r="116" ht="17.25" customHeight="1" x14ac:dyDescent="0.2"/>
    <row r="117" ht="17.25" customHeight="1" x14ac:dyDescent="0.2"/>
    <row r="118" ht="17.25" customHeight="1" x14ac:dyDescent="0.2"/>
    <row r="119" ht="17.25" customHeight="1" x14ac:dyDescent="0.2"/>
    <row r="120" ht="17.25" customHeight="1" x14ac:dyDescent="0.2"/>
    <row r="121" ht="17.25" customHeight="1" x14ac:dyDescent="0.2"/>
    <row r="122" ht="17.25" customHeight="1" x14ac:dyDescent="0.2"/>
    <row r="123" ht="17.25" customHeight="1" x14ac:dyDescent="0.2"/>
    <row r="124" ht="17.25" customHeight="1" x14ac:dyDescent="0.2"/>
    <row r="125" ht="17.25" customHeight="1" x14ac:dyDescent="0.2"/>
    <row r="126" ht="17.25" customHeight="1" x14ac:dyDescent="0.2"/>
    <row r="127" ht="17.25" customHeight="1" x14ac:dyDescent="0.2"/>
    <row r="128" ht="17.25" customHeight="1" x14ac:dyDescent="0.2"/>
    <row r="129" ht="17.25" customHeight="1" x14ac:dyDescent="0.2"/>
    <row r="130" ht="17.25" customHeight="1" x14ac:dyDescent="0.2"/>
    <row r="131" ht="17.25" customHeight="1" x14ac:dyDescent="0.2"/>
    <row r="132" ht="17.25" customHeight="1" x14ac:dyDescent="0.2"/>
    <row r="133" ht="17.25" customHeight="1" x14ac:dyDescent="0.2"/>
    <row r="134" ht="17.25" customHeight="1" x14ac:dyDescent="0.2"/>
    <row r="135" ht="17.25" customHeight="1" x14ac:dyDescent="0.2"/>
    <row r="136" ht="17.25" customHeight="1" x14ac:dyDescent="0.2"/>
    <row r="137" ht="17.25" customHeight="1" x14ac:dyDescent="0.2"/>
    <row r="138" ht="17.25" customHeight="1" x14ac:dyDescent="0.2"/>
    <row r="139" ht="17.25" customHeight="1" x14ac:dyDescent="0.2"/>
    <row r="140" ht="17.25" customHeight="1" x14ac:dyDescent="0.2"/>
    <row r="141" ht="17.25" customHeight="1" x14ac:dyDescent="0.2"/>
    <row r="142" ht="17.25" customHeight="1" x14ac:dyDescent="0.2"/>
    <row r="143" ht="17.25" customHeight="1" x14ac:dyDescent="0.2"/>
    <row r="144" ht="17.25" customHeight="1" x14ac:dyDescent="0.2"/>
    <row r="145" ht="17.25" customHeight="1" x14ac:dyDescent="0.2"/>
    <row r="146" ht="17.25" customHeight="1" x14ac:dyDescent="0.2"/>
    <row r="147" ht="17.25" customHeight="1" x14ac:dyDescent="0.2"/>
    <row r="148" ht="17.25" customHeight="1" x14ac:dyDescent="0.2"/>
    <row r="149" ht="17.25" customHeight="1" x14ac:dyDescent="0.2"/>
    <row r="150" ht="17.25" customHeight="1" x14ac:dyDescent="0.2"/>
    <row r="151" ht="17.25" customHeight="1" x14ac:dyDescent="0.2"/>
    <row r="152" ht="17.25" customHeight="1" x14ac:dyDescent="0.2"/>
    <row r="153" ht="17.25" customHeight="1" x14ac:dyDescent="0.2"/>
    <row r="154" ht="17.25" customHeight="1" x14ac:dyDescent="0.2"/>
    <row r="155" ht="17.25" customHeight="1" x14ac:dyDescent="0.2"/>
    <row r="156" ht="17.25" customHeight="1" x14ac:dyDescent="0.2"/>
    <row r="157" ht="17.25" customHeight="1" x14ac:dyDescent="0.2"/>
    <row r="158" ht="17.25" customHeight="1" x14ac:dyDescent="0.2"/>
    <row r="159" ht="17.25" customHeight="1" x14ac:dyDescent="0.2"/>
    <row r="160" ht="17.25" customHeight="1" x14ac:dyDescent="0.2"/>
    <row r="161" ht="17.25" customHeight="1" x14ac:dyDescent="0.2"/>
    <row r="162" ht="17.25" customHeight="1" x14ac:dyDescent="0.2"/>
    <row r="163" ht="17.25" customHeight="1" x14ac:dyDescent="0.2"/>
    <row r="164" ht="17.25" customHeight="1" x14ac:dyDescent="0.2"/>
    <row r="165" ht="17.25" customHeight="1" x14ac:dyDescent="0.2"/>
    <row r="166" ht="17.25" customHeight="1" x14ac:dyDescent="0.2"/>
    <row r="167" ht="17.25" customHeight="1" x14ac:dyDescent="0.2"/>
    <row r="168" ht="17.25" customHeight="1" x14ac:dyDescent="0.2"/>
    <row r="169" ht="17.25" customHeight="1" x14ac:dyDescent="0.2"/>
    <row r="170" ht="17.25" customHeight="1" x14ac:dyDescent="0.2"/>
    <row r="171" ht="17.25" customHeight="1" x14ac:dyDescent="0.2"/>
    <row r="172" ht="17.25" customHeight="1" x14ac:dyDescent="0.2"/>
    <row r="173" ht="17.25" customHeight="1" x14ac:dyDescent="0.2"/>
    <row r="174" ht="17.25" customHeight="1" x14ac:dyDescent="0.2"/>
    <row r="175" ht="17.25" customHeight="1" x14ac:dyDescent="0.2"/>
    <row r="176" ht="17.25" customHeight="1" x14ac:dyDescent="0.2"/>
    <row r="177" ht="17.25" customHeight="1" x14ac:dyDescent="0.2"/>
    <row r="178" ht="17.25" customHeight="1" x14ac:dyDescent="0.2"/>
    <row r="179" ht="17.25" customHeight="1" x14ac:dyDescent="0.2"/>
    <row r="180" ht="17.25" customHeight="1" x14ac:dyDescent="0.2"/>
    <row r="181" ht="17.25" customHeight="1" x14ac:dyDescent="0.2"/>
    <row r="182" ht="17.25" customHeight="1" x14ac:dyDescent="0.2"/>
    <row r="183" ht="17.25" customHeight="1" x14ac:dyDescent="0.2"/>
    <row r="184" ht="17.25" customHeight="1" x14ac:dyDescent="0.2"/>
    <row r="185" ht="17.25" customHeight="1" x14ac:dyDescent="0.2"/>
    <row r="186" ht="17.25" customHeight="1" x14ac:dyDescent="0.2"/>
    <row r="187" ht="17.25" customHeight="1" x14ac:dyDescent="0.2"/>
    <row r="188" ht="17.25" customHeight="1" x14ac:dyDescent="0.2"/>
    <row r="189" ht="17.25" customHeight="1" x14ac:dyDescent="0.2"/>
    <row r="190" ht="17.25" customHeight="1" x14ac:dyDescent="0.2"/>
    <row r="191" ht="17.25" customHeight="1" x14ac:dyDescent="0.2"/>
    <row r="192" ht="17.25" customHeight="1" x14ac:dyDescent="0.2"/>
    <row r="193" ht="17.25" customHeight="1" x14ac:dyDescent="0.2"/>
    <row r="194" ht="17.25" customHeight="1" x14ac:dyDescent="0.2"/>
    <row r="195" ht="17.25" customHeight="1" x14ac:dyDescent="0.2"/>
    <row r="196" ht="17.25" customHeight="1" x14ac:dyDescent="0.2"/>
    <row r="197" ht="17.25" customHeight="1" x14ac:dyDescent="0.2"/>
    <row r="198" ht="17.25" customHeight="1" x14ac:dyDescent="0.2"/>
    <row r="199" ht="17.25" customHeight="1" x14ac:dyDescent="0.2"/>
    <row r="200" ht="17.25" customHeight="1" x14ac:dyDescent="0.2"/>
    <row r="201" ht="17.25" customHeight="1" x14ac:dyDescent="0.2"/>
    <row r="202" ht="17.25" customHeight="1" x14ac:dyDescent="0.2"/>
    <row r="203" ht="17.25" customHeight="1" x14ac:dyDescent="0.2"/>
    <row r="204" ht="17.25" customHeight="1" x14ac:dyDescent="0.2"/>
    <row r="205" ht="17.25" customHeight="1" x14ac:dyDescent="0.2"/>
    <row r="206" ht="17.25" customHeight="1" x14ac:dyDescent="0.2"/>
    <row r="207" ht="17.25" customHeight="1" x14ac:dyDescent="0.2"/>
    <row r="208" ht="17.25" customHeight="1" x14ac:dyDescent="0.2"/>
    <row r="209" ht="17.25" customHeight="1" x14ac:dyDescent="0.2"/>
    <row r="210" ht="17.25" customHeight="1" x14ac:dyDescent="0.2"/>
    <row r="211" ht="17.25" customHeight="1" x14ac:dyDescent="0.2"/>
    <row r="212" ht="17.25" customHeight="1" x14ac:dyDescent="0.2"/>
    <row r="213" ht="17.25" customHeight="1" x14ac:dyDescent="0.2"/>
    <row r="214" ht="17.25" customHeight="1" x14ac:dyDescent="0.2"/>
    <row r="215" ht="17.25" customHeight="1" x14ac:dyDescent="0.2"/>
    <row r="216" ht="17.25" customHeight="1" x14ac:dyDescent="0.2"/>
    <row r="217" ht="17.25" customHeight="1" x14ac:dyDescent="0.2"/>
    <row r="218" ht="17.25" customHeight="1" x14ac:dyDescent="0.2"/>
    <row r="219" ht="17.25" customHeight="1" x14ac:dyDescent="0.2"/>
    <row r="220" ht="17.25" customHeight="1" x14ac:dyDescent="0.2"/>
    <row r="221" ht="17.25" customHeight="1" x14ac:dyDescent="0.2"/>
    <row r="222" ht="17.25" customHeight="1" x14ac:dyDescent="0.2"/>
    <row r="223" ht="17.25" customHeight="1" x14ac:dyDescent="0.2"/>
    <row r="224" ht="17.25" customHeight="1" x14ac:dyDescent="0.2"/>
    <row r="225" ht="17.25" customHeight="1" x14ac:dyDescent="0.2"/>
    <row r="226" ht="17.25" customHeight="1" x14ac:dyDescent="0.2"/>
    <row r="227" ht="17.25" customHeight="1" x14ac:dyDescent="0.2"/>
    <row r="228" ht="17.25" customHeight="1" x14ac:dyDescent="0.2"/>
    <row r="229" ht="17.25" customHeight="1" x14ac:dyDescent="0.2"/>
    <row r="230" ht="17.25" customHeight="1" x14ac:dyDescent="0.2"/>
    <row r="231" ht="17.25" customHeight="1" x14ac:dyDescent="0.2"/>
    <row r="232" ht="17.25" customHeight="1" x14ac:dyDescent="0.2"/>
    <row r="233" ht="17.25" customHeight="1" x14ac:dyDescent="0.2"/>
    <row r="234" ht="17.25" customHeight="1" x14ac:dyDescent="0.2"/>
    <row r="235" ht="17.25" customHeight="1" x14ac:dyDescent="0.2"/>
    <row r="236" ht="17.25" customHeight="1" x14ac:dyDescent="0.2"/>
    <row r="237" ht="17.25" customHeight="1" x14ac:dyDescent="0.2"/>
    <row r="238" ht="17.25" customHeight="1" x14ac:dyDescent="0.2"/>
    <row r="239" ht="17.25" customHeight="1" x14ac:dyDescent="0.2"/>
    <row r="240" ht="17.25" customHeight="1" x14ac:dyDescent="0.2"/>
    <row r="241" ht="17.25" customHeight="1" x14ac:dyDescent="0.2"/>
    <row r="242" ht="17.25" customHeight="1" x14ac:dyDescent="0.2"/>
    <row r="243" ht="17.25" customHeight="1" x14ac:dyDescent="0.2"/>
    <row r="244" ht="17.25" customHeight="1" x14ac:dyDescent="0.2"/>
    <row r="245" ht="17.25" customHeight="1" x14ac:dyDescent="0.2"/>
    <row r="246" ht="17.25" customHeight="1" x14ac:dyDescent="0.2"/>
    <row r="247" ht="17.25" customHeight="1" x14ac:dyDescent="0.2"/>
    <row r="248" ht="17.25" customHeight="1" x14ac:dyDescent="0.2"/>
    <row r="249" ht="17.25" customHeight="1" x14ac:dyDescent="0.2"/>
    <row r="250" ht="17.25" customHeight="1" x14ac:dyDescent="0.2"/>
    <row r="251" ht="17.25" customHeight="1" x14ac:dyDescent="0.2"/>
    <row r="252" ht="17.25" customHeight="1" x14ac:dyDescent="0.2"/>
    <row r="253" ht="17.25" customHeight="1" x14ac:dyDescent="0.2"/>
    <row r="254" ht="17.25" customHeight="1" x14ac:dyDescent="0.2"/>
    <row r="255" ht="17.25" customHeight="1" x14ac:dyDescent="0.2"/>
    <row r="256" ht="17.25" customHeight="1" x14ac:dyDescent="0.2"/>
    <row r="257" ht="17.25" customHeight="1" x14ac:dyDescent="0.2"/>
    <row r="258" ht="17.25" customHeight="1" x14ac:dyDescent="0.2"/>
    <row r="259" ht="17.25" customHeight="1" x14ac:dyDescent="0.2"/>
    <row r="260" ht="17.25" customHeight="1" x14ac:dyDescent="0.2"/>
    <row r="261" ht="17.25" customHeight="1" x14ac:dyDescent="0.2"/>
    <row r="262" ht="17.25" customHeight="1" x14ac:dyDescent="0.2"/>
    <row r="263" ht="17.25" customHeight="1" x14ac:dyDescent="0.2"/>
    <row r="264" ht="17.25" customHeight="1" x14ac:dyDescent="0.2"/>
    <row r="265" ht="17.25" customHeight="1" x14ac:dyDescent="0.2"/>
    <row r="266" ht="17.25" customHeight="1" x14ac:dyDescent="0.2"/>
    <row r="267" ht="17.25" customHeight="1" x14ac:dyDescent="0.2"/>
    <row r="268" ht="17.25" customHeight="1" x14ac:dyDescent="0.2"/>
    <row r="269" ht="17.25" customHeight="1" x14ac:dyDescent="0.2"/>
    <row r="270" ht="17.25" customHeight="1" x14ac:dyDescent="0.2"/>
    <row r="271" ht="17.25" customHeight="1" x14ac:dyDescent="0.2"/>
    <row r="272" ht="17.25" customHeight="1" x14ac:dyDescent="0.2"/>
    <row r="273" ht="17.25" customHeight="1" x14ac:dyDescent="0.2"/>
    <row r="274" ht="17.25" customHeight="1" x14ac:dyDescent="0.2"/>
    <row r="275" ht="17.25" customHeight="1" x14ac:dyDescent="0.2"/>
    <row r="276" ht="17.25" customHeight="1" x14ac:dyDescent="0.2"/>
    <row r="277" ht="17.25" customHeight="1" x14ac:dyDescent="0.2"/>
    <row r="278" ht="17.25" customHeight="1" x14ac:dyDescent="0.2"/>
    <row r="279" ht="17.25" customHeight="1" x14ac:dyDescent="0.2"/>
    <row r="280" ht="17.25" customHeight="1" x14ac:dyDescent="0.2"/>
    <row r="281" ht="17.25" customHeight="1" x14ac:dyDescent="0.2"/>
    <row r="282" ht="17.25" customHeight="1" x14ac:dyDescent="0.2"/>
    <row r="283" ht="17.25" customHeight="1" x14ac:dyDescent="0.2"/>
    <row r="284" ht="17.25" customHeight="1" x14ac:dyDescent="0.2"/>
    <row r="285" ht="17.25" customHeight="1" x14ac:dyDescent="0.2"/>
    <row r="286" ht="17.25" customHeight="1" x14ac:dyDescent="0.2"/>
    <row r="287" ht="17.25" customHeight="1" x14ac:dyDescent="0.2"/>
    <row r="288" ht="17.25" customHeight="1" x14ac:dyDescent="0.2"/>
    <row r="289" ht="17.25" customHeight="1" x14ac:dyDescent="0.2"/>
    <row r="290" ht="17.25" customHeight="1" x14ac:dyDescent="0.2"/>
    <row r="291" ht="17.25" customHeight="1" x14ac:dyDescent="0.2"/>
    <row r="292" ht="17.25" customHeight="1" x14ac:dyDescent="0.2"/>
    <row r="293" ht="17.25" customHeight="1" x14ac:dyDescent="0.2"/>
    <row r="294" ht="17.25" customHeight="1" x14ac:dyDescent="0.2"/>
    <row r="295" ht="17.25" customHeight="1" x14ac:dyDescent="0.2"/>
    <row r="296" ht="17.25" customHeight="1" x14ac:dyDescent="0.2"/>
    <row r="297" ht="17.25" customHeight="1" x14ac:dyDescent="0.2"/>
    <row r="298" ht="17.25" customHeight="1" x14ac:dyDescent="0.2"/>
    <row r="299" ht="17.25" customHeight="1" x14ac:dyDescent="0.2"/>
    <row r="300" ht="17.25" customHeight="1" x14ac:dyDescent="0.2"/>
    <row r="301" ht="17.25" customHeight="1" x14ac:dyDescent="0.2"/>
    <row r="302" ht="17.25" customHeight="1" x14ac:dyDescent="0.2"/>
    <row r="303" ht="17.25" customHeight="1" x14ac:dyDescent="0.2"/>
    <row r="304" ht="17.25" customHeight="1" x14ac:dyDescent="0.2"/>
    <row r="305" ht="17.25" customHeight="1" x14ac:dyDescent="0.2"/>
    <row r="306" ht="17.25" customHeight="1" x14ac:dyDescent="0.2"/>
    <row r="307" ht="17.25" customHeight="1" x14ac:dyDescent="0.2"/>
    <row r="308" ht="17.25" customHeight="1" x14ac:dyDescent="0.2"/>
    <row r="309" ht="17.25" customHeight="1" x14ac:dyDescent="0.2"/>
    <row r="310" ht="17.25" customHeight="1" x14ac:dyDescent="0.2"/>
    <row r="311" ht="17.25" customHeight="1" x14ac:dyDescent="0.2"/>
    <row r="312" ht="17.25" customHeight="1" x14ac:dyDescent="0.2"/>
    <row r="313" ht="17.25" customHeight="1" x14ac:dyDescent="0.2"/>
    <row r="314" ht="17.25" customHeight="1" x14ac:dyDescent="0.2"/>
    <row r="315" ht="17.25" customHeight="1" x14ac:dyDescent="0.2"/>
    <row r="316" ht="17.25" customHeight="1" x14ac:dyDescent="0.2"/>
    <row r="317" ht="17.25" customHeight="1" x14ac:dyDescent="0.2"/>
    <row r="318" ht="17.25" customHeight="1" x14ac:dyDescent="0.2"/>
    <row r="319" ht="17.25" customHeight="1" x14ac:dyDescent="0.2"/>
    <row r="320" ht="17.25" customHeight="1" x14ac:dyDescent="0.2"/>
    <row r="321" ht="17.25" customHeight="1" x14ac:dyDescent="0.2"/>
    <row r="322" ht="17.25" customHeight="1" x14ac:dyDescent="0.2"/>
    <row r="323" ht="17.25" customHeight="1" x14ac:dyDescent="0.2"/>
    <row r="324" ht="17.25" customHeight="1" x14ac:dyDescent="0.2"/>
    <row r="325" ht="17.25" customHeight="1" x14ac:dyDescent="0.2"/>
    <row r="326" ht="17.25" customHeight="1" x14ac:dyDescent="0.2"/>
    <row r="327" ht="17.25" customHeight="1" x14ac:dyDescent="0.2"/>
    <row r="328" ht="17.25" customHeight="1" x14ac:dyDescent="0.2"/>
    <row r="329" ht="17.25" customHeight="1" x14ac:dyDescent="0.2"/>
    <row r="330" ht="17.25" customHeight="1" x14ac:dyDescent="0.2"/>
    <row r="331" ht="17.25" customHeight="1" x14ac:dyDescent="0.2"/>
    <row r="332" ht="17.25" customHeight="1" x14ac:dyDescent="0.2"/>
    <row r="333" ht="17.25" customHeight="1" x14ac:dyDescent="0.2"/>
    <row r="334" ht="17.25" customHeight="1" x14ac:dyDescent="0.2"/>
    <row r="335" ht="17.25" customHeight="1" x14ac:dyDescent="0.2"/>
    <row r="336" ht="17.25" customHeight="1" x14ac:dyDescent="0.2"/>
    <row r="337" ht="17.25" customHeight="1" x14ac:dyDescent="0.2"/>
    <row r="338" ht="17.25" customHeight="1" x14ac:dyDescent="0.2"/>
    <row r="339" ht="17.25" customHeight="1" x14ac:dyDescent="0.2"/>
    <row r="340" ht="17.25" customHeight="1" x14ac:dyDescent="0.2"/>
    <row r="341" ht="17.25" customHeight="1" x14ac:dyDescent="0.2"/>
    <row r="342" ht="17.25" customHeight="1" x14ac:dyDescent="0.2"/>
    <row r="343" ht="17.25" customHeight="1" x14ac:dyDescent="0.2"/>
    <row r="344" ht="17.25" customHeight="1" x14ac:dyDescent="0.2"/>
    <row r="345" ht="17.25" customHeight="1" x14ac:dyDescent="0.2"/>
    <row r="346" ht="17.25" customHeight="1" x14ac:dyDescent="0.2"/>
    <row r="347" ht="17.25" customHeight="1" x14ac:dyDescent="0.2"/>
    <row r="348" ht="17.25" customHeight="1" x14ac:dyDescent="0.2"/>
    <row r="349" ht="17.25" customHeight="1" x14ac:dyDescent="0.2"/>
    <row r="350" ht="17.25" customHeight="1" x14ac:dyDescent="0.2"/>
    <row r="351" ht="17.25" customHeight="1" x14ac:dyDescent="0.2"/>
    <row r="352" ht="17.25" customHeight="1" x14ac:dyDescent="0.2"/>
    <row r="353" ht="17.25" customHeight="1" x14ac:dyDescent="0.2"/>
    <row r="354" ht="17.25" customHeight="1" x14ac:dyDescent="0.2"/>
    <row r="355" ht="17.25" customHeight="1" x14ac:dyDescent="0.2"/>
    <row r="356" ht="17.25" customHeight="1" x14ac:dyDescent="0.2"/>
    <row r="357" ht="17.25" customHeight="1" x14ac:dyDescent="0.2"/>
    <row r="358" ht="17.25" customHeight="1" x14ac:dyDescent="0.2"/>
    <row r="359" ht="17.25" customHeight="1" x14ac:dyDescent="0.2"/>
    <row r="360" ht="17.25" customHeight="1" x14ac:dyDescent="0.2"/>
    <row r="361" ht="17.25" customHeight="1" x14ac:dyDescent="0.2"/>
    <row r="362" ht="17.25" customHeight="1" x14ac:dyDescent="0.2"/>
    <row r="363" ht="17.25" customHeight="1" x14ac:dyDescent="0.2"/>
    <row r="364" ht="17.25" customHeight="1" x14ac:dyDescent="0.2"/>
    <row r="365" ht="17.25" customHeight="1" x14ac:dyDescent="0.2"/>
    <row r="366" ht="17.25" customHeight="1" x14ac:dyDescent="0.2"/>
    <row r="367" ht="17.25" customHeight="1" x14ac:dyDescent="0.2"/>
    <row r="368" ht="17.25" customHeight="1" x14ac:dyDescent="0.2"/>
    <row r="369" ht="17.25" customHeight="1" x14ac:dyDescent="0.2"/>
    <row r="370" ht="17.25" customHeight="1" x14ac:dyDescent="0.2"/>
    <row r="371" ht="17.25" customHeight="1" x14ac:dyDescent="0.2"/>
    <row r="372" ht="17.25" customHeight="1" x14ac:dyDescent="0.2"/>
    <row r="373" ht="17.25" customHeight="1" x14ac:dyDescent="0.2"/>
    <row r="374" ht="17.25" customHeight="1" x14ac:dyDescent="0.2"/>
    <row r="375" ht="17.25" customHeight="1" x14ac:dyDescent="0.2"/>
    <row r="376" ht="17.25" customHeight="1" x14ac:dyDescent="0.2"/>
    <row r="377" ht="17.25" customHeight="1" x14ac:dyDescent="0.2"/>
    <row r="378" ht="17.25" customHeight="1" x14ac:dyDescent="0.2"/>
    <row r="379" ht="17.25" customHeight="1" x14ac:dyDescent="0.2"/>
    <row r="380" ht="17.25" customHeight="1" x14ac:dyDescent="0.2"/>
    <row r="381" ht="17.25" customHeight="1" x14ac:dyDescent="0.2"/>
    <row r="382" ht="17.25" customHeight="1" x14ac:dyDescent="0.2"/>
    <row r="383" ht="17.25" customHeight="1" x14ac:dyDescent="0.2"/>
    <row r="384" ht="17.25" customHeight="1" x14ac:dyDescent="0.2"/>
    <row r="385" ht="17.25" customHeight="1" x14ac:dyDescent="0.2"/>
    <row r="386" ht="17.25" customHeight="1" x14ac:dyDescent="0.2"/>
    <row r="387" ht="17.25" customHeight="1" x14ac:dyDescent="0.2"/>
    <row r="388" ht="17.25" customHeight="1" x14ac:dyDescent="0.2"/>
    <row r="389" ht="17.25" customHeight="1" x14ac:dyDescent="0.2"/>
    <row r="390" ht="17.25" customHeight="1" x14ac:dyDescent="0.2"/>
    <row r="391" ht="17.25" customHeight="1" x14ac:dyDescent="0.2"/>
    <row r="392" ht="17.25" customHeight="1" x14ac:dyDescent="0.2"/>
    <row r="393" ht="17.25" customHeight="1" x14ac:dyDescent="0.2"/>
    <row r="394" ht="17.25" customHeight="1" x14ac:dyDescent="0.2"/>
    <row r="395" ht="17.25" customHeight="1" x14ac:dyDescent="0.2"/>
    <row r="396" ht="17.25" customHeight="1" x14ac:dyDescent="0.2"/>
    <row r="397" ht="17.25" customHeight="1" x14ac:dyDescent="0.2"/>
    <row r="398" ht="17.25" customHeight="1" x14ac:dyDescent="0.2"/>
    <row r="399" ht="17.25" customHeight="1" x14ac:dyDescent="0.2"/>
    <row r="400" ht="17.25" customHeight="1" x14ac:dyDescent="0.2"/>
    <row r="401" ht="17.25" customHeight="1" x14ac:dyDescent="0.2"/>
    <row r="402" ht="17.25" customHeight="1" x14ac:dyDescent="0.2"/>
    <row r="403" ht="17.25" customHeight="1" x14ac:dyDescent="0.2"/>
    <row r="404" ht="17.25" customHeight="1" x14ac:dyDescent="0.2"/>
    <row r="405" ht="17.25" customHeight="1" x14ac:dyDescent="0.2"/>
    <row r="406" ht="17.25" customHeight="1" x14ac:dyDescent="0.2"/>
    <row r="407" ht="17.25" customHeight="1" x14ac:dyDescent="0.2"/>
    <row r="408" ht="17.25" customHeight="1" x14ac:dyDescent="0.2"/>
    <row r="409" ht="17.25" customHeight="1" x14ac:dyDescent="0.2"/>
    <row r="410" ht="17.25" customHeight="1" x14ac:dyDescent="0.2"/>
    <row r="411" ht="17.25" customHeight="1" x14ac:dyDescent="0.2"/>
    <row r="412" ht="17.25" customHeight="1" x14ac:dyDescent="0.2"/>
    <row r="413" ht="17.25" customHeight="1" x14ac:dyDescent="0.2"/>
    <row r="414" ht="17.25" customHeight="1" x14ac:dyDescent="0.2"/>
    <row r="415" ht="17.25" customHeight="1" x14ac:dyDescent="0.2"/>
    <row r="416" ht="17.25" customHeight="1" x14ac:dyDescent="0.2"/>
    <row r="417" ht="17.25" customHeight="1" x14ac:dyDescent="0.2"/>
    <row r="418" ht="17.25" customHeight="1" x14ac:dyDescent="0.2"/>
    <row r="419" ht="17.25" customHeight="1" x14ac:dyDescent="0.2"/>
    <row r="420" ht="17.25" customHeight="1" x14ac:dyDescent="0.2"/>
    <row r="421" ht="17.25" customHeight="1" x14ac:dyDescent="0.2"/>
    <row r="422" ht="17.25" customHeight="1" x14ac:dyDescent="0.2"/>
    <row r="423" ht="17.25" customHeight="1" x14ac:dyDescent="0.2"/>
    <row r="424" ht="17.25" customHeight="1" x14ac:dyDescent="0.2"/>
    <row r="425" ht="17.25" customHeight="1" x14ac:dyDescent="0.2"/>
    <row r="426" ht="17.25" customHeight="1" x14ac:dyDescent="0.2"/>
    <row r="427" ht="17.25" customHeight="1" x14ac:dyDescent="0.2"/>
    <row r="428" ht="17.25" customHeight="1" x14ac:dyDescent="0.2"/>
    <row r="429" ht="17.25" customHeight="1" x14ac:dyDescent="0.2"/>
    <row r="430" ht="17.25" customHeight="1" x14ac:dyDescent="0.2"/>
    <row r="431" ht="17.25" customHeight="1" x14ac:dyDescent="0.2"/>
    <row r="432" ht="17.25" customHeight="1" x14ac:dyDescent="0.2"/>
    <row r="433" ht="17.25" customHeight="1" x14ac:dyDescent="0.2"/>
    <row r="434" ht="17.25" customHeight="1" x14ac:dyDescent="0.2"/>
    <row r="435" ht="17.25" customHeight="1" x14ac:dyDescent="0.2"/>
    <row r="436" ht="17.25" customHeight="1" x14ac:dyDescent="0.2"/>
    <row r="437" ht="17.25" customHeight="1" x14ac:dyDescent="0.2"/>
    <row r="438" ht="17.25" customHeight="1" x14ac:dyDescent="0.2"/>
    <row r="439" ht="17.25" customHeight="1" x14ac:dyDescent="0.2"/>
    <row r="440" ht="17.25" customHeight="1" x14ac:dyDescent="0.2"/>
    <row r="441" ht="17.25" customHeight="1" x14ac:dyDescent="0.2"/>
    <row r="442" ht="17.25" customHeight="1" x14ac:dyDescent="0.2"/>
    <row r="443" ht="17.25" customHeight="1" x14ac:dyDescent="0.2"/>
    <row r="444" ht="17.25" customHeight="1" x14ac:dyDescent="0.2"/>
    <row r="445" ht="17.25" customHeight="1" x14ac:dyDescent="0.2"/>
    <row r="446" ht="17.25" customHeight="1" x14ac:dyDescent="0.2"/>
    <row r="447" ht="17.25" customHeight="1" x14ac:dyDescent="0.2"/>
    <row r="448" ht="17.25" customHeight="1" x14ac:dyDescent="0.2"/>
    <row r="449" ht="17.25" customHeight="1" x14ac:dyDescent="0.2"/>
    <row r="450" ht="17.25" customHeight="1" x14ac:dyDescent="0.2"/>
    <row r="451" ht="17.25" customHeight="1" x14ac:dyDescent="0.2"/>
    <row r="452" ht="17.25" customHeight="1" x14ac:dyDescent="0.2"/>
    <row r="453" ht="17.25" customHeight="1" x14ac:dyDescent="0.2"/>
    <row r="454" ht="17.25" customHeight="1" x14ac:dyDescent="0.2"/>
    <row r="455" ht="17.25" customHeight="1" x14ac:dyDescent="0.2"/>
    <row r="456" ht="17.25" customHeight="1" x14ac:dyDescent="0.2"/>
    <row r="457" ht="17.25" customHeight="1" x14ac:dyDescent="0.2"/>
    <row r="458" ht="17.25" customHeight="1" x14ac:dyDescent="0.2"/>
    <row r="459" ht="17.25" customHeight="1" x14ac:dyDescent="0.2"/>
    <row r="460" ht="17.25" customHeight="1" x14ac:dyDescent="0.2"/>
    <row r="461" ht="17.25" customHeight="1" x14ac:dyDescent="0.2"/>
    <row r="462" ht="17.25" customHeight="1" x14ac:dyDescent="0.2"/>
    <row r="463" ht="17.25" customHeight="1" x14ac:dyDescent="0.2"/>
    <row r="464" ht="17.25" customHeight="1" x14ac:dyDescent="0.2"/>
    <row r="465" ht="17.25" customHeight="1" x14ac:dyDescent="0.2"/>
    <row r="466" ht="17.25" customHeight="1" x14ac:dyDescent="0.2"/>
    <row r="467" ht="17.25" customHeight="1" x14ac:dyDescent="0.2"/>
    <row r="468" ht="17.25" customHeight="1" x14ac:dyDescent="0.2"/>
    <row r="469" ht="17.25" customHeight="1" x14ac:dyDescent="0.2"/>
    <row r="470" ht="17.25" customHeight="1" x14ac:dyDescent="0.2"/>
    <row r="471" ht="17.25" customHeight="1" x14ac:dyDescent="0.2"/>
    <row r="472" ht="17.25" customHeight="1" x14ac:dyDescent="0.2"/>
    <row r="473" ht="17.25" customHeight="1" x14ac:dyDescent="0.2"/>
    <row r="474" ht="17.25" customHeight="1" x14ac:dyDescent="0.2"/>
    <row r="475" ht="17.25" customHeight="1" x14ac:dyDescent="0.2"/>
    <row r="476" ht="17.25" customHeight="1" x14ac:dyDescent="0.2"/>
    <row r="477" ht="17.25" customHeight="1" x14ac:dyDescent="0.2"/>
    <row r="478" ht="17.25" customHeight="1" x14ac:dyDescent="0.2"/>
    <row r="479" ht="17.25" customHeight="1" x14ac:dyDescent="0.2"/>
    <row r="480" ht="17.25" customHeight="1" x14ac:dyDescent="0.2"/>
    <row r="481" ht="17.25" customHeight="1" x14ac:dyDescent="0.2"/>
    <row r="482" ht="17.25" customHeight="1" x14ac:dyDescent="0.2"/>
    <row r="483" ht="17.25" customHeight="1" x14ac:dyDescent="0.2"/>
    <row r="484" ht="17.25" customHeight="1" x14ac:dyDescent="0.2"/>
    <row r="485" ht="17.25" customHeight="1" x14ac:dyDescent="0.2"/>
    <row r="486" ht="17.25" customHeight="1" x14ac:dyDescent="0.2"/>
    <row r="487" ht="17.25" customHeight="1" x14ac:dyDescent="0.2"/>
    <row r="488" ht="17.25" customHeight="1" x14ac:dyDescent="0.2"/>
    <row r="489" ht="17.25" customHeight="1" x14ac:dyDescent="0.2"/>
    <row r="490" ht="17.25" customHeight="1" x14ac:dyDescent="0.2"/>
    <row r="491" ht="17.25" customHeight="1" x14ac:dyDescent="0.2"/>
    <row r="492" ht="17.25" customHeight="1" x14ac:dyDescent="0.2"/>
    <row r="493" ht="17.25" customHeight="1" x14ac:dyDescent="0.2"/>
    <row r="494" ht="17.25" customHeight="1" x14ac:dyDescent="0.2"/>
    <row r="495" ht="17.25" customHeight="1" x14ac:dyDescent="0.2"/>
    <row r="496" ht="17.25" customHeight="1" x14ac:dyDescent="0.2"/>
    <row r="497" ht="17.25" customHeight="1" x14ac:dyDescent="0.2"/>
    <row r="498" ht="17.25" customHeight="1" x14ac:dyDescent="0.2"/>
    <row r="499" ht="17.25" customHeight="1" x14ac:dyDescent="0.2"/>
    <row r="500" ht="17.25" customHeight="1" x14ac:dyDescent="0.2"/>
    <row r="501" ht="17.25" customHeight="1" x14ac:dyDescent="0.2"/>
    <row r="502" ht="17.25" customHeight="1" x14ac:dyDescent="0.2"/>
    <row r="503" ht="17.25" customHeight="1" x14ac:dyDescent="0.2"/>
    <row r="504" ht="17.25" customHeight="1" x14ac:dyDescent="0.2"/>
    <row r="505" ht="17.25" customHeight="1" x14ac:dyDescent="0.2"/>
    <row r="506" ht="17.25" customHeight="1" x14ac:dyDescent="0.2"/>
    <row r="507" ht="17.25" customHeight="1" x14ac:dyDescent="0.2"/>
    <row r="508" ht="17.25" customHeight="1" x14ac:dyDescent="0.2"/>
    <row r="509" ht="17.25" customHeight="1" x14ac:dyDescent="0.2"/>
    <row r="510" ht="17.25" customHeight="1" x14ac:dyDescent="0.2"/>
    <row r="511" ht="17.25" customHeight="1" x14ac:dyDescent="0.2"/>
    <row r="512" ht="17.25" customHeight="1" x14ac:dyDescent="0.2"/>
    <row r="513" ht="17.25" customHeight="1" x14ac:dyDescent="0.2"/>
    <row r="514" ht="17.25" customHeight="1" x14ac:dyDescent="0.2"/>
    <row r="515" ht="17.25" customHeight="1" x14ac:dyDescent="0.2"/>
    <row r="516" ht="17.25" customHeight="1" x14ac:dyDescent="0.2"/>
    <row r="517" ht="17.25" customHeight="1" x14ac:dyDescent="0.2"/>
    <row r="518" ht="17.25" customHeight="1" x14ac:dyDescent="0.2"/>
    <row r="519" ht="17.25" customHeight="1" x14ac:dyDescent="0.2"/>
    <row r="520" ht="17.25" customHeight="1" x14ac:dyDescent="0.2"/>
    <row r="521" ht="17.25" customHeight="1" x14ac:dyDescent="0.2"/>
    <row r="522" ht="17.25" customHeight="1" x14ac:dyDescent="0.2"/>
    <row r="523" ht="17.25" customHeight="1" x14ac:dyDescent="0.2"/>
    <row r="524" ht="17.25" customHeight="1" x14ac:dyDescent="0.2"/>
    <row r="525" ht="17.25" customHeight="1" x14ac:dyDescent="0.2"/>
    <row r="526" ht="17.25" customHeight="1" x14ac:dyDescent="0.2"/>
    <row r="527" ht="17.25" customHeight="1" x14ac:dyDescent="0.2"/>
    <row r="528" ht="17.25" customHeight="1" x14ac:dyDescent="0.2"/>
    <row r="529" ht="17.25" customHeight="1" x14ac:dyDescent="0.2"/>
    <row r="530" ht="17.25" customHeight="1" x14ac:dyDescent="0.2"/>
    <row r="531" ht="17.25" customHeight="1" x14ac:dyDescent="0.2"/>
    <row r="532" ht="17.25" customHeight="1" x14ac:dyDescent="0.2"/>
    <row r="533" ht="17.25" customHeight="1" x14ac:dyDescent="0.2"/>
    <row r="534" ht="17.25" customHeight="1" x14ac:dyDescent="0.2"/>
    <row r="535" ht="17.25" customHeight="1" x14ac:dyDescent="0.2"/>
    <row r="536" ht="17.25" customHeight="1" x14ac:dyDescent="0.2"/>
    <row r="537" ht="17.25" customHeight="1" x14ac:dyDescent="0.2"/>
    <row r="538" ht="17.25" customHeight="1" x14ac:dyDescent="0.2"/>
    <row r="539" ht="17.25" customHeight="1" x14ac:dyDescent="0.2"/>
    <row r="540" ht="17.25" customHeight="1" x14ac:dyDescent="0.2"/>
    <row r="541" ht="17.25" customHeight="1" x14ac:dyDescent="0.2"/>
    <row r="542" ht="17.25" customHeight="1" x14ac:dyDescent="0.2"/>
    <row r="543" ht="17.25" customHeight="1" x14ac:dyDescent="0.2"/>
    <row r="544" ht="17.25" customHeight="1" x14ac:dyDescent="0.2"/>
    <row r="545" ht="17.25" customHeight="1" x14ac:dyDescent="0.2"/>
    <row r="546" ht="17.25" customHeight="1" x14ac:dyDescent="0.2"/>
    <row r="547" ht="17.25" customHeight="1" x14ac:dyDescent="0.2"/>
    <row r="548" ht="17.25" customHeight="1" x14ac:dyDescent="0.2"/>
    <row r="549" ht="17.25" customHeight="1" x14ac:dyDescent="0.2"/>
    <row r="550" ht="17.25" customHeight="1" x14ac:dyDescent="0.2"/>
    <row r="551" ht="17.25" customHeight="1" x14ac:dyDescent="0.2"/>
    <row r="552" ht="17.25" customHeight="1" x14ac:dyDescent="0.2"/>
    <row r="553" ht="17.25" customHeight="1" x14ac:dyDescent="0.2"/>
    <row r="554" ht="17.25" customHeight="1" x14ac:dyDescent="0.2"/>
    <row r="555" ht="17.25" customHeight="1" x14ac:dyDescent="0.2"/>
    <row r="556" ht="17.25" customHeight="1" x14ac:dyDescent="0.2"/>
    <row r="557" ht="17.25" customHeight="1" x14ac:dyDescent="0.2"/>
    <row r="558" ht="17.25" customHeight="1" x14ac:dyDescent="0.2"/>
    <row r="559" ht="17.25" customHeight="1" x14ac:dyDescent="0.2"/>
    <row r="560" ht="17.25" customHeight="1" x14ac:dyDescent="0.2"/>
    <row r="561" ht="17.25" customHeight="1" x14ac:dyDescent="0.2"/>
    <row r="562" ht="17.25" customHeight="1" x14ac:dyDescent="0.2"/>
    <row r="563" ht="17.25" customHeight="1" x14ac:dyDescent="0.2"/>
    <row r="564" ht="17.25" customHeight="1" x14ac:dyDescent="0.2"/>
    <row r="565" ht="17.25" customHeight="1" x14ac:dyDescent="0.2"/>
    <row r="566" ht="17.25" customHeight="1" x14ac:dyDescent="0.2"/>
    <row r="567" ht="17.25" customHeight="1" x14ac:dyDescent="0.2"/>
    <row r="568" ht="17.25" customHeight="1" x14ac:dyDescent="0.2"/>
    <row r="569" ht="17.25" customHeight="1" x14ac:dyDescent="0.2"/>
    <row r="570" ht="17.25" customHeight="1" x14ac:dyDescent="0.2"/>
    <row r="571" ht="17.25" customHeight="1" x14ac:dyDescent="0.2"/>
    <row r="572" ht="17.25" customHeight="1" x14ac:dyDescent="0.2"/>
    <row r="573" ht="17.25" customHeight="1" x14ac:dyDescent="0.2"/>
    <row r="574" ht="17.25" customHeight="1" x14ac:dyDescent="0.2"/>
    <row r="575" ht="17.25" customHeight="1" x14ac:dyDescent="0.2"/>
    <row r="576" ht="17.25" customHeight="1" x14ac:dyDescent="0.2"/>
    <row r="577" ht="17.25" customHeight="1" x14ac:dyDescent="0.2"/>
    <row r="578" ht="17.25" customHeight="1" x14ac:dyDescent="0.2"/>
    <row r="579" ht="17.25" customHeight="1" x14ac:dyDescent="0.2"/>
    <row r="580" ht="17.25" customHeight="1" x14ac:dyDescent="0.2"/>
    <row r="581" ht="17.25" customHeight="1" x14ac:dyDescent="0.2"/>
    <row r="582" ht="17.25" customHeight="1" x14ac:dyDescent="0.2"/>
    <row r="583" ht="17.25" customHeight="1" x14ac:dyDescent="0.2"/>
    <row r="584" ht="17.25" customHeight="1" x14ac:dyDescent="0.2"/>
    <row r="585" ht="17.25" customHeight="1" x14ac:dyDescent="0.2"/>
    <row r="586" ht="17.25" customHeight="1" x14ac:dyDescent="0.2"/>
    <row r="587" ht="17.25" customHeight="1" x14ac:dyDescent="0.2"/>
    <row r="588" ht="17.25" customHeight="1" x14ac:dyDescent="0.2"/>
    <row r="589" ht="17.25" customHeight="1" x14ac:dyDescent="0.2"/>
    <row r="590" ht="17.25" customHeight="1" x14ac:dyDescent="0.2"/>
    <row r="591" ht="17.25" customHeight="1" x14ac:dyDescent="0.2"/>
    <row r="592" ht="17.25" customHeight="1" x14ac:dyDescent="0.2"/>
    <row r="593" ht="17.25" customHeight="1" x14ac:dyDescent="0.2"/>
    <row r="594" ht="17.25" customHeight="1" x14ac:dyDescent="0.2"/>
    <row r="595" ht="17.25" customHeight="1" x14ac:dyDescent="0.2"/>
    <row r="596" ht="17.25" customHeight="1" x14ac:dyDescent="0.2"/>
    <row r="597" ht="17.25" customHeight="1" x14ac:dyDescent="0.2"/>
    <row r="598" ht="17.25" customHeight="1" x14ac:dyDescent="0.2"/>
    <row r="599" ht="17.25" customHeight="1" x14ac:dyDescent="0.2"/>
    <row r="600" ht="17.25" customHeight="1" x14ac:dyDescent="0.2"/>
    <row r="601" ht="17.25" customHeight="1" x14ac:dyDescent="0.2"/>
    <row r="602" ht="17.25" customHeight="1" x14ac:dyDescent="0.2"/>
    <row r="603" ht="17.25" customHeight="1" x14ac:dyDescent="0.2"/>
    <row r="604" ht="17.25" customHeight="1" x14ac:dyDescent="0.2"/>
    <row r="605" ht="17.25" customHeight="1" x14ac:dyDescent="0.2"/>
    <row r="606" ht="17.25" customHeight="1" x14ac:dyDescent="0.2"/>
    <row r="607" ht="17.25" customHeight="1" x14ac:dyDescent="0.2"/>
    <row r="608" ht="17.25" customHeight="1" x14ac:dyDescent="0.2"/>
    <row r="609" ht="17.25" customHeight="1" x14ac:dyDescent="0.2"/>
    <row r="610" ht="17.25" customHeight="1" x14ac:dyDescent="0.2"/>
    <row r="611" ht="17.25" customHeight="1" x14ac:dyDescent="0.2"/>
    <row r="612" ht="17.25" customHeight="1" x14ac:dyDescent="0.2"/>
    <row r="613" ht="17.25" customHeight="1" x14ac:dyDescent="0.2"/>
    <row r="614" ht="17.25" customHeight="1" x14ac:dyDescent="0.2"/>
    <row r="615" ht="17.25" customHeight="1" x14ac:dyDescent="0.2"/>
    <row r="616" ht="17.25" customHeight="1" x14ac:dyDescent="0.2"/>
    <row r="617" ht="17.25" customHeight="1" x14ac:dyDescent="0.2"/>
    <row r="618" ht="17.25" customHeight="1" x14ac:dyDescent="0.2"/>
    <row r="619" ht="17.25" customHeight="1" x14ac:dyDescent="0.2"/>
    <row r="620" ht="17.25" customHeight="1" x14ac:dyDescent="0.2"/>
    <row r="621" ht="17.25" customHeight="1" x14ac:dyDescent="0.2"/>
    <row r="622" ht="17.25" customHeight="1" x14ac:dyDescent="0.2"/>
    <row r="623" ht="17.25" customHeight="1" x14ac:dyDescent="0.2"/>
    <row r="624" ht="17.25" customHeight="1" x14ac:dyDescent="0.2"/>
    <row r="625" ht="17.25" customHeight="1" x14ac:dyDescent="0.2"/>
    <row r="626" ht="17.25" customHeight="1" x14ac:dyDescent="0.2"/>
    <row r="627" ht="17.25" customHeight="1" x14ac:dyDescent="0.2"/>
    <row r="628" ht="17.25" customHeight="1" x14ac:dyDescent="0.2"/>
    <row r="629" ht="17.25" customHeight="1" x14ac:dyDescent="0.2"/>
    <row r="630" ht="17.25" customHeight="1" x14ac:dyDescent="0.2"/>
    <row r="631" ht="17.25" customHeight="1" x14ac:dyDescent="0.2"/>
    <row r="632" ht="17.25" customHeight="1" x14ac:dyDescent="0.2"/>
    <row r="633" ht="17.25" customHeight="1" x14ac:dyDescent="0.2"/>
    <row r="634" ht="17.25" customHeight="1" x14ac:dyDescent="0.2"/>
    <row r="635" ht="17.25" customHeight="1" x14ac:dyDescent="0.2"/>
    <row r="636" ht="17.25" customHeight="1" x14ac:dyDescent="0.2"/>
    <row r="637" ht="17.25" customHeight="1" x14ac:dyDescent="0.2"/>
    <row r="638" ht="17.25" customHeight="1" x14ac:dyDescent="0.2"/>
    <row r="639" ht="17.25" customHeight="1" x14ac:dyDescent="0.2"/>
    <row r="640" ht="17.25" customHeight="1" x14ac:dyDescent="0.2"/>
    <row r="641" ht="17.25" customHeight="1" x14ac:dyDescent="0.2"/>
    <row r="642" ht="17.25" customHeight="1" x14ac:dyDescent="0.2"/>
    <row r="643" ht="17.25" customHeight="1" x14ac:dyDescent="0.2"/>
    <row r="644" ht="17.25" customHeight="1" x14ac:dyDescent="0.2"/>
    <row r="645" ht="17.25" customHeight="1" x14ac:dyDescent="0.2"/>
    <row r="646" ht="17.25" customHeight="1" x14ac:dyDescent="0.2"/>
    <row r="647" ht="17.25" customHeight="1" x14ac:dyDescent="0.2"/>
    <row r="648" ht="17.25" customHeight="1" x14ac:dyDescent="0.2"/>
    <row r="649" ht="17.25" customHeight="1" x14ac:dyDescent="0.2"/>
    <row r="650" ht="17.25" customHeight="1" x14ac:dyDescent="0.2"/>
    <row r="651" ht="17.25" customHeight="1" x14ac:dyDescent="0.2"/>
    <row r="652" ht="17.25" customHeight="1" x14ac:dyDescent="0.2"/>
    <row r="653" ht="17.25" customHeight="1" x14ac:dyDescent="0.2"/>
    <row r="654" ht="17.25" customHeight="1" x14ac:dyDescent="0.2"/>
    <row r="655" ht="17.25" customHeight="1" x14ac:dyDescent="0.2"/>
    <row r="656" ht="17.25" customHeight="1" x14ac:dyDescent="0.2"/>
    <row r="657" ht="17.25" customHeight="1" x14ac:dyDescent="0.2"/>
    <row r="658" ht="17.25" customHeight="1" x14ac:dyDescent="0.2"/>
    <row r="659" ht="17.25" customHeight="1" x14ac:dyDescent="0.2"/>
    <row r="660" ht="17.25" customHeight="1" x14ac:dyDescent="0.2"/>
    <row r="661" ht="17.25" customHeight="1" x14ac:dyDescent="0.2"/>
    <row r="662" ht="17.25" customHeight="1" x14ac:dyDescent="0.2"/>
    <row r="663" ht="17.25" customHeight="1" x14ac:dyDescent="0.2"/>
    <row r="664" ht="17.25" customHeight="1" x14ac:dyDescent="0.2"/>
    <row r="665" ht="17.25" customHeight="1" x14ac:dyDescent="0.2"/>
    <row r="666" ht="17.25" customHeight="1" x14ac:dyDescent="0.2"/>
    <row r="667" ht="17.25" customHeight="1" x14ac:dyDescent="0.2"/>
    <row r="668" ht="17.25" customHeight="1" x14ac:dyDescent="0.2"/>
    <row r="669" ht="17.25" customHeight="1" x14ac:dyDescent="0.2"/>
    <row r="670" ht="17.25" customHeight="1" x14ac:dyDescent="0.2"/>
    <row r="671" ht="17.25" customHeight="1" x14ac:dyDescent="0.2"/>
    <row r="672" ht="17.25" customHeight="1" x14ac:dyDescent="0.2"/>
    <row r="673" ht="17.25" customHeight="1" x14ac:dyDescent="0.2"/>
    <row r="674" ht="17.25" customHeight="1" x14ac:dyDescent="0.2"/>
    <row r="675" ht="17.25" customHeight="1" x14ac:dyDescent="0.2"/>
    <row r="676" ht="17.25" customHeight="1" x14ac:dyDescent="0.2"/>
    <row r="677" ht="17.25" customHeight="1" x14ac:dyDescent="0.2"/>
    <row r="678" ht="17.25" customHeight="1" x14ac:dyDescent="0.2"/>
    <row r="679" ht="17.25" customHeight="1" x14ac:dyDescent="0.2"/>
    <row r="680" ht="17.25" customHeight="1" x14ac:dyDescent="0.2"/>
    <row r="681" ht="17.25" customHeight="1" x14ac:dyDescent="0.2"/>
    <row r="682" ht="17.25" customHeight="1" x14ac:dyDescent="0.2"/>
    <row r="683" ht="17.25" customHeight="1" x14ac:dyDescent="0.2"/>
    <row r="684" ht="17.25" customHeight="1" x14ac:dyDescent="0.2"/>
    <row r="685" ht="17.25" customHeight="1" x14ac:dyDescent="0.2"/>
    <row r="686" ht="17.25" customHeight="1" x14ac:dyDescent="0.2"/>
    <row r="687" ht="17.25" customHeight="1" x14ac:dyDescent="0.2"/>
    <row r="688" ht="17.25" customHeight="1" x14ac:dyDescent="0.2"/>
    <row r="689" ht="17.25" customHeight="1" x14ac:dyDescent="0.2"/>
    <row r="690" ht="17.25" customHeight="1" x14ac:dyDescent="0.2"/>
    <row r="691" ht="17.25" customHeight="1" x14ac:dyDescent="0.2"/>
    <row r="692" ht="17.25" customHeight="1" x14ac:dyDescent="0.2"/>
    <row r="693" ht="17.25" customHeight="1" x14ac:dyDescent="0.2"/>
    <row r="694" ht="17.25" customHeight="1" x14ac:dyDescent="0.2"/>
    <row r="695" ht="17.25" customHeight="1" x14ac:dyDescent="0.2"/>
    <row r="696" ht="17.25" customHeight="1" x14ac:dyDescent="0.2"/>
    <row r="697" ht="17.25" customHeight="1" x14ac:dyDescent="0.2"/>
    <row r="698" ht="17.25" customHeight="1" x14ac:dyDescent="0.2"/>
    <row r="699" ht="17.25" customHeight="1" x14ac:dyDescent="0.2"/>
    <row r="700" ht="17.25" customHeight="1" x14ac:dyDescent="0.2"/>
    <row r="701" ht="17.25" customHeight="1" x14ac:dyDescent="0.2"/>
    <row r="702" ht="17.25" customHeight="1" x14ac:dyDescent="0.2"/>
    <row r="703" ht="17.25" customHeight="1" x14ac:dyDescent="0.2"/>
    <row r="704" ht="17.25" customHeight="1" x14ac:dyDescent="0.2"/>
    <row r="705" ht="17.25" customHeight="1" x14ac:dyDescent="0.2"/>
    <row r="706" ht="17.25" customHeight="1" x14ac:dyDescent="0.2"/>
    <row r="707" ht="17.25" customHeight="1" x14ac:dyDescent="0.2"/>
    <row r="708" ht="17.25" customHeight="1" x14ac:dyDescent="0.2"/>
    <row r="709" ht="17.25" customHeight="1" x14ac:dyDescent="0.2"/>
    <row r="710" ht="17.25" customHeight="1" x14ac:dyDescent="0.2"/>
    <row r="711" ht="17.25" customHeight="1" x14ac:dyDescent="0.2"/>
    <row r="712" ht="17.25" customHeight="1" x14ac:dyDescent="0.2"/>
    <row r="713" ht="17.25" customHeight="1" x14ac:dyDescent="0.2"/>
    <row r="714" ht="17.25" customHeight="1" x14ac:dyDescent="0.2"/>
    <row r="715" ht="17.25" customHeight="1" x14ac:dyDescent="0.2"/>
    <row r="716" ht="17.25" customHeight="1" x14ac:dyDescent="0.2"/>
    <row r="717" ht="17.25" customHeight="1" x14ac:dyDescent="0.2"/>
    <row r="718" ht="17.25" customHeight="1" x14ac:dyDescent="0.2"/>
    <row r="719" ht="17.25" customHeight="1" x14ac:dyDescent="0.2"/>
    <row r="720" ht="17.25" customHeight="1" x14ac:dyDescent="0.2"/>
    <row r="721" spans="24:24" ht="17.25" customHeight="1" x14ac:dyDescent="0.2"/>
    <row r="722" spans="24:24" ht="17.25" customHeight="1" x14ac:dyDescent="0.2"/>
    <row r="723" spans="24:24" ht="17.25" customHeight="1" x14ac:dyDescent="0.2"/>
    <row r="724" spans="24:24" ht="17.25" customHeight="1" x14ac:dyDescent="0.2"/>
    <row r="725" spans="24:24" ht="17.25" customHeight="1" x14ac:dyDescent="0.2"/>
    <row r="726" spans="24:24" ht="17.25" customHeight="1" x14ac:dyDescent="0.2"/>
    <row r="727" spans="24:24" ht="17.25" customHeight="1" x14ac:dyDescent="0.2"/>
    <row r="728" spans="24:24" ht="17.25" customHeight="1" x14ac:dyDescent="0.2"/>
    <row r="729" spans="24:24" ht="17.25" customHeight="1" x14ac:dyDescent="0.2"/>
    <row r="730" spans="24:24" ht="17.25" customHeight="1" x14ac:dyDescent="0.2"/>
    <row r="731" spans="24:24" ht="17.25" customHeight="1" x14ac:dyDescent="0.2"/>
    <row r="732" spans="24:24" ht="17.25" customHeight="1" x14ac:dyDescent="0.2">
      <c r="X732" s="8"/>
    </row>
    <row r="733" spans="24:24" ht="17.25" customHeight="1" x14ac:dyDescent="0.2">
      <c r="X733" s="8"/>
    </row>
    <row r="734" spans="24:24" ht="17.25" customHeight="1" x14ac:dyDescent="0.2"/>
    <row r="735" spans="24:24" ht="17.25" customHeight="1" x14ac:dyDescent="0.2">
      <c r="X735" s="8"/>
    </row>
    <row r="736" spans="24:24" ht="17.25" customHeight="1" x14ac:dyDescent="0.2">
      <c r="X736" s="8"/>
    </row>
  </sheetData>
  <pageMargins left="0.7" right="0.7" top="0.75" bottom="0.75" header="0.3" footer="0.3"/>
  <pageSetup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EB1CD-8FA1-7548-9530-3FCC02CBF0AC}">
  <dimension ref="A1:O5"/>
  <sheetViews>
    <sheetView workbookViewId="0">
      <selection activeCell="R22" sqref="R22"/>
    </sheetView>
  </sheetViews>
  <sheetFormatPr baseColWidth="10" defaultRowHeight="15" x14ac:dyDescent="0.2"/>
  <cols>
    <col min="2" max="2" width="16.33203125" customWidth="1"/>
    <col min="3" max="3" width="15.5" customWidth="1"/>
    <col min="4" max="4" width="14.6640625" customWidth="1"/>
    <col min="5" max="5" width="15.6640625" customWidth="1"/>
    <col min="6" max="6" width="15" customWidth="1"/>
    <col min="7" max="7" width="15.1640625" customWidth="1"/>
  </cols>
  <sheetData>
    <row r="1" spans="1:15" ht="16" x14ac:dyDescent="0.2">
      <c r="A1" s="49" t="s">
        <v>114</v>
      </c>
      <c r="B1" s="49" t="s">
        <v>115</v>
      </c>
      <c r="C1" s="49" t="s">
        <v>116</v>
      </c>
      <c r="D1" s="49" t="s">
        <v>117</v>
      </c>
      <c r="E1" s="49" t="s">
        <v>118</v>
      </c>
      <c r="F1" s="49" t="s">
        <v>119</v>
      </c>
      <c r="G1" s="49" t="s">
        <v>120</v>
      </c>
      <c r="H1" s="49" t="s">
        <v>121</v>
      </c>
      <c r="I1" s="49" t="s">
        <v>122</v>
      </c>
      <c r="J1" s="49" t="s">
        <v>123</v>
      </c>
      <c r="K1" s="49" t="s">
        <v>124</v>
      </c>
      <c r="L1" s="49" t="s">
        <v>125</v>
      </c>
      <c r="M1" s="49" t="s">
        <v>126</v>
      </c>
      <c r="N1" s="49"/>
      <c r="O1" s="49"/>
    </row>
    <row r="2" spans="1:15" ht="16" x14ac:dyDescent="0.2">
      <c r="A2" s="49" t="s">
        <v>7</v>
      </c>
      <c r="B2" s="49">
        <v>2.21879692</v>
      </c>
      <c r="C2" s="49">
        <v>2.5709419900000001</v>
      </c>
      <c r="D2" s="49">
        <v>2.0822660499999999</v>
      </c>
      <c r="E2" s="49">
        <v>2.43090042</v>
      </c>
      <c r="F2" s="49">
        <v>2.3633450200000001</v>
      </c>
      <c r="G2" s="49">
        <v>2.7109625899999998</v>
      </c>
      <c r="H2" s="49">
        <v>11.4761141</v>
      </c>
      <c r="I2" s="49">
        <v>2.6543754399999999</v>
      </c>
      <c r="J2" s="49">
        <v>10.920286300000001</v>
      </c>
      <c r="K2" s="49">
        <v>2.5138722800000002</v>
      </c>
      <c r="L2" s="49">
        <v>12.319221900000001</v>
      </c>
      <c r="M2" s="49">
        <v>2.79282904</v>
      </c>
    </row>
    <row r="3" spans="1:15" ht="16" x14ac:dyDescent="0.2">
      <c r="A3" s="49" t="s">
        <v>8</v>
      </c>
      <c r="B3" s="49">
        <v>2.28014231</v>
      </c>
      <c r="C3" s="49">
        <v>2.6333419899999999</v>
      </c>
      <c r="D3" s="49">
        <v>2.12760046</v>
      </c>
      <c r="E3" s="49">
        <v>2.4818098599999998</v>
      </c>
      <c r="F3" s="49">
        <v>2.4363307600000002</v>
      </c>
      <c r="G3" s="49">
        <v>2.7918230999999998</v>
      </c>
      <c r="H3" s="49">
        <v>11.7383892</v>
      </c>
      <c r="I3" s="49">
        <v>2.7168610900000001</v>
      </c>
      <c r="J3" s="49">
        <v>10.9778477</v>
      </c>
      <c r="K3" s="49">
        <v>2.5660677399999998</v>
      </c>
      <c r="L3" s="49">
        <v>12.411847</v>
      </c>
      <c r="M3" s="49">
        <v>2.8754929100000002</v>
      </c>
    </row>
    <row r="4" spans="1:15" ht="16" x14ac:dyDescent="0.2">
      <c r="A4" s="49" t="s">
        <v>9</v>
      </c>
      <c r="B4" s="49">
        <v>2.3076028000000002</v>
      </c>
      <c r="C4" s="49">
        <v>2.6608802900000001</v>
      </c>
      <c r="D4" s="49">
        <v>2.1627233600000002</v>
      </c>
      <c r="E4" s="49">
        <v>2.5162265800000001</v>
      </c>
      <c r="F4" s="49">
        <v>2.45379214</v>
      </c>
      <c r="G4" s="49">
        <v>2.8094894799999999</v>
      </c>
      <c r="H4" s="49">
        <v>11.8676116</v>
      </c>
      <c r="I4" s="49">
        <v>2.7443396</v>
      </c>
      <c r="J4" s="49">
        <v>11.1664625</v>
      </c>
      <c r="K4" s="49">
        <v>2.6001861599999998</v>
      </c>
      <c r="L4" s="49">
        <v>12.4882756</v>
      </c>
      <c r="M4" s="49">
        <v>2.89316584</v>
      </c>
    </row>
    <row r="5" spans="1:15" ht="16" x14ac:dyDescent="0.2">
      <c r="A5" s="49" t="s">
        <v>10</v>
      </c>
      <c r="B5" s="49">
        <v>2.3715587299999998</v>
      </c>
      <c r="C5" s="49">
        <v>2.72552715</v>
      </c>
      <c r="D5" s="49">
        <v>2.2012471900000001</v>
      </c>
      <c r="E5" s="49">
        <v>2.5540011900000001</v>
      </c>
      <c r="F5" s="49">
        <v>2.54166034</v>
      </c>
      <c r="G5" s="49">
        <v>2.8953680500000001</v>
      </c>
      <c r="H5" s="49">
        <v>12.1519724</v>
      </c>
      <c r="I5" s="49">
        <v>2.8089833899999999</v>
      </c>
      <c r="J5" s="49">
        <v>11.3734357</v>
      </c>
      <c r="K5" s="49">
        <v>2.6376452499999998</v>
      </c>
      <c r="L5" s="49">
        <v>12.9745481</v>
      </c>
      <c r="M5" s="49">
        <v>2.9783243499999998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F76"/>
  <sheetViews>
    <sheetView workbookViewId="0"/>
  </sheetViews>
  <sheetFormatPr baseColWidth="10" defaultColWidth="8.83203125" defaultRowHeight="15" x14ac:dyDescent="0.2"/>
  <cols>
    <col min="1" max="1" width="12.5" bestFit="1" customWidth="1"/>
    <col min="2" max="2" width="10.83203125" style="1" bestFit="1" customWidth="1"/>
    <col min="3" max="3" width="12.83203125" style="1" bestFit="1" customWidth="1"/>
    <col min="4" max="4" width="12.5" style="1" bestFit="1" customWidth="1"/>
    <col min="5" max="5" width="11" style="2" bestFit="1" customWidth="1"/>
    <col min="6" max="6" width="11.6640625" style="2" bestFit="1" customWidth="1"/>
  </cols>
  <sheetData>
    <row r="1" spans="1:6" ht="17.25" customHeight="1" x14ac:dyDescent="0.2">
      <c r="E1" s="2" t="s">
        <v>0</v>
      </c>
      <c r="F1" s="2" t="s">
        <v>0</v>
      </c>
    </row>
    <row r="2" spans="1:6" ht="17.25" customHeight="1" x14ac:dyDescent="0.2">
      <c r="A2" t="s">
        <v>1</v>
      </c>
      <c r="B2" s="3" t="s">
        <v>2</v>
      </c>
      <c r="C2" s="3" t="s">
        <v>3</v>
      </c>
      <c r="D2" s="3" t="s">
        <v>4</v>
      </c>
      <c r="E2" s="2" t="s">
        <v>5</v>
      </c>
      <c r="F2" s="2" t="s">
        <v>6</v>
      </c>
    </row>
    <row r="3" spans="1:6" ht="17.25" customHeight="1" x14ac:dyDescent="0.2">
      <c r="A3" t="s">
        <v>7</v>
      </c>
      <c r="B3" s="3">
        <v>72</v>
      </c>
      <c r="C3" s="3">
        <v>156</v>
      </c>
      <c r="D3" s="3">
        <v>43</v>
      </c>
      <c r="E3" s="4"/>
      <c r="F3" s="4"/>
    </row>
    <row r="4" spans="1:6" ht="17.25" customHeight="1" x14ac:dyDescent="0.2">
      <c r="A4" t="s">
        <v>7</v>
      </c>
      <c r="B4" s="3">
        <v>72</v>
      </c>
      <c r="C4" s="3">
        <v>156</v>
      </c>
      <c r="D4" s="3">
        <v>44</v>
      </c>
      <c r="E4" s="4">
        <v>3.2431342390000002</v>
      </c>
      <c r="F4" s="4">
        <v>148.66184150000001</v>
      </c>
    </row>
    <row r="5" spans="1:6" ht="17.25" customHeight="1" x14ac:dyDescent="0.2">
      <c r="A5" t="s">
        <v>7</v>
      </c>
      <c r="B5" s="3">
        <v>72</v>
      </c>
      <c r="C5" s="3">
        <v>156</v>
      </c>
      <c r="D5" s="3">
        <v>45</v>
      </c>
      <c r="E5" s="4">
        <v>2.894893621</v>
      </c>
      <c r="F5" s="4">
        <v>1550.9621729999999</v>
      </c>
    </row>
    <row r="6" spans="1:6" ht="17.25" customHeight="1" x14ac:dyDescent="0.2">
      <c r="A6" t="s">
        <v>7</v>
      </c>
      <c r="B6" s="3">
        <v>72</v>
      </c>
      <c r="C6" s="3">
        <v>156</v>
      </c>
      <c r="D6" s="5">
        <v>45.2</v>
      </c>
      <c r="E6" s="4">
        <v>2.4490004860000001</v>
      </c>
      <c r="F6" s="4">
        <v>505.55011139999999</v>
      </c>
    </row>
    <row r="7" spans="1:6" ht="17.25" customHeight="1" x14ac:dyDescent="0.2">
      <c r="A7" t="s">
        <v>7</v>
      </c>
      <c r="B7" s="3">
        <v>72</v>
      </c>
      <c r="C7" s="3">
        <v>156</v>
      </c>
      <c r="D7" s="5">
        <v>45.3</v>
      </c>
      <c r="E7" s="4">
        <v>2.4203682039999999</v>
      </c>
      <c r="F7" s="4">
        <v>117.4877468</v>
      </c>
    </row>
    <row r="8" spans="1:6" ht="17.25" customHeight="1" x14ac:dyDescent="0.2">
      <c r="A8" t="s">
        <v>7</v>
      </c>
      <c r="B8" s="3">
        <v>72</v>
      </c>
      <c r="C8" s="3">
        <v>149</v>
      </c>
      <c r="D8" s="3">
        <v>46</v>
      </c>
      <c r="E8" s="4">
        <v>2.6538177080000001</v>
      </c>
      <c r="F8" s="4">
        <v>219.8916074</v>
      </c>
    </row>
    <row r="9" spans="1:6" ht="17.25" customHeight="1" x14ac:dyDescent="0.2">
      <c r="A9" t="s">
        <v>7</v>
      </c>
      <c r="B9" s="3">
        <v>72</v>
      </c>
      <c r="C9" s="3">
        <v>149</v>
      </c>
      <c r="D9" s="3">
        <v>47</v>
      </c>
      <c r="E9" s="4">
        <v>2.5839132560000002</v>
      </c>
      <c r="F9" s="4">
        <v>169.4025073</v>
      </c>
    </row>
    <row r="10" spans="1:6" ht="17.25" customHeight="1" x14ac:dyDescent="0.2">
      <c r="A10" t="s">
        <v>7</v>
      </c>
      <c r="B10" s="3">
        <v>72</v>
      </c>
      <c r="C10" s="3">
        <v>149</v>
      </c>
      <c r="D10" s="3">
        <v>48</v>
      </c>
      <c r="E10" s="4">
        <v>2.4787210669999999</v>
      </c>
      <c r="F10" s="4">
        <v>210.58644520000001</v>
      </c>
    </row>
    <row r="11" spans="1:6" ht="17.25" customHeight="1" x14ac:dyDescent="0.2">
      <c r="A11" t="s">
        <v>7</v>
      </c>
      <c r="B11" s="3">
        <v>72</v>
      </c>
      <c r="C11" s="3">
        <v>152</v>
      </c>
      <c r="D11" s="3">
        <v>49</v>
      </c>
      <c r="E11" s="4">
        <v>2.0143297219999998</v>
      </c>
      <c r="F11" s="4">
        <v>303.01447999999999</v>
      </c>
    </row>
    <row r="12" spans="1:6" ht="17.25" customHeight="1" x14ac:dyDescent="0.2">
      <c r="A12" t="s">
        <v>7</v>
      </c>
      <c r="B12" s="3">
        <v>72</v>
      </c>
      <c r="C12" s="3">
        <v>152</v>
      </c>
      <c r="D12" s="5">
        <v>49.2</v>
      </c>
      <c r="E12" s="4">
        <v>2.2050400529999998</v>
      </c>
      <c r="F12" s="4">
        <v>158.2207344</v>
      </c>
    </row>
    <row r="13" spans="1:6" ht="17.25" customHeight="1" x14ac:dyDescent="0.2">
      <c r="A13" t="s">
        <v>7</v>
      </c>
      <c r="B13" s="3">
        <v>72</v>
      </c>
      <c r="C13" s="3">
        <v>152</v>
      </c>
      <c r="D13" s="5">
        <v>49.3</v>
      </c>
      <c r="E13" s="4">
        <v>2.071962466</v>
      </c>
      <c r="F13" s="4">
        <v>146.13969259999999</v>
      </c>
    </row>
    <row r="14" spans="1:6" ht="17.25" customHeight="1" x14ac:dyDescent="0.2">
      <c r="A14" t="s">
        <v>7</v>
      </c>
      <c r="B14" s="3">
        <v>72</v>
      </c>
      <c r="C14" s="3">
        <v>152</v>
      </c>
      <c r="D14" s="3">
        <v>50</v>
      </c>
      <c r="E14" s="4"/>
      <c r="F14" s="4"/>
    </row>
    <row r="15" spans="1:6" ht="17.25" customHeight="1" x14ac:dyDescent="0.2">
      <c r="A15" t="s">
        <v>7</v>
      </c>
      <c r="B15" s="3">
        <v>72</v>
      </c>
      <c r="C15" s="3">
        <v>152</v>
      </c>
      <c r="D15" s="3">
        <v>51</v>
      </c>
      <c r="E15" s="4">
        <v>2.5862870280000001</v>
      </c>
      <c r="F15" s="4">
        <v>438.32928049999998</v>
      </c>
    </row>
    <row r="16" spans="1:6" ht="17.25" customHeight="1" x14ac:dyDescent="0.2">
      <c r="A16" t="s">
        <v>7</v>
      </c>
      <c r="B16" s="3">
        <v>72</v>
      </c>
      <c r="C16" s="3">
        <v>155</v>
      </c>
      <c r="D16" s="3">
        <v>58</v>
      </c>
      <c r="E16" s="4">
        <v>2.5314448550000002</v>
      </c>
      <c r="F16" s="4">
        <v>324.09049959999999</v>
      </c>
    </row>
    <row r="17" spans="1:6" ht="17.25" customHeight="1" x14ac:dyDescent="0.2">
      <c r="A17" t="s">
        <v>7</v>
      </c>
      <c r="B17" s="3">
        <v>72</v>
      </c>
      <c r="C17" s="3">
        <v>155</v>
      </c>
      <c r="D17" s="3">
        <v>59</v>
      </c>
      <c r="E17" s="4">
        <v>2.2917589619999998</v>
      </c>
      <c r="F17" s="4">
        <v>157.24153759999999</v>
      </c>
    </row>
    <row r="18" spans="1:6" ht="17.25" customHeight="1" x14ac:dyDescent="0.2">
      <c r="A18" t="s">
        <v>7</v>
      </c>
      <c r="B18" s="3">
        <v>72</v>
      </c>
      <c r="C18" s="3">
        <v>155</v>
      </c>
      <c r="D18" s="3">
        <v>60</v>
      </c>
      <c r="E18" s="4">
        <v>2.618159983</v>
      </c>
      <c r="F18" s="4">
        <v>141.14385920000001</v>
      </c>
    </row>
    <row r="19" spans="1:6" ht="17.25" customHeight="1" x14ac:dyDescent="0.2">
      <c r="A19" t="s">
        <v>7</v>
      </c>
      <c r="B19" s="3">
        <v>72</v>
      </c>
      <c r="C19" s="3">
        <v>5</v>
      </c>
      <c r="D19" s="3">
        <v>61</v>
      </c>
      <c r="E19" s="4">
        <v>2.6585826049999999</v>
      </c>
      <c r="F19" s="4">
        <v>159.39441059999999</v>
      </c>
    </row>
    <row r="20" spans="1:6" ht="17.25" customHeight="1" x14ac:dyDescent="0.2">
      <c r="A20" t="s">
        <v>7</v>
      </c>
      <c r="B20" s="3">
        <v>72</v>
      </c>
      <c r="C20" s="3">
        <v>5</v>
      </c>
      <c r="D20" s="5">
        <v>61.2</v>
      </c>
      <c r="E20" s="4">
        <v>2.436812975</v>
      </c>
      <c r="F20" s="4">
        <v>113.9779137</v>
      </c>
    </row>
    <row r="21" spans="1:6" ht="17.25" customHeight="1" x14ac:dyDescent="0.2">
      <c r="A21" t="s">
        <v>7</v>
      </c>
      <c r="B21" s="3">
        <v>72</v>
      </c>
      <c r="C21" s="3">
        <v>5</v>
      </c>
      <c r="D21" s="3">
        <v>63</v>
      </c>
      <c r="E21" s="4">
        <v>2.1942131360000001</v>
      </c>
      <c r="F21" s="4">
        <v>154.962322</v>
      </c>
    </row>
    <row r="22" spans="1:6" ht="17.25" customHeight="1" x14ac:dyDescent="0.2">
      <c r="A22" t="s">
        <v>7</v>
      </c>
      <c r="B22" s="3">
        <v>72</v>
      </c>
      <c r="C22" s="3">
        <v>5</v>
      </c>
      <c r="D22" s="5">
        <v>63.2</v>
      </c>
      <c r="E22" s="4">
        <v>2.8392008729999998</v>
      </c>
      <c r="F22" s="4">
        <v>93.089392329999995</v>
      </c>
    </row>
    <row r="23" spans="1:6" ht="17.25" customHeight="1" x14ac:dyDescent="0.2">
      <c r="A23" t="s">
        <v>7</v>
      </c>
      <c r="B23" s="3">
        <v>72</v>
      </c>
      <c r="C23" s="3">
        <v>5</v>
      </c>
      <c r="D23" s="5">
        <v>63.3</v>
      </c>
      <c r="E23" s="4">
        <v>2.8530226970000001</v>
      </c>
      <c r="F23" s="4">
        <v>200.74331609999999</v>
      </c>
    </row>
    <row r="24" spans="1:6" ht="17.25" customHeight="1" x14ac:dyDescent="0.2">
      <c r="A24" t="s">
        <v>7</v>
      </c>
      <c r="B24" s="3">
        <v>72</v>
      </c>
      <c r="C24" s="3">
        <v>5</v>
      </c>
      <c r="D24" s="3">
        <v>85</v>
      </c>
      <c r="E24" s="4"/>
      <c r="F24" s="4"/>
    </row>
    <row r="25" spans="1:6" ht="17.25" customHeight="1" x14ac:dyDescent="0.2">
      <c r="A25" t="s">
        <v>8</v>
      </c>
      <c r="B25" s="3">
        <v>1521</v>
      </c>
      <c r="C25" s="3">
        <v>155</v>
      </c>
      <c r="D25" s="3">
        <v>62</v>
      </c>
      <c r="E25" s="4">
        <v>2.7299709430000001</v>
      </c>
      <c r="F25" s="4">
        <v>126.9461732</v>
      </c>
    </row>
    <row r="26" spans="1:6" ht="17.25" customHeight="1" x14ac:dyDescent="0.2">
      <c r="A26" t="s">
        <v>8</v>
      </c>
      <c r="B26" s="3">
        <v>1521</v>
      </c>
      <c r="C26" s="3">
        <v>155</v>
      </c>
      <c r="D26" s="3">
        <v>64</v>
      </c>
      <c r="E26" s="4">
        <v>2.1565863260000002</v>
      </c>
      <c r="F26" s="4">
        <v>290.45872930000002</v>
      </c>
    </row>
    <row r="27" spans="1:6" ht="17.25" customHeight="1" x14ac:dyDescent="0.2">
      <c r="A27" t="s">
        <v>8</v>
      </c>
      <c r="B27" s="3">
        <v>1521</v>
      </c>
      <c r="C27" s="3">
        <v>155</v>
      </c>
      <c r="D27" s="3">
        <v>66</v>
      </c>
      <c r="E27" s="4">
        <v>2.5483491269999998</v>
      </c>
      <c r="F27" s="4">
        <v>154.25120989999999</v>
      </c>
    </row>
    <row r="28" spans="1:6" ht="17.25" customHeight="1" x14ac:dyDescent="0.2">
      <c r="A28" t="s">
        <v>8</v>
      </c>
      <c r="B28" s="3">
        <v>1521</v>
      </c>
      <c r="C28" s="3">
        <v>157</v>
      </c>
      <c r="D28" s="3">
        <v>67</v>
      </c>
      <c r="E28" s="4">
        <v>2.5470853920000001</v>
      </c>
      <c r="F28" s="4">
        <v>134.4429815</v>
      </c>
    </row>
    <row r="29" spans="1:6" ht="17.25" customHeight="1" x14ac:dyDescent="0.2">
      <c r="A29" t="s">
        <v>8</v>
      </c>
      <c r="B29" s="3">
        <v>1521</v>
      </c>
      <c r="C29" s="3">
        <v>157</v>
      </c>
      <c r="D29" s="3">
        <v>68</v>
      </c>
      <c r="E29" s="4">
        <v>2.8784064819999999</v>
      </c>
      <c r="F29" s="4">
        <v>136.5406433</v>
      </c>
    </row>
    <row r="30" spans="1:6" ht="17.25" customHeight="1" x14ac:dyDescent="0.2">
      <c r="A30" t="s">
        <v>8</v>
      </c>
      <c r="B30" s="3">
        <v>1521</v>
      </c>
      <c r="C30" s="3">
        <v>153</v>
      </c>
      <c r="D30" s="3">
        <v>69</v>
      </c>
      <c r="E30" s="4">
        <v>2.546405553</v>
      </c>
      <c r="F30" s="4">
        <v>192.58826379999999</v>
      </c>
    </row>
    <row r="31" spans="1:6" ht="17.25" customHeight="1" x14ac:dyDescent="0.2">
      <c r="A31" t="s">
        <v>8</v>
      </c>
      <c r="B31" s="3">
        <v>1521</v>
      </c>
      <c r="C31" s="3">
        <v>158</v>
      </c>
      <c r="D31" s="3">
        <v>70</v>
      </c>
      <c r="E31" s="4">
        <v>2.4851279869999998</v>
      </c>
      <c r="F31" s="4">
        <v>94.669455589999998</v>
      </c>
    </row>
    <row r="32" spans="1:6" ht="17.25" customHeight="1" x14ac:dyDescent="0.2">
      <c r="A32" t="s">
        <v>8</v>
      </c>
      <c r="B32" s="3">
        <v>1521</v>
      </c>
      <c r="C32" s="3">
        <v>156</v>
      </c>
      <c r="D32" s="3">
        <v>71</v>
      </c>
      <c r="E32" s="4">
        <v>2.6157443680000001</v>
      </c>
      <c r="F32" s="4">
        <v>110.0256552</v>
      </c>
    </row>
    <row r="33" spans="1:6" ht="17.25" customHeight="1" x14ac:dyDescent="0.2">
      <c r="A33" t="s">
        <v>8</v>
      </c>
      <c r="B33" s="3">
        <v>1521</v>
      </c>
      <c r="C33" s="3">
        <v>157</v>
      </c>
      <c r="D33" s="3">
        <v>72</v>
      </c>
      <c r="E33" s="4">
        <v>2.7551148830000001</v>
      </c>
      <c r="F33" s="4">
        <v>172.30279429999999</v>
      </c>
    </row>
    <row r="34" spans="1:6" ht="17.25" customHeight="1" x14ac:dyDescent="0.2">
      <c r="A34" t="s">
        <v>8</v>
      </c>
      <c r="B34" s="3">
        <v>1521</v>
      </c>
      <c r="C34" s="3">
        <v>158</v>
      </c>
      <c r="D34" s="3">
        <v>73</v>
      </c>
      <c r="E34" s="4">
        <v>2.7783850120000002</v>
      </c>
      <c r="F34" s="4">
        <v>99.142060549999997</v>
      </c>
    </row>
    <row r="35" spans="1:6" ht="17.25" customHeight="1" x14ac:dyDescent="0.2">
      <c r="A35" t="s">
        <v>8</v>
      </c>
      <c r="B35" s="3">
        <v>1521</v>
      </c>
      <c r="C35" s="3">
        <v>156</v>
      </c>
      <c r="D35" s="3">
        <v>74</v>
      </c>
      <c r="E35" s="4">
        <v>2.7702920459999998</v>
      </c>
      <c r="F35" s="4">
        <v>157.94117220000001</v>
      </c>
    </row>
    <row r="36" spans="1:6" ht="17.25" customHeight="1" x14ac:dyDescent="0.2">
      <c r="A36" t="s">
        <v>8</v>
      </c>
      <c r="B36" s="3">
        <v>1521</v>
      </c>
      <c r="C36" s="3">
        <v>156</v>
      </c>
      <c r="D36" s="3">
        <v>75</v>
      </c>
      <c r="E36" s="4">
        <v>2.4846564770000001</v>
      </c>
      <c r="F36" s="4">
        <v>98.847104430000002</v>
      </c>
    </row>
    <row r="37" spans="1:6" ht="17.25" customHeight="1" x14ac:dyDescent="0.2">
      <c r="A37" t="s">
        <v>8</v>
      </c>
      <c r="B37" s="3">
        <v>1521</v>
      </c>
      <c r="C37" s="3">
        <v>156</v>
      </c>
      <c r="D37" s="5">
        <v>75.2</v>
      </c>
      <c r="E37" s="4">
        <v>2.671835846</v>
      </c>
      <c r="F37" s="4">
        <v>107.64135210000001</v>
      </c>
    </row>
    <row r="38" spans="1:6" ht="17.25" customHeight="1" x14ac:dyDescent="0.2">
      <c r="A38" t="s">
        <v>8</v>
      </c>
      <c r="B38" s="3">
        <v>1521</v>
      </c>
      <c r="C38" s="3">
        <v>153</v>
      </c>
      <c r="D38" s="3">
        <v>76</v>
      </c>
      <c r="E38" s="4">
        <v>2.7268440460000001</v>
      </c>
      <c r="F38" s="4">
        <v>220.06826820000001</v>
      </c>
    </row>
    <row r="39" spans="1:6" ht="17.25" customHeight="1" x14ac:dyDescent="0.2">
      <c r="A39" t="s">
        <v>8</v>
      </c>
      <c r="B39" s="3">
        <v>1521</v>
      </c>
      <c r="C39" s="3">
        <v>158</v>
      </c>
      <c r="D39" s="3">
        <v>81</v>
      </c>
      <c r="E39" s="4">
        <v>2.7253665090000001</v>
      </c>
      <c r="F39" s="4">
        <v>107.13577909999999</v>
      </c>
    </row>
    <row r="40" spans="1:6" ht="17.25" customHeight="1" x14ac:dyDescent="0.2">
      <c r="A40" t="s">
        <v>8</v>
      </c>
      <c r="B40" s="3">
        <v>1521</v>
      </c>
      <c r="C40" s="3">
        <v>153</v>
      </c>
      <c r="D40" s="3">
        <v>90</v>
      </c>
      <c r="E40" s="4">
        <v>2.661821953</v>
      </c>
      <c r="F40" s="4">
        <v>115.1651833</v>
      </c>
    </row>
    <row r="41" spans="1:6" ht="17.25" customHeight="1" x14ac:dyDescent="0.2">
      <c r="A41" t="s">
        <v>9</v>
      </c>
      <c r="B41" s="3">
        <v>666</v>
      </c>
      <c r="C41" s="3">
        <v>101</v>
      </c>
      <c r="D41" s="3">
        <v>1</v>
      </c>
      <c r="E41" s="4">
        <v>3.039910501</v>
      </c>
      <c r="F41" s="4">
        <v>150.04788020000001</v>
      </c>
    </row>
    <row r="42" spans="1:6" ht="17.25" customHeight="1" x14ac:dyDescent="0.2">
      <c r="A42" t="s">
        <v>9</v>
      </c>
      <c r="B42" s="3">
        <v>666</v>
      </c>
      <c r="C42" s="3">
        <v>101</v>
      </c>
      <c r="D42" s="5">
        <v>1.2</v>
      </c>
      <c r="E42" s="4">
        <v>3.3557072940000001</v>
      </c>
      <c r="F42" s="4">
        <v>173.8265068</v>
      </c>
    </row>
    <row r="43" spans="1:6" ht="17.25" customHeight="1" x14ac:dyDescent="0.2">
      <c r="A43" t="s">
        <v>9</v>
      </c>
      <c r="B43" s="3">
        <v>666</v>
      </c>
      <c r="C43" s="3">
        <v>101</v>
      </c>
      <c r="D43" s="3">
        <v>2</v>
      </c>
      <c r="E43" s="4">
        <v>3.3199143719999999</v>
      </c>
      <c r="F43" s="4">
        <v>117.34662470000001</v>
      </c>
    </row>
    <row r="44" spans="1:6" ht="17.25" customHeight="1" x14ac:dyDescent="0.2">
      <c r="A44" t="s">
        <v>9</v>
      </c>
      <c r="B44" s="3">
        <v>666</v>
      </c>
      <c r="C44" s="3">
        <v>101</v>
      </c>
      <c r="D44" s="3">
        <v>3</v>
      </c>
      <c r="E44" s="4"/>
      <c r="F44" s="4"/>
    </row>
    <row r="45" spans="1:6" ht="17.25" customHeight="1" x14ac:dyDescent="0.2">
      <c r="A45" t="s">
        <v>9</v>
      </c>
      <c r="B45" s="3">
        <v>666</v>
      </c>
      <c r="C45" s="3">
        <v>105</v>
      </c>
      <c r="D45" s="3">
        <v>7</v>
      </c>
      <c r="E45" s="4">
        <v>2.17874225</v>
      </c>
      <c r="F45" s="4">
        <v>297.19865700000003</v>
      </c>
    </row>
    <row r="46" spans="1:6" ht="17.25" customHeight="1" x14ac:dyDescent="0.2">
      <c r="A46" t="s">
        <v>9</v>
      </c>
      <c r="B46" s="3">
        <v>666</v>
      </c>
      <c r="C46" s="3">
        <v>105</v>
      </c>
      <c r="D46" s="5">
        <v>7.2</v>
      </c>
      <c r="E46" s="4">
        <v>2.226133323</v>
      </c>
      <c r="F46" s="4">
        <v>97.506585610000002</v>
      </c>
    </row>
    <row r="47" spans="1:6" ht="17.25" customHeight="1" x14ac:dyDescent="0.2">
      <c r="A47" t="s">
        <v>9</v>
      </c>
      <c r="B47" s="3">
        <v>666</v>
      </c>
      <c r="C47" s="3">
        <v>105</v>
      </c>
      <c r="D47" s="5">
        <v>7.3</v>
      </c>
      <c r="E47" s="4">
        <v>2.2758605360000002</v>
      </c>
      <c r="F47" s="4">
        <v>103.29832690000001</v>
      </c>
    </row>
    <row r="48" spans="1:6" ht="17.25" customHeight="1" x14ac:dyDescent="0.2">
      <c r="A48" t="s">
        <v>9</v>
      </c>
      <c r="B48" s="3">
        <v>666</v>
      </c>
      <c r="C48" s="3">
        <v>105</v>
      </c>
      <c r="D48" s="5">
        <v>7.4</v>
      </c>
      <c r="E48" s="4">
        <v>2.2763481470000002</v>
      </c>
      <c r="F48" s="4">
        <v>146.9920779</v>
      </c>
    </row>
    <row r="49" spans="1:6" ht="17.25" customHeight="1" x14ac:dyDescent="0.2">
      <c r="A49" t="s">
        <v>9</v>
      </c>
      <c r="B49" s="3">
        <v>666</v>
      </c>
      <c r="C49" s="3">
        <v>105</v>
      </c>
      <c r="D49" s="3">
        <v>8</v>
      </c>
      <c r="E49" s="4">
        <v>2.3695513159999999</v>
      </c>
      <c r="F49" s="4">
        <v>111.8026545</v>
      </c>
    </row>
    <row r="50" spans="1:6" ht="17.25" customHeight="1" x14ac:dyDescent="0.2">
      <c r="A50" t="s">
        <v>9</v>
      </c>
      <c r="B50" s="3">
        <v>666</v>
      </c>
      <c r="C50" s="3">
        <v>105</v>
      </c>
      <c r="D50" s="3">
        <v>9</v>
      </c>
      <c r="E50" s="4">
        <v>2.39594292</v>
      </c>
      <c r="F50" s="4">
        <v>90.51340673</v>
      </c>
    </row>
    <row r="51" spans="1:6" ht="17.25" customHeight="1" x14ac:dyDescent="0.2">
      <c r="A51" t="s">
        <v>9</v>
      </c>
      <c r="B51" s="3">
        <v>666</v>
      </c>
      <c r="C51" s="3">
        <v>118</v>
      </c>
      <c r="D51" s="3">
        <v>10</v>
      </c>
      <c r="E51" s="4">
        <v>2.6659283010000001</v>
      </c>
      <c r="F51" s="4">
        <v>75.571311649999998</v>
      </c>
    </row>
    <row r="52" spans="1:6" ht="17.25" customHeight="1" x14ac:dyDescent="0.2">
      <c r="A52" t="s">
        <v>9</v>
      </c>
      <c r="B52" s="3">
        <v>666</v>
      </c>
      <c r="C52" s="3">
        <v>118</v>
      </c>
      <c r="D52" s="3">
        <v>11</v>
      </c>
      <c r="E52" s="4">
        <v>2.4900451220000002</v>
      </c>
      <c r="F52" s="4">
        <v>152.05005779999999</v>
      </c>
    </row>
    <row r="53" spans="1:6" ht="17.25" customHeight="1" x14ac:dyDescent="0.2">
      <c r="A53" t="s">
        <v>9</v>
      </c>
      <c r="B53" s="3">
        <v>666</v>
      </c>
      <c r="C53" s="3">
        <v>118</v>
      </c>
      <c r="D53" s="3">
        <v>12</v>
      </c>
      <c r="E53" s="4">
        <v>2.385079862</v>
      </c>
      <c r="F53" s="4">
        <v>216.49288720000001</v>
      </c>
    </row>
    <row r="54" spans="1:6" ht="17.25" customHeight="1" x14ac:dyDescent="0.2">
      <c r="A54" t="s">
        <v>9</v>
      </c>
      <c r="B54" s="3">
        <v>666</v>
      </c>
      <c r="C54" s="3">
        <v>122</v>
      </c>
      <c r="D54" s="3">
        <v>16</v>
      </c>
      <c r="E54" s="4">
        <v>3.1402672279999999</v>
      </c>
      <c r="F54" s="4">
        <v>389.33222869999997</v>
      </c>
    </row>
    <row r="55" spans="1:6" ht="17.25" customHeight="1" x14ac:dyDescent="0.2">
      <c r="A55" t="s">
        <v>9</v>
      </c>
      <c r="B55" s="3">
        <v>666</v>
      </c>
      <c r="C55" s="3">
        <v>122</v>
      </c>
      <c r="D55" s="3">
        <v>17</v>
      </c>
      <c r="E55" s="4">
        <v>3.0976293880000001</v>
      </c>
      <c r="F55" s="4">
        <v>285.13614869999998</v>
      </c>
    </row>
    <row r="56" spans="1:6" ht="17.25" customHeight="1" x14ac:dyDescent="0.2">
      <c r="A56" t="s">
        <v>9</v>
      </c>
      <c r="B56" s="3">
        <v>666</v>
      </c>
      <c r="C56" s="3">
        <v>122</v>
      </c>
      <c r="D56" s="3">
        <v>18</v>
      </c>
      <c r="E56" s="4">
        <v>2.8391069</v>
      </c>
      <c r="F56" s="4">
        <v>199.26283169999999</v>
      </c>
    </row>
    <row r="57" spans="1:6" ht="17.25" customHeight="1" x14ac:dyDescent="0.2">
      <c r="A57" t="s">
        <v>9</v>
      </c>
      <c r="B57" s="3">
        <v>666</v>
      </c>
      <c r="C57" s="3">
        <v>123</v>
      </c>
      <c r="D57" s="3">
        <v>19</v>
      </c>
      <c r="E57" s="4">
        <v>2.7782920350000002</v>
      </c>
      <c r="F57" s="4">
        <v>300.89215869999998</v>
      </c>
    </row>
    <row r="58" spans="1:6" ht="17.25" customHeight="1" x14ac:dyDescent="0.2">
      <c r="A58" t="s">
        <v>9</v>
      </c>
      <c r="B58" s="3">
        <v>666</v>
      </c>
      <c r="C58" s="3">
        <v>123</v>
      </c>
      <c r="D58" s="3">
        <v>20</v>
      </c>
      <c r="E58" s="4">
        <v>2.7262183809999998</v>
      </c>
      <c r="F58" s="4">
        <v>520.6550694</v>
      </c>
    </row>
    <row r="59" spans="1:6" ht="17.25" customHeight="1" x14ac:dyDescent="0.2">
      <c r="A59" t="s">
        <v>9</v>
      </c>
      <c r="B59" s="3">
        <v>666</v>
      </c>
      <c r="C59" s="3">
        <v>123</v>
      </c>
      <c r="D59" s="3">
        <v>22</v>
      </c>
      <c r="E59" s="4">
        <v>2.4316452559999999</v>
      </c>
      <c r="F59" s="4">
        <v>208.3478393</v>
      </c>
    </row>
    <row r="60" spans="1:6" ht="17.25" customHeight="1" x14ac:dyDescent="0.2">
      <c r="A60" t="s">
        <v>10</v>
      </c>
      <c r="B60" s="3">
        <v>1212</v>
      </c>
      <c r="C60" s="3">
        <v>10</v>
      </c>
      <c r="D60" s="3">
        <v>21</v>
      </c>
      <c r="E60" s="4">
        <v>2.86880435</v>
      </c>
      <c r="F60" s="4">
        <v>114.5032089</v>
      </c>
    </row>
    <row r="61" spans="1:6" ht="17.25" customHeight="1" x14ac:dyDescent="0.2">
      <c r="A61" t="s">
        <v>10</v>
      </c>
      <c r="B61" s="3">
        <v>1212</v>
      </c>
      <c r="C61" s="3">
        <v>3</v>
      </c>
      <c r="D61" s="3">
        <v>29</v>
      </c>
      <c r="E61" s="4"/>
      <c r="F61" s="4"/>
    </row>
    <row r="62" spans="1:6" ht="17.25" customHeight="1" x14ac:dyDescent="0.2">
      <c r="A62" t="s">
        <v>10</v>
      </c>
      <c r="B62" s="3">
        <v>1212</v>
      </c>
      <c r="C62" s="3">
        <v>3</v>
      </c>
      <c r="D62" s="3">
        <v>30</v>
      </c>
      <c r="E62" s="4">
        <v>2.3023906099999998</v>
      </c>
      <c r="F62" s="4">
        <v>150.32988</v>
      </c>
    </row>
    <row r="63" spans="1:6" ht="17.25" customHeight="1" x14ac:dyDescent="0.2">
      <c r="A63" t="s">
        <v>10</v>
      </c>
      <c r="B63" s="3">
        <v>1212</v>
      </c>
      <c r="C63" s="3">
        <v>3</v>
      </c>
      <c r="D63" s="3">
        <v>31</v>
      </c>
      <c r="E63" s="4">
        <v>2.5887498249999998</v>
      </c>
      <c r="F63" s="4">
        <v>154.41809069999999</v>
      </c>
    </row>
    <row r="64" spans="1:6" ht="17.25" customHeight="1" x14ac:dyDescent="0.2">
      <c r="A64" t="s">
        <v>10</v>
      </c>
      <c r="B64" s="3">
        <v>1212</v>
      </c>
      <c r="C64" s="3">
        <v>3</v>
      </c>
      <c r="D64" s="5">
        <v>31.2</v>
      </c>
      <c r="E64" s="4">
        <v>3.0735865709999999</v>
      </c>
      <c r="F64" s="4">
        <v>189.9314225</v>
      </c>
    </row>
    <row r="65" spans="1:6" ht="17.25" customHeight="1" x14ac:dyDescent="0.2">
      <c r="A65" t="s">
        <v>10</v>
      </c>
      <c r="B65" s="3">
        <v>1212</v>
      </c>
      <c r="C65" s="3">
        <v>4</v>
      </c>
      <c r="D65" s="3">
        <v>32</v>
      </c>
      <c r="E65" s="4">
        <v>2.866674502</v>
      </c>
      <c r="F65" s="4">
        <v>250.67303759999999</v>
      </c>
    </row>
    <row r="66" spans="1:6" ht="17.25" customHeight="1" x14ac:dyDescent="0.2">
      <c r="A66" t="s">
        <v>10</v>
      </c>
      <c r="B66" s="3">
        <v>1212</v>
      </c>
      <c r="C66" s="3">
        <v>4</v>
      </c>
      <c r="D66" s="3">
        <v>33</v>
      </c>
      <c r="E66" s="4">
        <v>2.855451177</v>
      </c>
      <c r="F66" s="4">
        <v>631.85566410000001</v>
      </c>
    </row>
    <row r="67" spans="1:6" ht="17.25" customHeight="1" x14ac:dyDescent="0.2">
      <c r="A67" t="s">
        <v>10</v>
      </c>
      <c r="B67" s="3">
        <v>1212</v>
      </c>
      <c r="C67" s="3">
        <v>4</v>
      </c>
      <c r="D67" s="3">
        <v>34</v>
      </c>
      <c r="E67" s="4">
        <v>2.727165904</v>
      </c>
      <c r="F67" s="4">
        <v>149.59637509999999</v>
      </c>
    </row>
    <row r="68" spans="1:6" ht="17.25" customHeight="1" x14ac:dyDescent="0.2">
      <c r="A68" t="s">
        <v>10</v>
      </c>
      <c r="B68" s="3">
        <v>1212</v>
      </c>
      <c r="C68" s="3">
        <v>7</v>
      </c>
      <c r="D68" s="3">
        <v>36</v>
      </c>
      <c r="E68" s="4">
        <v>2.5368852290000001</v>
      </c>
      <c r="F68" s="4">
        <v>157.2982816</v>
      </c>
    </row>
    <row r="69" spans="1:6" ht="17.25" customHeight="1" x14ac:dyDescent="0.2">
      <c r="A69" t="s">
        <v>10</v>
      </c>
      <c r="B69" s="3">
        <v>1212</v>
      </c>
      <c r="C69" s="3">
        <v>7</v>
      </c>
      <c r="D69" s="3">
        <v>37</v>
      </c>
      <c r="E69" s="4">
        <v>2.6366598489999999</v>
      </c>
      <c r="F69" s="4">
        <v>134.51248369999999</v>
      </c>
    </row>
    <row r="70" spans="1:6" ht="17.25" customHeight="1" x14ac:dyDescent="0.2">
      <c r="A70" t="s">
        <v>10</v>
      </c>
      <c r="B70" s="3">
        <v>1212</v>
      </c>
      <c r="C70" s="3">
        <v>8</v>
      </c>
      <c r="D70" s="3">
        <v>38</v>
      </c>
      <c r="E70" s="4">
        <v>2.3401779619999998</v>
      </c>
      <c r="F70" s="4">
        <v>149.7378257</v>
      </c>
    </row>
    <row r="71" spans="1:6" ht="17.25" customHeight="1" x14ac:dyDescent="0.2">
      <c r="A71" t="s">
        <v>10</v>
      </c>
      <c r="B71" s="3">
        <v>1212</v>
      </c>
      <c r="C71" s="3">
        <v>8</v>
      </c>
      <c r="D71" s="3">
        <v>39</v>
      </c>
      <c r="E71" s="4">
        <v>2.6898282089999999</v>
      </c>
      <c r="F71" s="4">
        <v>677.61775</v>
      </c>
    </row>
    <row r="72" spans="1:6" ht="17.25" customHeight="1" x14ac:dyDescent="0.2">
      <c r="A72" t="s">
        <v>10</v>
      </c>
      <c r="B72" s="3">
        <v>1212</v>
      </c>
      <c r="C72" s="3">
        <v>8</v>
      </c>
      <c r="D72" s="3">
        <v>40</v>
      </c>
      <c r="E72" s="4">
        <v>2.9523974750000002</v>
      </c>
      <c r="F72" s="4">
        <v>109.8365014</v>
      </c>
    </row>
    <row r="73" spans="1:6" ht="17.25" customHeight="1" x14ac:dyDescent="0.2">
      <c r="A73" t="s">
        <v>10</v>
      </c>
      <c r="B73" s="3">
        <v>1212</v>
      </c>
      <c r="C73" s="3">
        <v>10</v>
      </c>
      <c r="D73" s="3">
        <v>41</v>
      </c>
      <c r="E73" s="4">
        <v>3.101180576</v>
      </c>
      <c r="F73" s="4">
        <v>113.8830086</v>
      </c>
    </row>
    <row r="74" spans="1:6" ht="17.25" customHeight="1" x14ac:dyDescent="0.2">
      <c r="A74" t="s">
        <v>10</v>
      </c>
      <c r="B74" s="3">
        <v>1212</v>
      </c>
      <c r="C74" s="3">
        <v>10</v>
      </c>
      <c r="D74" s="5">
        <v>41.2</v>
      </c>
      <c r="E74" s="4">
        <v>3.097404783</v>
      </c>
      <c r="F74" s="4">
        <v>107.440949</v>
      </c>
    </row>
    <row r="75" spans="1:6" ht="17.25" customHeight="1" x14ac:dyDescent="0.2">
      <c r="A75" t="s">
        <v>10</v>
      </c>
      <c r="B75" s="3">
        <v>1212</v>
      </c>
      <c r="C75" s="3">
        <v>10</v>
      </c>
      <c r="D75" s="3">
        <v>42</v>
      </c>
      <c r="E75" s="4"/>
      <c r="F75" s="4"/>
    </row>
    <row r="76" spans="1:6" ht="17.25" customHeight="1" x14ac:dyDescent="0.2">
      <c r="A76" t="s">
        <v>10</v>
      </c>
      <c r="B76" s="3">
        <v>1212</v>
      </c>
      <c r="C76" s="3">
        <v>7</v>
      </c>
      <c r="D76" s="3">
        <v>83</v>
      </c>
      <c r="E76" s="4">
        <v>2.8397771949999999</v>
      </c>
      <c r="F76" s="4">
        <v>84.432944399999997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Repeated measurements</vt:lpstr>
      <vt:lpstr>One time measurements</vt:lpstr>
      <vt:lpstr>weibull</vt:lpstr>
      <vt:lpstr>Stem hydraulics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Pannikkat, Colin</cp:lastModifiedBy>
  <dcterms:created xsi:type="dcterms:W3CDTF">2025-05-14T18:55:12Z</dcterms:created>
  <dcterms:modified xsi:type="dcterms:W3CDTF">2025-09-02T22:49:51Z</dcterms:modified>
</cp:coreProperties>
</file>