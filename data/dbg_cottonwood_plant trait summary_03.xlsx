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F8DF3171-2308-C144-B58B-4D70C41BDEA8}" xr6:coauthVersionLast="47" xr6:coauthVersionMax="47" xr10:uidLastSave="{00000000-0000-0000-0000-000000000000}"/>
  <bookViews>
    <workbookView xWindow="-20" yWindow="900" windowWidth="41120" windowHeight="25700" xr2:uid="{00000000-000D-0000-FFFF-FFFF00000000}"/>
  </bookViews>
  <sheets>
    <sheet name="Repeated measurements" sheetId="1" r:id="rId1"/>
    <sheet name="One time measurements" sheetId="2" r:id="rId2"/>
    <sheet name="Stem hydraulic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4" i="2" l="1"/>
  <c r="G75" i="2"/>
  <c r="G76" i="2"/>
  <c r="F76" i="2"/>
  <c r="F75" i="2"/>
  <c r="F74" i="2"/>
  <c r="G73" i="2"/>
  <c r="F73" i="2"/>
  <c r="E74" i="2"/>
  <c r="E75" i="2"/>
  <c r="E76" i="2"/>
  <c r="E73" i="2"/>
  <c r="B79" i="2"/>
  <c r="C79" i="2"/>
  <c r="C78" i="2"/>
  <c r="B78" i="2"/>
  <c r="B67" i="2"/>
  <c r="C76" i="2"/>
  <c r="C75" i="2"/>
  <c r="C74" i="2"/>
  <c r="C73" i="2"/>
  <c r="B76" i="2"/>
  <c r="B75" i="2"/>
  <c r="B74" i="2"/>
  <c r="B73" i="2"/>
  <c r="E67" i="2"/>
  <c r="C67" i="2"/>
  <c r="E70" i="2"/>
  <c r="E69" i="2"/>
  <c r="E68" i="2"/>
  <c r="M70" i="2"/>
  <c r="L70" i="2"/>
  <c r="I70" i="2"/>
  <c r="J70" i="2" s="1"/>
  <c r="G70" i="2"/>
  <c r="M69" i="2"/>
  <c r="L69" i="2"/>
  <c r="I69" i="2"/>
  <c r="J69" i="2" s="1"/>
  <c r="G69" i="2"/>
  <c r="M68" i="2"/>
  <c r="L68" i="2"/>
  <c r="I68" i="2"/>
  <c r="J68" i="2" s="1"/>
  <c r="G68" i="2"/>
  <c r="M67" i="2"/>
  <c r="L67" i="2"/>
  <c r="I67" i="2"/>
  <c r="J67" i="2" s="1"/>
  <c r="G67" i="2"/>
  <c r="P61" i="2"/>
  <c r="N61" i="2"/>
  <c r="M61" i="2"/>
  <c r="L61" i="2"/>
  <c r="I61" i="2"/>
  <c r="O61" i="2" s="1"/>
  <c r="Z60" i="2"/>
  <c r="P60" i="2"/>
  <c r="N60" i="2"/>
  <c r="M60" i="2"/>
  <c r="L60" i="2"/>
  <c r="I60" i="2"/>
  <c r="O60" i="2" s="1"/>
  <c r="P59" i="2"/>
  <c r="O59" i="2"/>
  <c r="N59" i="2"/>
  <c r="M59" i="2"/>
  <c r="L59" i="2"/>
  <c r="I59" i="2"/>
  <c r="Z58" i="2"/>
  <c r="P58" i="2"/>
  <c r="N58" i="2"/>
  <c r="M58" i="2"/>
  <c r="L58" i="2"/>
  <c r="I58" i="2"/>
  <c r="O58" i="2" s="1"/>
  <c r="P57" i="2"/>
  <c r="N57" i="2"/>
  <c r="M57" i="2"/>
  <c r="L57" i="2"/>
  <c r="I57" i="2"/>
  <c r="P56" i="2"/>
  <c r="N56" i="2"/>
  <c r="M56" i="2"/>
  <c r="L56" i="2"/>
  <c r="I56" i="2"/>
  <c r="O56" i="2" s="1"/>
  <c r="P55" i="2"/>
  <c r="N55" i="2"/>
  <c r="M55" i="2"/>
  <c r="L55" i="2"/>
  <c r="I55" i="2"/>
  <c r="O55" i="2" s="1"/>
  <c r="P54" i="2"/>
  <c r="N54" i="2"/>
  <c r="M54" i="2"/>
  <c r="L54" i="2"/>
  <c r="I54" i="2"/>
  <c r="Z53" i="2"/>
  <c r="P53" i="2"/>
  <c r="N53" i="2"/>
  <c r="M53" i="2"/>
  <c r="L53" i="2"/>
  <c r="I53" i="2"/>
  <c r="O53" i="2" s="1"/>
  <c r="Z52" i="2"/>
  <c r="P52" i="2"/>
  <c r="O52" i="2"/>
  <c r="N52" i="2"/>
  <c r="M52" i="2"/>
  <c r="L52" i="2"/>
  <c r="I52" i="2"/>
  <c r="P51" i="2"/>
  <c r="O51" i="2"/>
  <c r="N51" i="2"/>
  <c r="M51" i="2"/>
  <c r="L51" i="2"/>
  <c r="I51" i="2"/>
  <c r="P50" i="2"/>
  <c r="O50" i="2"/>
  <c r="N50" i="2"/>
  <c r="M50" i="2"/>
  <c r="L50" i="2"/>
  <c r="I50" i="2"/>
  <c r="P49" i="2"/>
  <c r="O49" i="2"/>
  <c r="N49" i="2"/>
  <c r="M49" i="2"/>
  <c r="L49" i="2"/>
  <c r="I49" i="2"/>
  <c r="P48" i="2"/>
  <c r="O48" i="2"/>
  <c r="N48" i="2"/>
  <c r="M48" i="2"/>
  <c r="L48" i="2"/>
  <c r="I48" i="2"/>
  <c r="Z47" i="2"/>
  <c r="P47" i="2"/>
  <c r="N47" i="2"/>
  <c r="M47" i="2"/>
  <c r="L47" i="2"/>
  <c r="I47" i="2"/>
  <c r="O47" i="2" s="1"/>
  <c r="Z46" i="2"/>
  <c r="P46" i="2"/>
  <c r="N46" i="2"/>
  <c r="M46" i="2"/>
  <c r="L46" i="2"/>
  <c r="I46" i="2"/>
  <c r="O46" i="2" s="1"/>
  <c r="P45" i="2"/>
  <c r="N45" i="2"/>
  <c r="M45" i="2"/>
  <c r="L45" i="2"/>
  <c r="I45" i="2"/>
  <c r="O45" i="2" s="1"/>
  <c r="P44" i="2"/>
  <c r="N44" i="2"/>
  <c r="M44" i="2"/>
  <c r="L44" i="2"/>
  <c r="I44" i="2"/>
  <c r="O44" i="2" s="1"/>
  <c r="P43" i="2"/>
  <c r="N43" i="2"/>
  <c r="M43" i="2"/>
  <c r="L43" i="2"/>
  <c r="I43" i="2"/>
  <c r="O43" i="2" s="1"/>
  <c r="Z42" i="2"/>
  <c r="P42" i="2"/>
  <c r="N42" i="2"/>
  <c r="M42" i="2"/>
  <c r="L42" i="2"/>
  <c r="I42" i="2"/>
  <c r="O42" i="2" s="1"/>
  <c r="P41" i="2"/>
  <c r="N41" i="2"/>
  <c r="M41" i="2"/>
  <c r="L41" i="2"/>
  <c r="I41" i="2"/>
  <c r="O41" i="2" s="1"/>
  <c r="P40" i="2"/>
  <c r="N40" i="2"/>
  <c r="M40" i="2"/>
  <c r="L40" i="2"/>
  <c r="I40" i="2"/>
  <c r="O40" i="2" s="1"/>
  <c r="P39" i="2"/>
  <c r="N39" i="2"/>
  <c r="M39" i="2"/>
  <c r="L39" i="2"/>
  <c r="I39" i="2"/>
  <c r="O39" i="2" s="1"/>
  <c r="Z38" i="2"/>
  <c r="P38" i="2"/>
  <c r="N38" i="2"/>
  <c r="M38" i="2"/>
  <c r="L38" i="2"/>
  <c r="I38" i="2"/>
  <c r="O38" i="2" s="1"/>
  <c r="Z37" i="2"/>
  <c r="P37" i="2"/>
  <c r="N37" i="2"/>
  <c r="M37" i="2"/>
  <c r="L37" i="2"/>
  <c r="I37" i="2"/>
  <c r="O37" i="2" s="1"/>
  <c r="P36" i="2"/>
  <c r="N36" i="2"/>
  <c r="M36" i="2"/>
  <c r="L36" i="2"/>
  <c r="I36" i="2"/>
  <c r="O36" i="2" s="1"/>
  <c r="P35" i="2"/>
  <c r="N35" i="2"/>
  <c r="M35" i="2"/>
  <c r="L35" i="2"/>
  <c r="I35" i="2"/>
  <c r="O35" i="2" s="1"/>
  <c r="Z34" i="2"/>
  <c r="P34" i="2"/>
  <c r="O34" i="2"/>
  <c r="N34" i="2"/>
  <c r="M34" i="2"/>
  <c r="L34" i="2"/>
  <c r="I34" i="2"/>
  <c r="P33" i="2"/>
  <c r="N33" i="2"/>
  <c r="M33" i="2"/>
  <c r="O33" i="2" s="1"/>
  <c r="L33" i="2"/>
  <c r="I33" i="2"/>
  <c r="P32" i="2"/>
  <c r="O32" i="2"/>
  <c r="N32" i="2"/>
  <c r="M32" i="2"/>
  <c r="L32" i="2"/>
  <c r="I32" i="2"/>
  <c r="P31" i="2"/>
  <c r="N31" i="2"/>
  <c r="M31" i="2"/>
  <c r="O31" i="2" s="1"/>
  <c r="L31" i="2"/>
  <c r="I31" i="2"/>
  <c r="Z30" i="2"/>
  <c r="P30" i="2"/>
  <c r="N30" i="2"/>
  <c r="M30" i="2"/>
  <c r="L30" i="2"/>
  <c r="I30" i="2"/>
  <c r="O30" i="2" s="1"/>
  <c r="P29" i="2"/>
  <c r="N29" i="2"/>
  <c r="M29" i="2"/>
  <c r="O29" i="2" s="1"/>
  <c r="L29" i="2"/>
  <c r="I29" i="2"/>
  <c r="P28" i="2"/>
  <c r="N28" i="2"/>
  <c r="M28" i="2"/>
  <c r="L28" i="2"/>
  <c r="I28" i="2"/>
  <c r="O28" i="2" s="1"/>
  <c r="Z27" i="2"/>
  <c r="P27" i="2"/>
  <c r="O27" i="2"/>
  <c r="N27" i="2"/>
  <c r="M27" i="2"/>
  <c r="L27" i="2"/>
  <c r="I27" i="2"/>
  <c r="P26" i="2"/>
  <c r="N26" i="2"/>
  <c r="M26" i="2"/>
  <c r="L26" i="2"/>
  <c r="I26" i="2"/>
  <c r="O26" i="2" s="1"/>
  <c r="P25" i="2"/>
  <c r="O25" i="2"/>
  <c r="N25" i="2"/>
  <c r="M25" i="2"/>
  <c r="L25" i="2"/>
  <c r="I25" i="2"/>
  <c r="P24" i="2"/>
  <c r="N24" i="2"/>
  <c r="M24" i="2"/>
  <c r="L24" i="2"/>
  <c r="I24" i="2"/>
  <c r="O24" i="2" s="1"/>
  <c r="Z23" i="2"/>
  <c r="P23" i="2"/>
  <c r="N23" i="2"/>
  <c r="M23" i="2"/>
  <c r="O23" i="2" s="1"/>
  <c r="L23" i="2"/>
  <c r="I23" i="2"/>
  <c r="Z22" i="2"/>
  <c r="P22" i="2"/>
  <c r="N22" i="2"/>
  <c r="M22" i="2"/>
  <c r="L22" i="2"/>
  <c r="I22" i="2"/>
  <c r="O22" i="2" s="1"/>
  <c r="P21" i="2"/>
  <c r="N21" i="2"/>
  <c r="M21" i="2"/>
  <c r="L21" i="2"/>
  <c r="I21" i="2"/>
  <c r="P20" i="2"/>
  <c r="N20" i="2"/>
  <c r="M20" i="2"/>
  <c r="L20" i="2"/>
  <c r="I20" i="2"/>
  <c r="O20" i="2" s="1"/>
  <c r="Z19" i="2"/>
  <c r="P19" i="2"/>
  <c r="N19" i="2"/>
  <c r="M19" i="2"/>
  <c r="O19" i="2" s="1"/>
  <c r="L19" i="2"/>
  <c r="I19" i="2"/>
  <c r="P18" i="2"/>
  <c r="N18" i="2"/>
  <c r="M18" i="2"/>
  <c r="L18" i="2"/>
  <c r="I18" i="2"/>
  <c r="O18" i="2" s="1"/>
  <c r="P17" i="2"/>
  <c r="O17" i="2"/>
  <c r="N17" i="2"/>
  <c r="M17" i="2"/>
  <c r="L17" i="2"/>
  <c r="I17" i="2"/>
  <c r="Z16" i="2"/>
  <c r="P16" i="2"/>
  <c r="N16" i="2"/>
  <c r="M16" i="2"/>
  <c r="O16" i="2" s="1"/>
  <c r="L16" i="2"/>
  <c r="I16" i="2"/>
  <c r="P15" i="2"/>
  <c r="O15" i="2"/>
  <c r="N15" i="2"/>
  <c r="M15" i="2"/>
  <c r="L15" i="2"/>
  <c r="I15" i="2"/>
  <c r="P14" i="2"/>
  <c r="N14" i="2"/>
  <c r="M14" i="2"/>
  <c r="O14" i="2" s="1"/>
  <c r="L14" i="2"/>
  <c r="I14" i="2"/>
  <c r="Z13" i="2"/>
  <c r="P13" i="2"/>
  <c r="O13" i="2"/>
  <c r="N13" i="2"/>
  <c r="M13" i="2"/>
  <c r="L13" i="2"/>
  <c r="I13" i="2"/>
  <c r="P12" i="2"/>
  <c r="N12" i="2"/>
  <c r="M12" i="2"/>
  <c r="L12" i="2"/>
  <c r="I12" i="2"/>
  <c r="O12" i="2" s="1"/>
  <c r="P11" i="2"/>
  <c r="O11" i="2"/>
  <c r="N11" i="2"/>
  <c r="M11" i="2"/>
  <c r="L11" i="2"/>
  <c r="I11" i="2"/>
  <c r="Z10" i="2"/>
  <c r="P10" i="2"/>
  <c r="N10" i="2"/>
  <c r="M10" i="2"/>
  <c r="L10" i="2"/>
  <c r="I10" i="2"/>
  <c r="O10" i="2" s="1"/>
  <c r="P9" i="2"/>
  <c r="N9" i="2"/>
  <c r="M9" i="2"/>
  <c r="L9" i="2"/>
  <c r="I9" i="2"/>
  <c r="O9" i="2" s="1"/>
  <c r="P8" i="2"/>
  <c r="N8" i="2"/>
  <c r="M8" i="2"/>
  <c r="L8" i="2"/>
  <c r="I8" i="2"/>
  <c r="O8" i="2" s="1"/>
  <c r="P7" i="2"/>
  <c r="N7" i="2"/>
  <c r="M7" i="2"/>
  <c r="L7" i="2"/>
  <c r="I7" i="2"/>
  <c r="O7" i="2" s="1"/>
  <c r="P6" i="2"/>
  <c r="N6" i="2"/>
  <c r="M6" i="2"/>
  <c r="L6" i="2"/>
  <c r="I6" i="2"/>
  <c r="O6" i="2" s="1"/>
  <c r="Z5" i="2"/>
  <c r="P5" i="2"/>
  <c r="O5" i="2"/>
  <c r="N5" i="2"/>
  <c r="M5" i="2"/>
  <c r="L5" i="2"/>
  <c r="C70" i="2" s="1"/>
  <c r="I5" i="2"/>
  <c r="P4" i="2"/>
  <c r="N4" i="2"/>
  <c r="M4" i="2"/>
  <c r="L4" i="2"/>
  <c r="C69" i="2" s="1"/>
  <c r="I4" i="2"/>
  <c r="O4" i="2" s="1"/>
  <c r="Z3" i="2"/>
  <c r="P3" i="2"/>
  <c r="N3" i="2"/>
  <c r="M3" i="2"/>
  <c r="L3" i="2"/>
  <c r="C68" i="2" s="1"/>
  <c r="I3" i="2"/>
  <c r="O3" i="2" s="1"/>
  <c r="P2" i="2"/>
  <c r="N2" i="2"/>
  <c r="M2" i="2"/>
  <c r="L2" i="2"/>
  <c r="I2" i="2"/>
  <c r="O2" i="2" s="1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Q7" i="1"/>
  <c r="R7" i="1" s="1"/>
  <c r="Y7" i="1" s="1"/>
  <c r="Z7" i="1" s="1"/>
  <c r="P7" i="1"/>
  <c r="O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P3" i="1"/>
  <c r="Q3" i="1" s="1"/>
  <c r="R3" i="1" s="1"/>
  <c r="O3" i="1"/>
  <c r="M3" i="1"/>
  <c r="AA67" i="1" l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N70" i="2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N68" i="2"/>
  <c r="O68" i="2" s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N69" i="2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B68" i="2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B69" i="2"/>
  <c r="F69" i="2"/>
  <c r="F67" i="2"/>
  <c r="O57" i="2"/>
  <c r="Y780" i="1"/>
  <c r="F68" i="2"/>
  <c r="F70" i="2"/>
  <c r="O54" i="2"/>
  <c r="B70" i="2" s="1"/>
  <c r="O21" i="2"/>
  <c r="AA746" i="1" l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N67" i="2"/>
  <c r="O67" i="2" s="1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O69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H70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O70" i="2"/>
  <c r="H68" i="2" l="1"/>
  <c r="H69" i="2"/>
  <c r="H67" i="2"/>
  <c r="AB3" i="1"/>
</calcChain>
</file>

<file path=xl/sharedStrings.xml><?xml version="1.0" encoding="utf-8"?>
<sst xmlns="http://schemas.openxmlformats.org/spreadsheetml/2006/main" count="2569" uniqueCount="86">
  <si>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</si>
  <si>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</si>
  <si>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</si>
  <si>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</si>
  <si>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</si>
  <si>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</si>
  <si>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</si>
  <si>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</si>
  <si>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</si>
  <si>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</si>
  <si>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</si>
  <si>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</si>
  <si>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</si>
  <si>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</si>
  <si>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</si>
  <si>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</si>
  <si>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</si>
  <si>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</si>
  <si>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</si>
  <si>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</si>
  <si>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</si>
  <si>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</si>
  <si>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</si>
  <si>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</si>
  <si>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</si>
  <si>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</si>
  <si>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</si>
  <si>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</si>
  <si>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</si>
  <si>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</si>
  <si>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</si>
  <si>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</si>
  <si>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</si>
  <si>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</si>
  <si>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</si>
  <si>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</si>
  <si>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</si>
  <si>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</si>
  <si>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</si>
  <si>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</si>
  <si>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</si>
  <si>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</si>
  <si>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</si>
  <si>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</si>
  <si>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</si>
  <si>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</si>
  <si>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</si>
  <si>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</si>
  <si>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</si>
  <si>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</si>
  <si>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</si>
  <si>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</si>
  <si>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</si>
  <si>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</si>
  <si>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</si>
  <si>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</si>
  <si>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</si>
  <si>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</si>
  <si>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</si>
  <si>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</si>
  <si>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</si>
  <si>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</si>
  <si>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</si>
  <si>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</si>
  <si>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</si>
  <si>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</si>
  <si>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</si>
  <si>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</si>
  <si>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</si>
  <si>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</si>
  <si>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</si>
  <si>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</si>
  <si>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</si>
  <si>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</si>
  <si>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</si>
  <si>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</si>
  <si>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</si>
  <si>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</si>
  <si>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</si>
  <si>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</si>
  <si>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</si>
  <si>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</si>
  <si>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LAI MOE</t>
  </si>
  <si>
    <t>Canopy Leaf Area MOE</t>
  </si>
  <si>
    <t>LaPerBa MOE</t>
  </si>
  <si>
    <t>KmaxPerBA MOE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</si>
</sst>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"/>
    <numFmt numFmtId="170" formatCode="#,##0.0000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9" fontId="0" fillId="0" borderId="0" xfId="0" applyNumberFormat="1"/>
    <xf numFmtId="170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tabSelected="1" topLeftCell="A466" workbookViewId="0">
      <selection activeCell="F487" sqref="F487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35" t="s">
        <v>50</v>
      </c>
      <c r="O1" s="36"/>
      <c r="P1" s="36"/>
      <c r="Q1" s="37"/>
      <c r="R1" s="36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28"/>
  <sheetViews>
    <sheetView topLeftCell="A54" workbookViewId="0">
      <selection activeCell="G2" sqref="G2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2.5" style="12" bestFit="1" customWidth="1"/>
    <col min="5" max="5" width="15" style="13" bestFit="1" customWidth="1"/>
    <col min="6" max="7" width="16.33203125" style="10" bestFit="1" customWidth="1"/>
    <col min="8" max="8" width="20.5" style="10" bestFit="1" customWidth="1"/>
    <col min="9" max="9" width="20.5" style="32" bestFit="1" customWidth="1"/>
    <col min="10" max="10" width="20.5" style="10" bestFit="1" customWidth="1"/>
    <col min="11" max="11" width="17.83203125" style="14" bestFit="1" customWidth="1"/>
    <col min="12" max="12" width="17.83203125" style="10" bestFit="1" customWidth="1"/>
    <col min="13" max="13" width="16.6640625" style="10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t="s">
        <v>1</v>
      </c>
      <c r="B1" s="6" t="s">
        <v>2</v>
      </c>
      <c r="C1" s="5" t="s">
        <v>3</v>
      </c>
      <c r="D1" s="6" t="s">
        <v>4</v>
      </c>
      <c r="E1" s="7" t="s">
        <v>11</v>
      </c>
      <c r="F1" s="5" t="s">
        <v>12</v>
      </c>
      <c r="G1" s="5" t="s">
        <v>13</v>
      </c>
      <c r="H1" s="5" t="s">
        <v>14</v>
      </c>
      <c r="I1" s="31" t="s">
        <v>15</v>
      </c>
      <c r="J1" s="5" t="s">
        <v>16</v>
      </c>
      <c r="K1" s="3" t="s">
        <v>17</v>
      </c>
      <c r="L1" s="5" t="s">
        <v>18</v>
      </c>
      <c r="M1" s="5" t="s">
        <v>19</v>
      </c>
      <c r="N1" s="5" t="s">
        <v>20</v>
      </c>
      <c r="O1" s="5" t="s">
        <v>21</v>
      </c>
      <c r="P1" s="6" t="s">
        <v>22</v>
      </c>
      <c r="Q1" s="5" t="s">
        <v>23</v>
      </c>
      <c r="R1" s="5" t="s">
        <v>24</v>
      </c>
      <c r="S1" s="5" t="s">
        <v>25</v>
      </c>
      <c r="T1" s="5" t="s">
        <v>26</v>
      </c>
      <c r="U1" s="5" t="s">
        <v>27</v>
      </c>
      <c r="V1" s="5" t="s">
        <v>28</v>
      </c>
      <c r="W1" s="5" t="s">
        <v>29</v>
      </c>
      <c r="X1" s="5" t="s">
        <v>30</v>
      </c>
      <c r="Y1" s="5" t="s">
        <v>31</v>
      </c>
      <c r="Z1" s="5" t="s">
        <v>32</v>
      </c>
    </row>
    <row r="2" spans="1:26" ht="17.25" customHeight="1" x14ac:dyDescent="0.2">
      <c r="A2" t="s">
        <v>7</v>
      </c>
      <c r="B2" s="3">
        <v>72</v>
      </c>
      <c r="C2" s="3">
        <v>156</v>
      </c>
      <c r="D2" s="3">
        <v>43</v>
      </c>
      <c r="E2" s="5">
        <v>8.66</v>
      </c>
      <c r="F2" s="5">
        <v>27.73</v>
      </c>
      <c r="G2" s="5">
        <v>1.58</v>
      </c>
      <c r="H2" s="3">
        <v>479</v>
      </c>
      <c r="I2" s="31">
        <f t="shared" ref="I2:I33" si="0">H2/1000000</f>
        <v>4.7899999999999999E-4</v>
      </c>
      <c r="J2" s="3">
        <v>827</v>
      </c>
      <c r="K2" s="3">
        <v>114010</v>
      </c>
      <c r="L2" s="5">
        <f t="shared" ref="L2:L33" si="1">K2/1000000</f>
        <v>0.11401</v>
      </c>
      <c r="M2" s="33">
        <f t="shared" ref="M2:M33" si="2">K2/10000000000</f>
        <v>1.1401E-5</v>
      </c>
      <c r="N2" s="6">
        <f t="shared" ref="N2:N33" si="3">H2/K2</f>
        <v>4.2013858433470747E-3</v>
      </c>
      <c r="O2" s="6">
        <f t="shared" ref="O2:O33" si="4">I2/M2</f>
        <v>42.013858433470745</v>
      </c>
      <c r="P2" s="6">
        <f t="shared" ref="P2:P33" si="5">J2/K2</f>
        <v>7.2537496710814841E-3</v>
      </c>
      <c r="Q2" s="8">
        <v>3.8849999999999998</v>
      </c>
      <c r="R2" s="5">
        <v>16.178568559999999</v>
      </c>
      <c r="S2" s="5">
        <v>30.524652719999999</v>
      </c>
      <c r="T2" s="5">
        <v>67.450591029999998</v>
      </c>
      <c r="U2" s="5">
        <v>116.6195352</v>
      </c>
      <c r="V2" s="5">
        <v>137.2372723</v>
      </c>
      <c r="W2" s="5">
        <v>240.84449459999999</v>
      </c>
    </row>
    <row r="3" spans="1:26" ht="17.25" customHeight="1" x14ac:dyDescent="0.2">
      <c r="A3" t="s">
        <v>7</v>
      </c>
      <c r="B3" s="3">
        <v>72</v>
      </c>
      <c r="C3" s="3">
        <v>156</v>
      </c>
      <c r="D3" s="3">
        <v>44</v>
      </c>
      <c r="E3" s="5">
        <v>7.83</v>
      </c>
      <c r="F3" s="5">
        <v>27.73</v>
      </c>
      <c r="G3" s="5">
        <v>1.64</v>
      </c>
      <c r="H3" s="3">
        <v>320</v>
      </c>
      <c r="I3" s="31">
        <f t="shared" si="0"/>
        <v>3.2000000000000003E-4</v>
      </c>
      <c r="J3" s="3">
        <v>462</v>
      </c>
      <c r="K3" s="3">
        <v>114010</v>
      </c>
      <c r="L3" s="5">
        <f t="shared" si="1"/>
        <v>0.11401</v>
      </c>
      <c r="M3" s="33">
        <f t="shared" si="2"/>
        <v>1.1401E-5</v>
      </c>
      <c r="N3" s="6">
        <f t="shared" si="3"/>
        <v>2.8067713358477324E-3</v>
      </c>
      <c r="O3" s="6">
        <f t="shared" si="4"/>
        <v>28.067713358477331</v>
      </c>
      <c r="P3" s="6">
        <f t="shared" si="5"/>
        <v>4.0522761161301641E-3</v>
      </c>
      <c r="Q3" s="8">
        <v>3.4159999999999999</v>
      </c>
      <c r="R3" s="5">
        <v>28.60063676</v>
      </c>
      <c r="S3" s="5">
        <v>25.885301269999999</v>
      </c>
      <c r="T3" s="5">
        <v>108.9880007</v>
      </c>
      <c r="U3" s="5">
        <v>104.8989069</v>
      </c>
      <c r="V3" s="5">
        <v>258.59365880000001</v>
      </c>
      <c r="W3" s="5">
        <v>229.2409275</v>
      </c>
      <c r="X3" s="5">
        <v>2.89</v>
      </c>
      <c r="Y3" s="5">
        <v>4.22</v>
      </c>
      <c r="Z3" s="11">
        <f>Y3*X3</f>
        <v>12.1958</v>
      </c>
    </row>
    <row r="4" spans="1:26" ht="17.25" customHeight="1" x14ac:dyDescent="0.2">
      <c r="A4" t="s">
        <v>7</v>
      </c>
      <c r="B4" s="3">
        <v>72</v>
      </c>
      <c r="C4" s="3">
        <v>156</v>
      </c>
      <c r="D4" s="3">
        <v>45</v>
      </c>
      <c r="E4" s="5">
        <v>6.06</v>
      </c>
      <c r="F4" s="5">
        <v>27.73</v>
      </c>
      <c r="G4" s="5">
        <v>1.56</v>
      </c>
      <c r="H4" s="3">
        <v>368</v>
      </c>
      <c r="I4" s="31">
        <f t="shared" si="0"/>
        <v>3.68E-4</v>
      </c>
      <c r="J4" s="3">
        <v>633</v>
      </c>
      <c r="K4" s="3">
        <v>114010</v>
      </c>
      <c r="L4" s="5">
        <f t="shared" si="1"/>
        <v>0.11401</v>
      </c>
      <c r="M4" s="33">
        <f t="shared" si="2"/>
        <v>1.1401E-5</v>
      </c>
      <c r="N4" s="6">
        <f t="shared" si="3"/>
        <v>3.2277870362248926E-3</v>
      </c>
      <c r="O4" s="6">
        <f t="shared" si="4"/>
        <v>32.277870362248926</v>
      </c>
      <c r="P4" s="6">
        <f t="shared" si="5"/>
        <v>5.5521445487237957E-3</v>
      </c>
      <c r="Q4" s="8">
        <v>3.645</v>
      </c>
      <c r="R4" s="5">
        <v>28.7197566</v>
      </c>
      <c r="S4" s="5">
        <v>28.022466779999998</v>
      </c>
      <c r="T4" s="5">
        <v>112.7383758</v>
      </c>
      <c r="U4" s="5">
        <v>110.38650130000001</v>
      </c>
      <c r="V4" s="5">
        <v>288.63488960000001</v>
      </c>
      <c r="W4" s="5">
        <v>234.18904280000001</v>
      </c>
    </row>
    <row r="5" spans="1:26" ht="17.25" customHeight="1" x14ac:dyDescent="0.2">
      <c r="A5" t="s">
        <v>7</v>
      </c>
      <c r="B5" s="3">
        <v>72</v>
      </c>
      <c r="C5" s="3">
        <v>149</v>
      </c>
      <c r="D5" s="3">
        <v>46</v>
      </c>
      <c r="E5" s="5">
        <v>7.48</v>
      </c>
      <c r="F5" s="5">
        <v>27.73</v>
      </c>
      <c r="G5" s="5">
        <v>2.0499999999999998</v>
      </c>
      <c r="H5" s="3">
        <v>537</v>
      </c>
      <c r="I5" s="31">
        <f t="shared" si="0"/>
        <v>5.3700000000000004E-4</v>
      </c>
      <c r="J5" s="3">
        <v>897</v>
      </c>
      <c r="K5" s="3">
        <v>114010</v>
      </c>
      <c r="L5" s="5">
        <f t="shared" si="1"/>
        <v>0.11401</v>
      </c>
      <c r="M5" s="33">
        <f t="shared" si="2"/>
        <v>1.1401E-5</v>
      </c>
      <c r="N5" s="6">
        <f t="shared" si="3"/>
        <v>4.7101131479694762E-3</v>
      </c>
      <c r="O5" s="6">
        <f t="shared" si="4"/>
        <v>47.101131479694772</v>
      </c>
      <c r="P5" s="6">
        <f t="shared" si="5"/>
        <v>7.8677309007981755E-3</v>
      </c>
      <c r="Q5" s="8">
        <v>3.0150000000000001</v>
      </c>
      <c r="R5" s="5">
        <v>23.87605963</v>
      </c>
      <c r="S5" s="5">
        <v>18.78298431</v>
      </c>
      <c r="T5" s="5">
        <v>91.624720510000003</v>
      </c>
      <c r="U5" s="5">
        <v>106.80594360000001</v>
      </c>
      <c r="V5" s="5">
        <v>202.21486139999999</v>
      </c>
      <c r="W5" s="5">
        <v>214.1341606</v>
      </c>
      <c r="X5" s="5">
        <v>7.38</v>
      </c>
      <c r="Y5" s="5">
        <v>1.52</v>
      </c>
      <c r="Z5" s="11">
        <f>Y5*X5</f>
        <v>11.217599999999999</v>
      </c>
    </row>
    <row r="6" spans="1:26" ht="17.25" customHeight="1" x14ac:dyDescent="0.2">
      <c r="A6" t="s">
        <v>7</v>
      </c>
      <c r="B6" s="3">
        <v>72</v>
      </c>
      <c r="C6" s="3">
        <v>149</v>
      </c>
      <c r="D6" s="3">
        <v>47</v>
      </c>
      <c r="E6" s="5">
        <v>7.28</v>
      </c>
      <c r="F6" s="5">
        <v>27.73</v>
      </c>
      <c r="G6" s="5">
        <v>2.1800000000000002</v>
      </c>
      <c r="H6" s="3">
        <v>437</v>
      </c>
      <c r="I6" s="31">
        <f t="shared" si="0"/>
        <v>4.37E-4</v>
      </c>
      <c r="J6" s="3">
        <v>806</v>
      </c>
      <c r="K6" s="3">
        <v>114010</v>
      </c>
      <c r="L6" s="5">
        <f t="shared" si="1"/>
        <v>0.11401</v>
      </c>
      <c r="M6" s="33">
        <f t="shared" si="2"/>
        <v>1.1401E-5</v>
      </c>
      <c r="N6" s="6">
        <f t="shared" si="3"/>
        <v>3.8329971055170598E-3</v>
      </c>
      <c r="O6" s="6">
        <f t="shared" si="4"/>
        <v>38.329971055170603</v>
      </c>
      <c r="P6" s="6">
        <f t="shared" si="5"/>
        <v>7.0695553021664767E-3</v>
      </c>
      <c r="Q6" s="8">
        <v>3.5019999999999998</v>
      </c>
      <c r="R6" s="5">
        <v>26.01128989</v>
      </c>
      <c r="S6" s="5">
        <v>27.137131320000002</v>
      </c>
      <c r="T6" s="5">
        <v>95.498355430000004</v>
      </c>
      <c r="U6" s="5">
        <v>125.28902890000001</v>
      </c>
      <c r="V6" s="5">
        <v>224.31991389999999</v>
      </c>
      <c r="W6" s="5">
        <v>278.66997980000002</v>
      </c>
    </row>
    <row r="7" spans="1:26" ht="17.25" customHeight="1" x14ac:dyDescent="0.2">
      <c r="A7" t="s">
        <v>7</v>
      </c>
      <c r="B7" s="3">
        <v>72</v>
      </c>
      <c r="C7" s="3">
        <v>149</v>
      </c>
      <c r="D7" s="3">
        <v>48</v>
      </c>
      <c r="E7" s="5">
        <v>7.96</v>
      </c>
      <c r="F7" s="5">
        <v>27.73</v>
      </c>
      <c r="G7" s="5">
        <v>2.2599999999999998</v>
      </c>
      <c r="H7" s="3">
        <v>604</v>
      </c>
      <c r="I7" s="31">
        <f t="shared" si="0"/>
        <v>6.0400000000000004E-4</v>
      </c>
      <c r="J7" s="3">
        <v>942</v>
      </c>
      <c r="K7" s="3">
        <v>114010</v>
      </c>
      <c r="L7" s="5">
        <f t="shared" si="1"/>
        <v>0.11401</v>
      </c>
      <c r="M7" s="33">
        <f t="shared" si="2"/>
        <v>1.1401E-5</v>
      </c>
      <c r="N7" s="6">
        <f t="shared" si="3"/>
        <v>5.2977808964125954E-3</v>
      </c>
      <c r="O7" s="6">
        <f t="shared" si="4"/>
        <v>52.977808964125956</v>
      </c>
      <c r="P7" s="6">
        <f t="shared" si="5"/>
        <v>8.2624331199017634E-3</v>
      </c>
      <c r="Q7" s="8">
        <v>4.0759999999999996</v>
      </c>
      <c r="R7" s="5">
        <v>18.184513679999998</v>
      </c>
      <c r="S7" s="5">
        <v>20.08791467</v>
      </c>
      <c r="T7" s="5">
        <v>75.316961210000002</v>
      </c>
      <c r="U7" s="5">
        <v>103.6185243</v>
      </c>
      <c r="V7" s="5">
        <v>227.62870419999999</v>
      </c>
      <c r="W7" s="5">
        <v>211.0961259</v>
      </c>
    </row>
    <row r="8" spans="1:26" ht="17.25" customHeight="1" x14ac:dyDescent="0.2">
      <c r="A8" t="s">
        <v>7</v>
      </c>
      <c r="B8" s="3">
        <v>72</v>
      </c>
      <c r="C8" s="3">
        <v>152</v>
      </c>
      <c r="D8" s="3">
        <v>49</v>
      </c>
      <c r="E8" s="5">
        <v>6.49</v>
      </c>
      <c r="F8" s="5">
        <v>27.73</v>
      </c>
      <c r="G8" s="5">
        <v>1.64</v>
      </c>
      <c r="H8" s="3">
        <v>600</v>
      </c>
      <c r="I8" s="31">
        <f t="shared" si="0"/>
        <v>5.9999999999999995E-4</v>
      </c>
      <c r="J8" s="3">
        <v>1185</v>
      </c>
      <c r="K8" s="3">
        <v>114010</v>
      </c>
      <c r="L8" s="5">
        <f t="shared" si="1"/>
        <v>0.11401</v>
      </c>
      <c r="M8" s="33">
        <f t="shared" si="2"/>
        <v>1.1401E-5</v>
      </c>
      <c r="N8" s="6">
        <f t="shared" si="3"/>
        <v>5.2626962547144985E-3</v>
      </c>
      <c r="O8" s="6">
        <f t="shared" si="4"/>
        <v>52.626962547144984</v>
      </c>
      <c r="P8" s="6">
        <f t="shared" si="5"/>
        <v>1.0393825103061135E-2</v>
      </c>
      <c r="Q8" s="8">
        <v>3.327</v>
      </c>
      <c r="R8" s="5">
        <v>24.038220240000001</v>
      </c>
      <c r="S8" s="5">
        <v>33.434471809999998</v>
      </c>
      <c r="T8" s="5">
        <v>96.969493679999999</v>
      </c>
      <c r="U8" s="5">
        <v>124.4599178</v>
      </c>
      <c r="V8" s="5">
        <v>230.7102424</v>
      </c>
      <c r="W8" s="5">
        <v>253.93187119999999</v>
      </c>
    </row>
    <row r="9" spans="1:26" ht="17.25" customHeight="1" x14ac:dyDescent="0.2">
      <c r="A9" t="s">
        <v>7</v>
      </c>
      <c r="B9" s="3">
        <v>72</v>
      </c>
      <c r="C9" s="3">
        <v>152</v>
      </c>
      <c r="D9" s="3">
        <v>50</v>
      </c>
      <c r="E9" s="5">
        <v>7.36</v>
      </c>
      <c r="F9" s="5">
        <v>27.73</v>
      </c>
      <c r="G9" s="5">
        <v>1.6</v>
      </c>
      <c r="H9" s="3">
        <v>745</v>
      </c>
      <c r="I9" s="31">
        <f t="shared" si="0"/>
        <v>7.45E-4</v>
      </c>
      <c r="J9" s="3">
        <v>1119</v>
      </c>
      <c r="K9" s="3">
        <v>114010</v>
      </c>
      <c r="L9" s="5">
        <f t="shared" si="1"/>
        <v>0.11401</v>
      </c>
      <c r="M9" s="33">
        <f t="shared" si="2"/>
        <v>1.1401E-5</v>
      </c>
      <c r="N9" s="6">
        <f t="shared" si="3"/>
        <v>6.5345145162705029E-3</v>
      </c>
      <c r="O9" s="6">
        <f t="shared" si="4"/>
        <v>65.345145162705023</v>
      </c>
      <c r="P9" s="6">
        <f t="shared" si="5"/>
        <v>9.8149285150425404E-3</v>
      </c>
      <c r="Q9" s="8">
        <v>3.7879999999999998</v>
      </c>
      <c r="R9" s="5">
        <v>30.199044570000002</v>
      </c>
      <c r="S9" s="5">
        <v>15.62899925</v>
      </c>
      <c r="T9" s="5">
        <v>104.7404281</v>
      </c>
      <c r="U9" s="5">
        <v>58.314139189999999</v>
      </c>
      <c r="V9" s="5">
        <v>248.0886778</v>
      </c>
      <c r="W9" s="5">
        <v>121.63338450000001</v>
      </c>
    </row>
    <row r="10" spans="1:26" ht="17.25" customHeight="1" x14ac:dyDescent="0.2">
      <c r="A10" t="s">
        <v>7</v>
      </c>
      <c r="B10" s="3">
        <v>72</v>
      </c>
      <c r="C10" s="3">
        <v>152</v>
      </c>
      <c r="D10" s="3">
        <v>51</v>
      </c>
      <c r="E10" s="5">
        <v>6.5</v>
      </c>
      <c r="F10" s="5">
        <v>27.73</v>
      </c>
      <c r="G10" s="5">
        <v>1.36</v>
      </c>
      <c r="H10" s="3">
        <v>604</v>
      </c>
      <c r="I10" s="31">
        <f t="shared" si="0"/>
        <v>6.0400000000000004E-4</v>
      </c>
      <c r="J10" s="3">
        <v>1012</v>
      </c>
      <c r="K10" s="3">
        <v>114010</v>
      </c>
      <c r="L10" s="5">
        <f t="shared" si="1"/>
        <v>0.11401</v>
      </c>
      <c r="M10" s="33">
        <f t="shared" si="2"/>
        <v>1.1401E-5</v>
      </c>
      <c r="N10" s="6">
        <f t="shared" si="3"/>
        <v>5.2977808964125954E-3</v>
      </c>
      <c r="O10" s="6">
        <f t="shared" si="4"/>
        <v>52.977808964125956</v>
      </c>
      <c r="P10" s="6">
        <f t="shared" si="5"/>
        <v>8.8764143496184549E-3</v>
      </c>
      <c r="Q10" s="8">
        <v>3.2280000000000002</v>
      </c>
      <c r="R10" s="5">
        <v>25.84615144</v>
      </c>
      <c r="S10" s="5">
        <v>34.628875489999999</v>
      </c>
      <c r="T10" s="5">
        <v>97.555049479999994</v>
      </c>
      <c r="U10" s="5">
        <v>129.3298886</v>
      </c>
      <c r="V10" s="5">
        <v>230.05252200000001</v>
      </c>
      <c r="W10" s="5">
        <v>255.64724949999999</v>
      </c>
      <c r="X10" s="5">
        <v>3.51</v>
      </c>
      <c r="Y10" s="5">
        <v>5.29</v>
      </c>
      <c r="Z10" s="11">
        <f>Y10*X10</f>
        <v>18.567899999999998</v>
      </c>
    </row>
    <row r="11" spans="1:26" ht="17.25" customHeight="1" x14ac:dyDescent="0.2">
      <c r="A11" t="s">
        <v>7</v>
      </c>
      <c r="B11" s="3">
        <v>72</v>
      </c>
      <c r="C11" s="3">
        <v>155</v>
      </c>
      <c r="D11" s="3">
        <v>58</v>
      </c>
      <c r="E11" s="5">
        <v>8.1</v>
      </c>
      <c r="F11" s="5">
        <v>27.73</v>
      </c>
      <c r="G11" s="5">
        <v>1.28</v>
      </c>
      <c r="H11" s="3">
        <v>555</v>
      </c>
      <c r="I11" s="31">
        <f t="shared" si="0"/>
        <v>5.5500000000000005E-4</v>
      </c>
      <c r="J11" s="3">
        <v>827</v>
      </c>
      <c r="K11" s="3">
        <v>114010</v>
      </c>
      <c r="L11" s="5">
        <f t="shared" si="1"/>
        <v>0.11401</v>
      </c>
      <c r="M11" s="33">
        <f t="shared" si="2"/>
        <v>1.1401E-5</v>
      </c>
      <c r="N11" s="6">
        <f t="shared" si="3"/>
        <v>4.8679940356109114E-3</v>
      </c>
      <c r="O11" s="6">
        <f t="shared" si="4"/>
        <v>48.679940356109121</v>
      </c>
      <c r="P11" s="6">
        <f t="shared" si="5"/>
        <v>7.2537496710814841E-3</v>
      </c>
      <c r="Q11" s="8">
        <v>3.4009999999999998</v>
      </c>
      <c r="R11" s="5">
        <v>31.17742114</v>
      </c>
      <c r="S11" s="5">
        <v>30.633820889999999</v>
      </c>
      <c r="T11" s="5">
        <v>118.9913541</v>
      </c>
      <c r="U11" s="5">
        <v>136.39440200000001</v>
      </c>
      <c r="V11" s="5">
        <v>272.74271210000001</v>
      </c>
      <c r="W11" s="5">
        <v>284.95015899999999</v>
      </c>
    </row>
    <row r="12" spans="1:26" ht="17.25" customHeight="1" x14ac:dyDescent="0.2">
      <c r="A12" t="s">
        <v>7</v>
      </c>
      <c r="B12" s="3">
        <v>72</v>
      </c>
      <c r="C12" s="3">
        <v>155</v>
      </c>
      <c r="D12" s="3">
        <v>59</v>
      </c>
      <c r="E12" s="5">
        <v>10.14</v>
      </c>
      <c r="F12" s="5">
        <v>27.73</v>
      </c>
      <c r="G12" s="5">
        <v>1.36</v>
      </c>
      <c r="H12" s="3">
        <v>535</v>
      </c>
      <c r="I12" s="31">
        <f t="shared" si="0"/>
        <v>5.3499999999999999E-4</v>
      </c>
      <c r="J12" s="3">
        <v>948</v>
      </c>
      <c r="K12" s="3">
        <v>114010</v>
      </c>
      <c r="L12" s="5">
        <f t="shared" si="1"/>
        <v>0.11401</v>
      </c>
      <c r="M12" s="33">
        <f t="shared" si="2"/>
        <v>1.1401E-5</v>
      </c>
      <c r="N12" s="6">
        <f t="shared" si="3"/>
        <v>4.6925708271204278E-3</v>
      </c>
      <c r="O12" s="6">
        <f t="shared" si="4"/>
        <v>46.925708271204279</v>
      </c>
      <c r="P12" s="6">
        <f t="shared" si="5"/>
        <v>8.3150600824489079E-3</v>
      </c>
      <c r="Q12" s="8">
        <v>2.8879999999999999</v>
      </c>
      <c r="R12" s="5">
        <v>25.16090204</v>
      </c>
      <c r="S12" s="5">
        <v>34.334627500000003</v>
      </c>
      <c r="T12" s="5">
        <v>97.133775470000003</v>
      </c>
      <c r="U12" s="5">
        <v>151.12378029999999</v>
      </c>
      <c r="V12" s="5">
        <v>229.3524094</v>
      </c>
      <c r="W12" s="5">
        <v>349.87138650000003</v>
      </c>
    </row>
    <row r="13" spans="1:26" ht="17.25" customHeight="1" x14ac:dyDescent="0.2">
      <c r="A13" t="s">
        <v>7</v>
      </c>
      <c r="B13" s="3">
        <v>72</v>
      </c>
      <c r="C13" s="3">
        <v>155</v>
      </c>
      <c r="D13" s="3">
        <v>60</v>
      </c>
      <c r="E13" s="3">
        <v>9</v>
      </c>
      <c r="F13" s="5">
        <v>27.73</v>
      </c>
      <c r="G13" s="5">
        <v>1.33</v>
      </c>
      <c r="H13" s="3">
        <v>527</v>
      </c>
      <c r="I13" s="31">
        <f t="shared" si="0"/>
        <v>5.2700000000000002E-4</v>
      </c>
      <c r="J13" s="3">
        <v>910</v>
      </c>
      <c r="K13" s="3">
        <v>114010</v>
      </c>
      <c r="L13" s="5">
        <f t="shared" si="1"/>
        <v>0.11401</v>
      </c>
      <c r="M13" s="33">
        <f t="shared" si="2"/>
        <v>1.1401E-5</v>
      </c>
      <c r="N13" s="6">
        <f t="shared" si="3"/>
        <v>4.6224015437242348E-3</v>
      </c>
      <c r="O13" s="6">
        <f t="shared" si="4"/>
        <v>46.22401543724235</v>
      </c>
      <c r="P13" s="6">
        <f t="shared" si="5"/>
        <v>7.98175598631699E-3</v>
      </c>
      <c r="Q13" s="8">
        <v>3.7879999999999998</v>
      </c>
      <c r="R13" s="5">
        <v>25.826177940000001</v>
      </c>
      <c r="S13" s="5">
        <v>35.876411519999998</v>
      </c>
      <c r="T13" s="5">
        <v>90.45974167</v>
      </c>
      <c r="U13" s="5">
        <v>176.62033020000001</v>
      </c>
      <c r="V13" s="5">
        <v>221.70857670000001</v>
      </c>
      <c r="W13" s="5">
        <v>267.82223099999999</v>
      </c>
      <c r="X13" s="5">
        <v>0.44</v>
      </c>
      <c r="Y13" s="5">
        <v>23.12</v>
      </c>
      <c r="Z13" s="11">
        <f>Y13*X13</f>
        <v>10.172800000000001</v>
      </c>
    </row>
    <row r="14" spans="1:26" ht="17.25" customHeight="1" x14ac:dyDescent="0.2">
      <c r="A14" t="s">
        <v>7</v>
      </c>
      <c r="B14" s="3">
        <v>72</v>
      </c>
      <c r="C14" s="3">
        <v>5</v>
      </c>
      <c r="D14" s="3">
        <v>61</v>
      </c>
      <c r="E14" s="5">
        <v>6.64</v>
      </c>
      <c r="F14" s="5">
        <v>27.73</v>
      </c>
      <c r="G14" s="5">
        <v>1.1399999999999999</v>
      </c>
      <c r="H14" s="3">
        <v>306</v>
      </c>
      <c r="I14" s="31">
        <f t="shared" si="0"/>
        <v>3.0600000000000001E-4</v>
      </c>
      <c r="J14" s="3">
        <v>437</v>
      </c>
      <c r="K14" s="3">
        <v>114010</v>
      </c>
      <c r="L14" s="5">
        <f t="shared" si="1"/>
        <v>0.11401</v>
      </c>
      <c r="M14" s="33">
        <f t="shared" si="2"/>
        <v>1.1401E-5</v>
      </c>
      <c r="N14" s="6">
        <f t="shared" si="3"/>
        <v>2.6839750899043942E-3</v>
      </c>
      <c r="O14" s="6">
        <f t="shared" si="4"/>
        <v>26.839750899043946</v>
      </c>
      <c r="P14" s="6">
        <f t="shared" si="5"/>
        <v>3.8329971055170598E-3</v>
      </c>
      <c r="Q14" s="8">
        <v>3.323</v>
      </c>
      <c r="R14" s="5">
        <v>25.282649079999999</v>
      </c>
      <c r="S14" s="5">
        <v>30.668105879999999</v>
      </c>
      <c r="T14" s="5">
        <v>91.907939229999997</v>
      </c>
      <c r="U14" s="5">
        <v>139.9751857</v>
      </c>
      <c r="V14" s="5">
        <v>249.6141289</v>
      </c>
      <c r="W14" s="5">
        <v>308.14071999999999</v>
      </c>
    </row>
    <row r="15" spans="1:26" ht="17.25" customHeight="1" x14ac:dyDescent="0.2">
      <c r="A15" t="s">
        <v>7</v>
      </c>
      <c r="B15" s="3">
        <v>72</v>
      </c>
      <c r="C15" s="3">
        <v>5</v>
      </c>
      <c r="D15" s="3">
        <v>63</v>
      </c>
      <c r="E15" s="5">
        <v>7.06</v>
      </c>
      <c r="F15" s="5">
        <v>27.73</v>
      </c>
      <c r="G15" s="5">
        <v>1.44</v>
      </c>
      <c r="H15" s="3">
        <v>487</v>
      </c>
      <c r="I15" s="31">
        <f t="shared" si="0"/>
        <v>4.8700000000000002E-4</v>
      </c>
      <c r="J15" s="3">
        <v>651</v>
      </c>
      <c r="K15" s="3">
        <v>114010</v>
      </c>
      <c r="L15" s="5">
        <f t="shared" si="1"/>
        <v>0.11401</v>
      </c>
      <c r="M15" s="33">
        <f t="shared" si="2"/>
        <v>1.1401E-5</v>
      </c>
      <c r="N15" s="6">
        <f t="shared" si="3"/>
        <v>4.2715551267432685E-3</v>
      </c>
      <c r="O15" s="6">
        <f t="shared" si="4"/>
        <v>42.715551267432687</v>
      </c>
      <c r="P15" s="6">
        <f t="shared" si="5"/>
        <v>5.7100254363652309E-3</v>
      </c>
      <c r="Q15" s="8">
        <v>3.0049999999999999</v>
      </c>
      <c r="R15" s="5">
        <v>22.463388009999999</v>
      </c>
      <c r="S15" s="5">
        <v>25.471402090000002</v>
      </c>
      <c r="T15" s="5">
        <v>90.759460599999997</v>
      </c>
      <c r="U15" s="5">
        <v>113.0398201</v>
      </c>
      <c r="V15" s="5">
        <v>207.27797720000001</v>
      </c>
      <c r="W15" s="5">
        <v>237.66134869999999</v>
      </c>
    </row>
    <row r="16" spans="1:26" ht="17.25" customHeight="1" x14ac:dyDescent="0.2">
      <c r="A16" t="s">
        <v>7</v>
      </c>
      <c r="B16" s="3">
        <v>72</v>
      </c>
      <c r="C16" s="3">
        <v>5</v>
      </c>
      <c r="D16" s="3">
        <v>85</v>
      </c>
      <c r="E16" s="5">
        <v>6.97</v>
      </c>
      <c r="F16" s="5">
        <v>27.73</v>
      </c>
      <c r="G16" s="5">
        <v>1.37</v>
      </c>
      <c r="H16" s="3">
        <v>354</v>
      </c>
      <c r="I16" s="31">
        <f t="shared" si="0"/>
        <v>3.5399999999999999E-4</v>
      </c>
      <c r="J16" s="3">
        <v>577</v>
      </c>
      <c r="K16" s="3">
        <v>114010</v>
      </c>
      <c r="L16" s="5">
        <f t="shared" si="1"/>
        <v>0.11401</v>
      </c>
      <c r="M16" s="33">
        <f t="shared" si="2"/>
        <v>1.1401E-5</v>
      </c>
      <c r="N16" s="6">
        <f t="shared" si="3"/>
        <v>3.1049907902815544E-3</v>
      </c>
      <c r="O16" s="6">
        <f t="shared" si="4"/>
        <v>31.049907902815541</v>
      </c>
      <c r="P16" s="6">
        <f t="shared" si="5"/>
        <v>5.0609595649504426E-3</v>
      </c>
      <c r="Q16" s="8">
        <v>3.3</v>
      </c>
      <c r="R16" s="5">
        <v>18.707496939999999</v>
      </c>
      <c r="S16" s="5">
        <v>23.516593409999999</v>
      </c>
      <c r="T16" s="5">
        <v>68.033266909999995</v>
      </c>
      <c r="U16" s="5">
        <v>111.4160949</v>
      </c>
      <c r="V16" s="5">
        <v>196.07112129999999</v>
      </c>
      <c r="W16" s="5">
        <v>229.19717700000001</v>
      </c>
      <c r="X16" s="5">
        <v>4.0199999999999996</v>
      </c>
      <c r="Y16" s="5">
        <v>1.95</v>
      </c>
      <c r="Z16" s="11">
        <f>Y16*X16</f>
        <v>7.8389999999999986</v>
      </c>
    </row>
    <row r="17" spans="1:26" ht="17.25" customHeight="1" x14ac:dyDescent="0.2">
      <c r="A17" t="s">
        <v>8</v>
      </c>
      <c r="B17" s="3">
        <v>1521</v>
      </c>
      <c r="C17" s="3">
        <v>153</v>
      </c>
      <c r="D17" s="3">
        <v>69</v>
      </c>
      <c r="E17" s="5">
        <v>8.01</v>
      </c>
      <c r="F17" s="5">
        <v>27.73</v>
      </c>
      <c r="G17" s="5">
        <v>1.43</v>
      </c>
      <c r="H17" s="3">
        <v>448</v>
      </c>
      <c r="I17" s="31">
        <f t="shared" si="0"/>
        <v>4.4799999999999999E-4</v>
      </c>
      <c r="J17" s="3">
        <v>827</v>
      </c>
      <c r="K17" s="3">
        <v>114010</v>
      </c>
      <c r="L17" s="5">
        <f t="shared" si="1"/>
        <v>0.11401</v>
      </c>
      <c r="M17" s="33">
        <f t="shared" si="2"/>
        <v>1.1401E-5</v>
      </c>
      <c r="N17" s="6">
        <f t="shared" si="3"/>
        <v>3.9294798701868259E-3</v>
      </c>
      <c r="O17" s="6">
        <f t="shared" si="4"/>
        <v>39.29479870186826</v>
      </c>
      <c r="P17" s="6">
        <f t="shared" si="5"/>
        <v>7.2537496710814841E-3</v>
      </c>
      <c r="Q17" s="8">
        <v>4.2</v>
      </c>
      <c r="R17" s="5">
        <v>21.978966939999999</v>
      </c>
      <c r="S17" s="5">
        <v>26.008328890000001</v>
      </c>
      <c r="T17" s="5">
        <v>73.008945479999994</v>
      </c>
      <c r="U17" s="5">
        <v>121.751322</v>
      </c>
      <c r="V17" s="5">
        <v>195.530216</v>
      </c>
      <c r="W17" s="5">
        <v>258.52217480000002</v>
      </c>
    </row>
    <row r="18" spans="1:26" ht="17.25" customHeight="1" x14ac:dyDescent="0.2">
      <c r="A18" t="s">
        <v>8</v>
      </c>
      <c r="B18" s="3">
        <v>1521</v>
      </c>
      <c r="C18" s="3">
        <v>153</v>
      </c>
      <c r="D18" s="3">
        <v>76</v>
      </c>
      <c r="E18" s="5">
        <v>7.44</v>
      </c>
      <c r="F18" s="5">
        <v>27.73</v>
      </c>
      <c r="G18" s="5">
        <v>1.42</v>
      </c>
      <c r="H18" s="3">
        <v>406</v>
      </c>
      <c r="I18" s="31">
        <f t="shared" si="0"/>
        <v>4.06E-4</v>
      </c>
      <c r="J18" s="3">
        <v>462</v>
      </c>
      <c r="K18" s="3">
        <v>114010</v>
      </c>
      <c r="L18" s="5">
        <f t="shared" si="1"/>
        <v>0.11401</v>
      </c>
      <c r="M18" s="33">
        <f t="shared" si="2"/>
        <v>1.1401E-5</v>
      </c>
      <c r="N18" s="6">
        <f t="shared" si="3"/>
        <v>3.561091132356811E-3</v>
      </c>
      <c r="O18" s="6">
        <f t="shared" si="4"/>
        <v>35.610911323568111</v>
      </c>
      <c r="P18" s="6">
        <f t="shared" si="5"/>
        <v>4.0522761161301641E-3</v>
      </c>
      <c r="Q18" s="8">
        <v>4.2320000000000002</v>
      </c>
      <c r="R18" s="5">
        <v>16.03356956</v>
      </c>
      <c r="S18" s="5">
        <v>21.87495041</v>
      </c>
      <c r="T18" s="5">
        <v>56.721846360000001</v>
      </c>
      <c r="U18" s="5">
        <v>107.51054139999999</v>
      </c>
      <c r="V18" s="5">
        <v>195.4835473</v>
      </c>
      <c r="W18" s="5">
        <v>211.41478559999999</v>
      </c>
    </row>
    <row r="19" spans="1:26" ht="17.25" customHeight="1" x14ac:dyDescent="0.2">
      <c r="A19" t="s">
        <v>8</v>
      </c>
      <c r="B19" s="3">
        <v>1521</v>
      </c>
      <c r="C19" s="3">
        <v>153</v>
      </c>
      <c r="D19" s="3">
        <v>90</v>
      </c>
      <c r="E19" s="5">
        <v>7.98</v>
      </c>
      <c r="F19" s="5">
        <v>27.73</v>
      </c>
      <c r="G19" s="5">
        <v>2.16</v>
      </c>
      <c r="H19" s="3">
        <v>716</v>
      </c>
      <c r="I19" s="31">
        <f t="shared" si="0"/>
        <v>7.1599999999999995E-4</v>
      </c>
      <c r="J19" s="3">
        <v>633</v>
      </c>
      <c r="K19" s="3">
        <v>114010</v>
      </c>
      <c r="L19" s="5">
        <f t="shared" si="1"/>
        <v>0.11401</v>
      </c>
      <c r="M19" s="33">
        <f t="shared" si="2"/>
        <v>1.1401E-5</v>
      </c>
      <c r="N19" s="6">
        <f t="shared" si="3"/>
        <v>6.2801508639593016E-3</v>
      </c>
      <c r="O19" s="6">
        <f t="shared" si="4"/>
        <v>62.801508639593017</v>
      </c>
      <c r="P19" s="6">
        <f t="shared" si="5"/>
        <v>5.5521445487237957E-3</v>
      </c>
      <c r="Q19" s="8">
        <v>4.8860000000000001</v>
      </c>
      <c r="R19" s="5">
        <v>13.21412772</v>
      </c>
      <c r="S19" s="5">
        <v>21.26659261</v>
      </c>
      <c r="T19" s="5">
        <v>49.657833359999998</v>
      </c>
      <c r="U19" s="5">
        <v>82.779526450000006</v>
      </c>
      <c r="V19" s="5">
        <v>112.2144447</v>
      </c>
      <c r="W19" s="5">
        <v>167.74214939999999</v>
      </c>
      <c r="X19" s="5">
        <v>8.68</v>
      </c>
      <c r="Y19" s="5">
        <v>0.14599999999999999</v>
      </c>
      <c r="Z19" s="11">
        <f>Y19*X19</f>
        <v>1.26728</v>
      </c>
    </row>
    <row r="20" spans="1:26" ht="17.25" customHeight="1" x14ac:dyDescent="0.2">
      <c r="A20" t="s">
        <v>8</v>
      </c>
      <c r="B20" s="3">
        <v>1521</v>
      </c>
      <c r="C20" s="3">
        <v>155</v>
      </c>
      <c r="D20" s="3">
        <v>62</v>
      </c>
      <c r="E20" s="3">
        <v>7</v>
      </c>
      <c r="F20" s="5">
        <v>27.73</v>
      </c>
      <c r="G20" s="5">
        <v>1.42</v>
      </c>
      <c r="H20" s="3">
        <v>267</v>
      </c>
      <c r="I20" s="31">
        <f t="shared" si="0"/>
        <v>2.6699999999999998E-4</v>
      </c>
      <c r="J20" s="3">
        <v>897</v>
      </c>
      <c r="K20" s="3">
        <v>114010</v>
      </c>
      <c r="L20" s="5">
        <f t="shared" si="1"/>
        <v>0.11401</v>
      </c>
      <c r="M20" s="33">
        <f t="shared" si="2"/>
        <v>1.1401E-5</v>
      </c>
      <c r="N20" s="6">
        <f t="shared" si="3"/>
        <v>2.341899833347952E-3</v>
      </c>
      <c r="O20" s="6">
        <f t="shared" si="4"/>
        <v>23.418998333479518</v>
      </c>
      <c r="P20" s="6">
        <f t="shared" si="5"/>
        <v>7.8677309007981755E-3</v>
      </c>
      <c r="Q20" s="8">
        <v>3.6349999999999998</v>
      </c>
      <c r="R20" s="5">
        <v>17.259631540000001</v>
      </c>
      <c r="S20" s="5">
        <v>26.16352582</v>
      </c>
      <c r="T20" s="5">
        <v>98.703483570000003</v>
      </c>
      <c r="U20" s="5">
        <v>88.525081560000004</v>
      </c>
      <c r="V20" s="5">
        <v>229.31395839999999</v>
      </c>
      <c r="W20" s="5">
        <v>177.76821219999999</v>
      </c>
    </row>
    <row r="21" spans="1:26" ht="17.25" customHeight="1" x14ac:dyDescent="0.2">
      <c r="A21" t="s">
        <v>8</v>
      </c>
      <c r="B21" s="3">
        <v>1521</v>
      </c>
      <c r="C21" s="3">
        <v>155</v>
      </c>
      <c r="D21" s="3">
        <v>64</v>
      </c>
      <c r="E21" s="5">
        <v>7.62</v>
      </c>
      <c r="F21" s="5">
        <v>27.73</v>
      </c>
      <c r="G21" s="5">
        <v>1.85</v>
      </c>
      <c r="H21" s="3">
        <v>306</v>
      </c>
      <c r="I21" s="31">
        <f t="shared" si="0"/>
        <v>3.0600000000000001E-4</v>
      </c>
      <c r="J21" s="3">
        <v>806</v>
      </c>
      <c r="K21" s="3">
        <v>114010</v>
      </c>
      <c r="L21" s="5">
        <f t="shared" si="1"/>
        <v>0.11401</v>
      </c>
      <c r="M21" s="33">
        <f t="shared" si="2"/>
        <v>1.1401E-5</v>
      </c>
      <c r="N21" s="6">
        <f t="shared" si="3"/>
        <v>2.6839750899043942E-3</v>
      </c>
      <c r="O21" s="6">
        <f t="shared" si="4"/>
        <v>26.839750899043946</v>
      </c>
      <c r="P21" s="6">
        <f t="shared" si="5"/>
        <v>7.0695553021664767E-3</v>
      </c>
      <c r="Q21" s="8">
        <v>3.7</v>
      </c>
      <c r="R21" s="5">
        <v>22.78908259</v>
      </c>
      <c r="S21" s="5">
        <v>20.860712979999999</v>
      </c>
      <c r="T21" s="5">
        <v>104.66246219999999</v>
      </c>
      <c r="U21" s="5">
        <v>83.918466530000003</v>
      </c>
      <c r="V21" s="5">
        <v>238.21353189999999</v>
      </c>
      <c r="W21" s="5">
        <v>172.85719309999999</v>
      </c>
    </row>
    <row r="22" spans="1:26" ht="17.25" customHeight="1" x14ac:dyDescent="0.2">
      <c r="A22" t="s">
        <v>8</v>
      </c>
      <c r="B22" s="3">
        <v>1521</v>
      </c>
      <c r="C22" s="3">
        <v>155</v>
      </c>
      <c r="D22" s="3">
        <v>66</v>
      </c>
      <c r="E22" s="5">
        <v>8.3800000000000008</v>
      </c>
      <c r="F22" s="5">
        <v>27.73</v>
      </c>
      <c r="G22" s="5">
        <v>1.94</v>
      </c>
      <c r="H22" s="3">
        <v>469</v>
      </c>
      <c r="I22" s="31">
        <f t="shared" si="0"/>
        <v>4.6900000000000002E-4</v>
      </c>
      <c r="J22" s="3">
        <v>942</v>
      </c>
      <c r="K22" s="3">
        <v>114010</v>
      </c>
      <c r="L22" s="5">
        <f t="shared" si="1"/>
        <v>0.11401</v>
      </c>
      <c r="M22" s="33">
        <f t="shared" si="2"/>
        <v>1.1401E-5</v>
      </c>
      <c r="N22" s="6">
        <f t="shared" si="3"/>
        <v>4.1136742391018333E-3</v>
      </c>
      <c r="O22" s="6">
        <f t="shared" si="4"/>
        <v>41.136742391018331</v>
      </c>
      <c r="P22" s="6">
        <f t="shared" si="5"/>
        <v>8.2624331199017634E-3</v>
      </c>
      <c r="Q22" s="8">
        <v>4.45</v>
      </c>
      <c r="R22" s="5">
        <v>27.04496031</v>
      </c>
      <c r="S22" s="5">
        <v>23.181528700000001</v>
      </c>
      <c r="T22" s="5">
        <v>118.2256003</v>
      </c>
      <c r="U22" s="5">
        <v>121.88949839999999</v>
      </c>
      <c r="V22" s="5">
        <v>278.1266493</v>
      </c>
      <c r="W22" s="5">
        <v>268.11935560000001</v>
      </c>
      <c r="X22" s="5">
        <v>1.33</v>
      </c>
      <c r="Y22" s="5">
        <v>2.33</v>
      </c>
      <c r="Z22" s="11">
        <f>Y22*X22</f>
        <v>3.0989000000000004</v>
      </c>
    </row>
    <row r="23" spans="1:26" ht="17.25" customHeight="1" x14ac:dyDescent="0.2">
      <c r="A23" t="s">
        <v>8</v>
      </c>
      <c r="B23" s="3">
        <v>1521</v>
      </c>
      <c r="C23" s="3">
        <v>156</v>
      </c>
      <c r="D23" s="3">
        <v>71</v>
      </c>
      <c r="E23" s="5">
        <v>5.24</v>
      </c>
      <c r="F23" s="5">
        <v>27.73</v>
      </c>
      <c r="G23" s="5">
        <v>1.95</v>
      </c>
      <c r="H23" s="3">
        <v>514</v>
      </c>
      <c r="I23" s="31">
        <f t="shared" si="0"/>
        <v>5.1400000000000003E-4</v>
      </c>
      <c r="J23" s="3">
        <v>1185</v>
      </c>
      <c r="K23" s="3">
        <v>114010</v>
      </c>
      <c r="L23" s="5">
        <f t="shared" si="1"/>
        <v>0.11401</v>
      </c>
      <c r="M23" s="33">
        <f t="shared" si="2"/>
        <v>1.1401E-5</v>
      </c>
      <c r="N23" s="6">
        <f t="shared" si="3"/>
        <v>4.5083764582054204E-3</v>
      </c>
      <c r="O23" s="6">
        <f t="shared" si="4"/>
        <v>45.083764582054208</v>
      </c>
      <c r="P23" s="6">
        <f t="shared" si="5"/>
        <v>1.0393825103061135E-2</v>
      </c>
      <c r="Q23" s="8">
        <v>4.9829999999999997</v>
      </c>
      <c r="R23" s="5">
        <v>20.09467038</v>
      </c>
      <c r="S23" s="5">
        <v>22.527470709999999</v>
      </c>
      <c r="T23" s="5">
        <v>72.774765119999998</v>
      </c>
      <c r="U23" s="5">
        <v>110.2580851</v>
      </c>
      <c r="V23" s="5">
        <v>171.31161399999999</v>
      </c>
      <c r="W23" s="5">
        <v>247.4344351</v>
      </c>
      <c r="X23" s="5">
        <v>0.28999999999999998</v>
      </c>
      <c r="Y23" s="5">
        <v>5.28</v>
      </c>
      <c r="Z23" s="11">
        <f>Y23*X23</f>
        <v>1.5311999999999999</v>
      </c>
    </row>
    <row r="24" spans="1:26" ht="17.25" customHeight="1" x14ac:dyDescent="0.2">
      <c r="A24" t="s">
        <v>8</v>
      </c>
      <c r="B24" s="3">
        <v>1521</v>
      </c>
      <c r="C24" s="3">
        <v>156</v>
      </c>
      <c r="D24" s="3">
        <v>74</v>
      </c>
      <c r="E24" s="5">
        <v>6.2</v>
      </c>
      <c r="F24" s="5">
        <v>27.73</v>
      </c>
      <c r="G24" s="5">
        <v>1.92</v>
      </c>
      <c r="H24" s="3">
        <v>454</v>
      </c>
      <c r="I24" s="31">
        <f t="shared" si="0"/>
        <v>4.5399999999999998E-4</v>
      </c>
      <c r="J24" s="3">
        <v>1119</v>
      </c>
      <c r="K24" s="3">
        <v>114010</v>
      </c>
      <c r="L24" s="5">
        <f t="shared" si="1"/>
        <v>0.11401</v>
      </c>
      <c r="M24" s="33">
        <f t="shared" si="2"/>
        <v>1.1401E-5</v>
      </c>
      <c r="N24" s="6">
        <f t="shared" si="3"/>
        <v>3.9821068327339703E-3</v>
      </c>
      <c r="O24" s="6">
        <f t="shared" si="4"/>
        <v>39.821068327339702</v>
      </c>
      <c r="P24" s="6">
        <f t="shared" si="5"/>
        <v>9.8149285150425404E-3</v>
      </c>
      <c r="Q24" s="8">
        <v>4.0490000000000004</v>
      </c>
      <c r="R24" s="5">
        <v>9.9183868700000009</v>
      </c>
      <c r="S24" s="5">
        <v>21.207179780000001</v>
      </c>
      <c r="T24" s="5">
        <v>52.078912989999999</v>
      </c>
      <c r="U24" s="5">
        <v>107.78331559999999</v>
      </c>
      <c r="V24" s="5">
        <v>130.4750453</v>
      </c>
      <c r="W24" s="5">
        <v>215.10947010000001</v>
      </c>
    </row>
    <row r="25" spans="1:26" ht="17.25" customHeight="1" x14ac:dyDescent="0.2">
      <c r="A25" t="s">
        <v>8</v>
      </c>
      <c r="B25" s="3">
        <v>1521</v>
      </c>
      <c r="C25" s="3">
        <v>156</v>
      </c>
      <c r="D25" s="3">
        <v>75</v>
      </c>
      <c r="E25" s="5">
        <v>8.6300000000000008</v>
      </c>
      <c r="F25" s="5">
        <v>27.73</v>
      </c>
      <c r="G25" s="5">
        <v>2.11</v>
      </c>
      <c r="H25" s="3">
        <v>481</v>
      </c>
      <c r="I25" s="31">
        <f t="shared" si="0"/>
        <v>4.8099999999999998E-4</v>
      </c>
      <c r="J25" s="3">
        <v>1012</v>
      </c>
      <c r="K25" s="3">
        <v>114010</v>
      </c>
      <c r="L25" s="5">
        <f t="shared" si="1"/>
        <v>0.11401</v>
      </c>
      <c r="M25" s="33">
        <f t="shared" si="2"/>
        <v>1.1401E-5</v>
      </c>
      <c r="N25" s="6">
        <f t="shared" si="3"/>
        <v>4.2189281641961231E-3</v>
      </c>
      <c r="O25" s="6">
        <f t="shared" si="4"/>
        <v>42.18928164196123</v>
      </c>
      <c r="P25" s="6">
        <f t="shared" si="5"/>
        <v>8.8764143496184549E-3</v>
      </c>
      <c r="Q25" s="8">
        <v>4.45</v>
      </c>
      <c r="R25" s="5">
        <v>18.22877652</v>
      </c>
      <c r="S25" s="5">
        <v>20.914830349999999</v>
      </c>
      <c r="T25" s="5">
        <v>64.770507140000007</v>
      </c>
      <c r="U25" s="5">
        <v>99.248058220000004</v>
      </c>
      <c r="V25" s="5">
        <v>149.55825479999999</v>
      </c>
      <c r="W25" s="5">
        <v>237.94259679999999</v>
      </c>
    </row>
    <row r="26" spans="1:26" ht="17.25" customHeight="1" x14ac:dyDescent="0.2">
      <c r="A26" t="s">
        <v>8</v>
      </c>
      <c r="B26" s="3">
        <v>1521</v>
      </c>
      <c r="C26" s="3">
        <v>157</v>
      </c>
      <c r="D26" s="3">
        <v>67</v>
      </c>
      <c r="E26" s="5">
        <v>7.72</v>
      </c>
      <c r="F26" s="5">
        <v>27.73</v>
      </c>
      <c r="G26" s="5">
        <v>2.34</v>
      </c>
      <c r="H26" s="3">
        <v>376</v>
      </c>
      <c r="I26" s="31">
        <f t="shared" si="0"/>
        <v>3.7599999999999998E-4</v>
      </c>
      <c r="J26" s="3">
        <v>827</v>
      </c>
      <c r="K26" s="3">
        <v>114010</v>
      </c>
      <c r="L26" s="5">
        <f t="shared" si="1"/>
        <v>0.11401</v>
      </c>
      <c r="M26" s="33">
        <f t="shared" si="2"/>
        <v>1.1401E-5</v>
      </c>
      <c r="N26" s="6">
        <f t="shared" si="3"/>
        <v>3.297956319621086E-3</v>
      </c>
      <c r="O26" s="6">
        <f t="shared" si="4"/>
        <v>32.979563196210854</v>
      </c>
      <c r="P26" s="6">
        <f t="shared" si="5"/>
        <v>7.2537496710814841E-3</v>
      </c>
      <c r="Q26" s="8">
        <v>4.3689999999999998</v>
      </c>
      <c r="R26" s="5">
        <v>12.119463250000001</v>
      </c>
      <c r="S26" s="5">
        <v>19.412790390000001</v>
      </c>
      <c r="T26" s="5">
        <v>36.856379830000002</v>
      </c>
      <c r="U26" s="5">
        <v>110.33185640000001</v>
      </c>
      <c r="V26" s="5">
        <v>115.4993767</v>
      </c>
      <c r="W26" s="5">
        <v>218.97264699999999</v>
      </c>
    </row>
    <row r="27" spans="1:26" ht="17.25" customHeight="1" x14ac:dyDescent="0.2">
      <c r="A27" t="s">
        <v>8</v>
      </c>
      <c r="B27" s="3">
        <v>1521</v>
      </c>
      <c r="C27" s="3">
        <v>157</v>
      </c>
      <c r="D27" s="3">
        <v>68</v>
      </c>
      <c r="E27" s="5">
        <v>7.08</v>
      </c>
      <c r="F27" s="5">
        <v>27.73</v>
      </c>
      <c r="G27" s="5">
        <v>2.36</v>
      </c>
      <c r="H27" s="3">
        <v>340</v>
      </c>
      <c r="I27" s="31">
        <f t="shared" si="0"/>
        <v>3.4000000000000002E-4</v>
      </c>
      <c r="J27" s="3">
        <v>948</v>
      </c>
      <c r="K27" s="3">
        <v>114010</v>
      </c>
      <c r="L27" s="5">
        <f t="shared" si="1"/>
        <v>0.11401</v>
      </c>
      <c r="M27" s="33">
        <f t="shared" si="2"/>
        <v>1.1401E-5</v>
      </c>
      <c r="N27" s="6">
        <f t="shared" si="3"/>
        <v>2.9821945443382161E-3</v>
      </c>
      <c r="O27" s="6">
        <f t="shared" si="4"/>
        <v>29.821945443382162</v>
      </c>
      <c r="P27" s="6">
        <f t="shared" si="5"/>
        <v>8.3150600824489079E-3</v>
      </c>
      <c r="Q27" s="8">
        <v>4.2240000000000002</v>
      </c>
      <c r="R27" s="5">
        <v>14.48663709</v>
      </c>
      <c r="S27" s="5">
        <v>19.92049836</v>
      </c>
      <c r="T27" s="5">
        <v>43.656190969999997</v>
      </c>
      <c r="U27" s="5">
        <v>114.53534809999999</v>
      </c>
      <c r="V27" s="5">
        <v>129.6109189</v>
      </c>
      <c r="W27" s="5">
        <v>237.5827146</v>
      </c>
      <c r="X27" s="5">
        <v>0.48</v>
      </c>
      <c r="Y27" s="5">
        <v>4.71</v>
      </c>
      <c r="Z27" s="11">
        <f>Y27*X27</f>
        <v>2.2607999999999997</v>
      </c>
    </row>
    <row r="28" spans="1:26" ht="17.25" customHeight="1" x14ac:dyDescent="0.2">
      <c r="A28" t="s">
        <v>8</v>
      </c>
      <c r="B28" s="3">
        <v>1521</v>
      </c>
      <c r="C28" s="3">
        <v>157</v>
      </c>
      <c r="D28" s="3">
        <v>72</v>
      </c>
      <c r="E28" s="5">
        <v>6.95</v>
      </c>
      <c r="F28" s="5">
        <v>27.73</v>
      </c>
      <c r="G28" s="5">
        <v>2.6</v>
      </c>
      <c r="H28" s="3">
        <v>345</v>
      </c>
      <c r="I28" s="31">
        <f t="shared" si="0"/>
        <v>3.4499999999999998E-4</v>
      </c>
      <c r="J28" s="3">
        <v>910</v>
      </c>
      <c r="K28" s="3">
        <v>114010</v>
      </c>
      <c r="L28" s="5">
        <f t="shared" si="1"/>
        <v>0.11401</v>
      </c>
      <c r="M28" s="33">
        <f t="shared" si="2"/>
        <v>1.1401E-5</v>
      </c>
      <c r="N28" s="6">
        <f t="shared" si="3"/>
        <v>3.0260503464608368E-3</v>
      </c>
      <c r="O28" s="6">
        <f t="shared" si="4"/>
        <v>30.260503464608366</v>
      </c>
      <c r="P28" s="6">
        <f t="shared" si="5"/>
        <v>7.98175598631699E-3</v>
      </c>
      <c r="Q28" s="8">
        <v>6.1</v>
      </c>
      <c r="R28" s="5">
        <v>14.925410400000001</v>
      </c>
      <c r="S28" s="5">
        <v>24.30677356</v>
      </c>
      <c r="T28" s="5">
        <v>58.512313349999999</v>
      </c>
      <c r="U28" s="5">
        <v>153.0018134</v>
      </c>
      <c r="V28" s="5">
        <v>152.8473386</v>
      </c>
      <c r="W28" s="5">
        <v>363.33520170000003</v>
      </c>
    </row>
    <row r="29" spans="1:26" ht="17.25" customHeight="1" x14ac:dyDescent="0.2">
      <c r="A29" t="s">
        <v>8</v>
      </c>
      <c r="B29" s="3">
        <v>1521</v>
      </c>
      <c r="C29" s="3">
        <v>158</v>
      </c>
      <c r="D29" s="3">
        <v>70</v>
      </c>
      <c r="E29" s="5">
        <v>7.79</v>
      </c>
      <c r="F29" s="5">
        <v>27.73</v>
      </c>
      <c r="G29" s="5">
        <v>1.44</v>
      </c>
      <c r="H29" s="3">
        <v>523</v>
      </c>
      <c r="I29" s="31">
        <f t="shared" si="0"/>
        <v>5.2300000000000003E-4</v>
      </c>
      <c r="J29" s="3">
        <v>437</v>
      </c>
      <c r="K29" s="3">
        <v>114010</v>
      </c>
      <c r="L29" s="5">
        <f t="shared" si="1"/>
        <v>0.11401</v>
      </c>
      <c r="M29" s="33">
        <f t="shared" si="2"/>
        <v>1.1401E-5</v>
      </c>
      <c r="N29" s="6">
        <f t="shared" si="3"/>
        <v>4.5873169020261379E-3</v>
      </c>
      <c r="O29" s="6">
        <f t="shared" si="4"/>
        <v>45.873169020261386</v>
      </c>
      <c r="P29" s="6">
        <f t="shared" si="5"/>
        <v>3.8329971055170598E-3</v>
      </c>
      <c r="Q29" s="8">
        <v>3.4169999999999998</v>
      </c>
      <c r="R29" s="5">
        <v>19.411764309999999</v>
      </c>
      <c r="S29" s="5">
        <v>22.631666249999999</v>
      </c>
      <c r="T29" s="5">
        <v>64.644144429999997</v>
      </c>
      <c r="U29" s="5">
        <v>109.2598236</v>
      </c>
      <c r="V29" s="5">
        <v>153.29039069999999</v>
      </c>
      <c r="W29" s="5">
        <v>224.7669688</v>
      </c>
    </row>
    <row r="30" spans="1:26" ht="17.25" customHeight="1" x14ac:dyDescent="0.2">
      <c r="A30" t="s">
        <v>8</v>
      </c>
      <c r="B30" s="3">
        <v>1521</v>
      </c>
      <c r="C30" s="3">
        <v>158</v>
      </c>
      <c r="D30" s="3">
        <v>73</v>
      </c>
      <c r="E30" s="5">
        <v>6.96</v>
      </c>
      <c r="F30" s="5">
        <v>27.73</v>
      </c>
      <c r="G30" s="5">
        <v>1.76</v>
      </c>
      <c r="H30" s="3">
        <v>454</v>
      </c>
      <c r="I30" s="31">
        <f t="shared" si="0"/>
        <v>4.5399999999999998E-4</v>
      </c>
      <c r="J30" s="3">
        <v>651</v>
      </c>
      <c r="K30" s="3">
        <v>114010</v>
      </c>
      <c r="L30" s="5">
        <f t="shared" si="1"/>
        <v>0.11401</v>
      </c>
      <c r="M30" s="33">
        <f t="shared" si="2"/>
        <v>1.1401E-5</v>
      </c>
      <c r="N30" s="6">
        <f t="shared" si="3"/>
        <v>3.9821068327339703E-3</v>
      </c>
      <c r="O30" s="6">
        <f t="shared" si="4"/>
        <v>39.821068327339702</v>
      </c>
      <c r="P30" s="6">
        <f t="shared" si="5"/>
        <v>5.7100254363652309E-3</v>
      </c>
      <c r="Q30" s="8">
        <v>4.6130000000000004</v>
      </c>
      <c r="R30" s="5">
        <v>11.47423186</v>
      </c>
      <c r="S30" s="5">
        <v>22.864112630000001</v>
      </c>
      <c r="T30" s="5">
        <v>39.282754079999997</v>
      </c>
      <c r="U30" s="5">
        <v>113.8068956</v>
      </c>
      <c r="V30" s="5">
        <v>96.144170180000003</v>
      </c>
      <c r="W30" s="5">
        <v>241.34714940000001</v>
      </c>
      <c r="X30" s="5">
        <v>4.92</v>
      </c>
      <c r="Y30" s="5">
        <v>0.15</v>
      </c>
      <c r="Z30" s="11">
        <f>Y30*X30</f>
        <v>0.73799999999999999</v>
      </c>
    </row>
    <row r="31" spans="1:26" ht="17.25" customHeight="1" x14ac:dyDescent="0.2">
      <c r="A31" t="s">
        <v>8</v>
      </c>
      <c r="B31" s="3">
        <v>1521</v>
      </c>
      <c r="C31" s="3">
        <v>158</v>
      </c>
      <c r="D31" s="3">
        <v>81</v>
      </c>
      <c r="E31" s="5">
        <v>9.81</v>
      </c>
      <c r="F31" s="5">
        <v>27.73</v>
      </c>
      <c r="G31" s="5">
        <v>1.48</v>
      </c>
      <c r="H31" s="3">
        <v>266</v>
      </c>
      <c r="I31" s="31">
        <f t="shared" si="0"/>
        <v>2.6600000000000001E-4</v>
      </c>
      <c r="J31" s="3">
        <v>577</v>
      </c>
      <c r="K31" s="3">
        <v>114010</v>
      </c>
      <c r="L31" s="5">
        <f t="shared" si="1"/>
        <v>0.11401</v>
      </c>
      <c r="M31" s="33">
        <f t="shared" si="2"/>
        <v>1.1401E-5</v>
      </c>
      <c r="N31" s="6">
        <f t="shared" si="3"/>
        <v>2.3331286729234278E-3</v>
      </c>
      <c r="O31" s="6">
        <f t="shared" si="4"/>
        <v>23.331286729234279</v>
      </c>
      <c r="P31" s="6">
        <f t="shared" si="5"/>
        <v>5.0609595649504426E-3</v>
      </c>
      <c r="Q31" s="8">
        <v>3.8690000000000002</v>
      </c>
      <c r="R31" s="5">
        <v>13.97725133</v>
      </c>
      <c r="S31" s="5">
        <v>23.341230360000001</v>
      </c>
      <c r="T31" s="5">
        <v>56.133606690000001</v>
      </c>
      <c r="U31" s="5">
        <v>116.368898</v>
      </c>
      <c r="V31" s="5">
        <v>131.95716060000001</v>
      </c>
      <c r="W31" s="5">
        <v>247.76854729999999</v>
      </c>
    </row>
    <row r="32" spans="1:26" ht="17.25" customHeight="1" x14ac:dyDescent="0.2">
      <c r="A32" t="s">
        <v>9</v>
      </c>
      <c r="B32" s="3">
        <v>666</v>
      </c>
      <c r="C32" s="3">
        <v>101</v>
      </c>
      <c r="D32" s="3">
        <v>1</v>
      </c>
      <c r="E32" s="5">
        <v>8.59</v>
      </c>
      <c r="F32" s="5">
        <v>27.73</v>
      </c>
      <c r="G32" s="5">
        <v>1.18</v>
      </c>
      <c r="H32" s="3">
        <v>452</v>
      </c>
      <c r="I32" s="31">
        <f t="shared" si="0"/>
        <v>4.5199999999999998E-4</v>
      </c>
      <c r="J32" s="3">
        <v>754</v>
      </c>
      <c r="K32" s="3">
        <v>114010</v>
      </c>
      <c r="L32" s="5">
        <f t="shared" si="1"/>
        <v>0.11401</v>
      </c>
      <c r="M32" s="33">
        <f t="shared" si="2"/>
        <v>1.1401E-5</v>
      </c>
      <c r="N32" s="6">
        <f t="shared" si="3"/>
        <v>3.9645645118849228E-3</v>
      </c>
      <c r="O32" s="6">
        <f t="shared" si="4"/>
        <v>39.645645118849224</v>
      </c>
      <c r="P32" s="6">
        <f t="shared" si="5"/>
        <v>6.6134549600912204E-3</v>
      </c>
      <c r="Q32" s="8">
        <v>3.2509999999999999</v>
      </c>
      <c r="R32" s="5">
        <v>24.755789350000001</v>
      </c>
      <c r="S32" s="5">
        <v>24.30565971</v>
      </c>
      <c r="T32" s="5">
        <v>83.842244269999995</v>
      </c>
      <c r="U32" s="5">
        <v>101.9414257</v>
      </c>
      <c r="V32" s="5">
        <v>205.61117379999999</v>
      </c>
      <c r="W32" s="5">
        <v>217.07177970000001</v>
      </c>
    </row>
    <row r="33" spans="1:26" ht="17.25" customHeight="1" x14ac:dyDescent="0.2">
      <c r="A33" t="s">
        <v>9</v>
      </c>
      <c r="B33" s="3">
        <v>666</v>
      </c>
      <c r="C33" s="3">
        <v>101</v>
      </c>
      <c r="D33" s="3">
        <v>2</v>
      </c>
      <c r="E33" s="5">
        <v>8.5399999999999991</v>
      </c>
      <c r="F33" s="5">
        <v>27.73</v>
      </c>
      <c r="G33" s="5">
        <v>1.59</v>
      </c>
      <c r="H33" s="3">
        <v>456</v>
      </c>
      <c r="I33" s="31">
        <f t="shared" si="0"/>
        <v>4.5600000000000003E-4</v>
      </c>
      <c r="J33" s="3">
        <v>827</v>
      </c>
      <c r="K33" s="3">
        <v>114010</v>
      </c>
      <c r="L33" s="5">
        <f t="shared" si="1"/>
        <v>0.11401</v>
      </c>
      <c r="M33" s="33">
        <f t="shared" si="2"/>
        <v>1.1401E-5</v>
      </c>
      <c r="N33" s="6">
        <f t="shared" si="3"/>
        <v>3.9996491535830188E-3</v>
      </c>
      <c r="O33" s="6">
        <f t="shared" si="4"/>
        <v>39.996491535830195</v>
      </c>
      <c r="P33" s="6">
        <f t="shared" si="5"/>
        <v>7.2537496710814841E-3</v>
      </c>
      <c r="Q33" s="8">
        <v>3.4449999999999998</v>
      </c>
      <c r="R33" s="5">
        <v>26.173963610000001</v>
      </c>
      <c r="S33" s="5">
        <v>29.016015110000001</v>
      </c>
      <c r="T33" s="5">
        <v>85.48734383</v>
      </c>
      <c r="U33" s="5">
        <v>113.5504541</v>
      </c>
      <c r="V33" s="5">
        <v>205.6995306</v>
      </c>
      <c r="W33" s="5">
        <v>242.18004680000001</v>
      </c>
    </row>
    <row r="34" spans="1:26" ht="17.25" customHeight="1" x14ac:dyDescent="0.2">
      <c r="A34" t="s">
        <v>9</v>
      </c>
      <c r="B34" s="3">
        <v>666</v>
      </c>
      <c r="C34" s="3">
        <v>101</v>
      </c>
      <c r="D34" s="3">
        <v>3</v>
      </c>
      <c r="E34" s="5">
        <v>8.66</v>
      </c>
      <c r="F34" s="5">
        <v>27.73</v>
      </c>
      <c r="G34" s="5">
        <v>1.67</v>
      </c>
      <c r="H34" s="3">
        <v>493</v>
      </c>
      <c r="I34" s="31">
        <f t="shared" ref="I34:I61" si="6">H34/1000000</f>
        <v>4.9299999999999995E-4</v>
      </c>
      <c r="J34" s="3">
        <v>850</v>
      </c>
      <c r="K34" s="3">
        <v>114010</v>
      </c>
      <c r="L34" s="5">
        <f t="shared" ref="L34:L61" si="7">K34/1000000</f>
        <v>0.11401</v>
      </c>
      <c r="M34" s="33">
        <f t="shared" ref="M34:M61" si="8">K34/10000000000</f>
        <v>1.1401E-5</v>
      </c>
      <c r="N34" s="6">
        <f t="shared" ref="N34:N61" si="9">H34/K34</f>
        <v>4.3241820892904129E-3</v>
      </c>
      <c r="O34" s="6">
        <f t="shared" ref="O34:O61" si="10">I34/M34</f>
        <v>43.24182089290413</v>
      </c>
      <c r="P34" s="6">
        <f t="shared" ref="P34:P61" si="11">J34/K34</f>
        <v>7.45548636084554E-3</v>
      </c>
      <c r="Q34" s="8">
        <v>3.0329999999999999</v>
      </c>
      <c r="R34" s="5">
        <v>24.34654244</v>
      </c>
      <c r="S34" s="5">
        <v>28.062841259999999</v>
      </c>
      <c r="T34" s="5">
        <v>77.854409759999996</v>
      </c>
      <c r="U34" s="5">
        <v>118.929434</v>
      </c>
      <c r="V34" s="5">
        <v>198.22717729999999</v>
      </c>
      <c r="W34" s="5">
        <v>254.11305390000001</v>
      </c>
      <c r="X34" s="5">
        <v>6.31</v>
      </c>
      <c r="Y34" s="5">
        <v>1.01</v>
      </c>
      <c r="Z34" s="11">
        <f>Y34*X34</f>
        <v>6.3731</v>
      </c>
    </row>
    <row r="35" spans="1:26" ht="17.25" customHeight="1" x14ac:dyDescent="0.2">
      <c r="A35" t="s">
        <v>9</v>
      </c>
      <c r="B35" s="3">
        <v>666</v>
      </c>
      <c r="C35" s="3">
        <v>105</v>
      </c>
      <c r="D35" s="3">
        <v>7</v>
      </c>
      <c r="E35" s="5">
        <v>6.93</v>
      </c>
      <c r="F35" s="5">
        <v>27.73</v>
      </c>
      <c r="G35" s="5">
        <v>1.4</v>
      </c>
      <c r="H35" s="3">
        <v>368</v>
      </c>
      <c r="I35" s="31">
        <f t="shared" si="6"/>
        <v>3.68E-4</v>
      </c>
      <c r="J35" s="3">
        <v>591</v>
      </c>
      <c r="K35" s="3">
        <v>114010</v>
      </c>
      <c r="L35" s="5">
        <f t="shared" si="7"/>
        <v>0.11401</v>
      </c>
      <c r="M35" s="33">
        <f t="shared" si="8"/>
        <v>1.1401E-5</v>
      </c>
      <c r="N35" s="6">
        <f t="shared" si="9"/>
        <v>3.2277870362248926E-3</v>
      </c>
      <c r="O35" s="6">
        <f t="shared" si="10"/>
        <v>32.277870362248926</v>
      </c>
      <c r="P35" s="6">
        <f t="shared" si="11"/>
        <v>5.1837558108937809E-3</v>
      </c>
      <c r="Q35" s="8">
        <v>3.903</v>
      </c>
      <c r="R35" s="5">
        <v>25.547175670000001</v>
      </c>
      <c r="S35" s="5">
        <v>24.5603707</v>
      </c>
      <c r="T35" s="5">
        <v>92.324842149999995</v>
      </c>
      <c r="U35" s="5">
        <v>89.700536049999997</v>
      </c>
      <c r="V35" s="5">
        <v>216.4790806</v>
      </c>
      <c r="W35" s="5">
        <v>189.47631989999999</v>
      </c>
    </row>
    <row r="36" spans="1:26" ht="17.25" customHeight="1" x14ac:dyDescent="0.2">
      <c r="A36" t="s">
        <v>9</v>
      </c>
      <c r="B36" s="3">
        <v>666</v>
      </c>
      <c r="C36" s="3">
        <v>105</v>
      </c>
      <c r="D36" s="3">
        <v>8</v>
      </c>
      <c r="E36" s="5">
        <v>8.0299999999999994</v>
      </c>
      <c r="F36" s="5">
        <v>27.73</v>
      </c>
      <c r="G36" s="5">
        <v>1.46</v>
      </c>
      <c r="H36" s="3">
        <v>380</v>
      </c>
      <c r="I36" s="31">
        <f t="shared" si="6"/>
        <v>3.8000000000000002E-4</v>
      </c>
      <c r="J36" s="3">
        <v>667</v>
      </c>
      <c r="K36" s="3">
        <v>114010</v>
      </c>
      <c r="L36" s="5">
        <f t="shared" si="7"/>
        <v>0.11401</v>
      </c>
      <c r="M36" s="33">
        <f t="shared" si="8"/>
        <v>1.1401E-5</v>
      </c>
      <c r="N36" s="6">
        <f t="shared" si="9"/>
        <v>3.3330409613191825E-3</v>
      </c>
      <c r="O36" s="6">
        <f t="shared" si="10"/>
        <v>33.330409613191826</v>
      </c>
      <c r="P36" s="6">
        <f t="shared" si="11"/>
        <v>5.8503640031576177E-3</v>
      </c>
      <c r="Q36" s="8">
        <v>2.7530000000000001</v>
      </c>
      <c r="R36" s="5">
        <v>27.525582150000002</v>
      </c>
      <c r="S36" s="5">
        <v>19.312214340000001</v>
      </c>
      <c r="T36" s="5">
        <v>97.628039999999999</v>
      </c>
      <c r="U36" s="5">
        <v>66.818054700000005</v>
      </c>
      <c r="V36" s="5">
        <v>230.6455991</v>
      </c>
      <c r="W36" s="5">
        <v>139.0071824</v>
      </c>
    </row>
    <row r="37" spans="1:26" ht="17.25" customHeight="1" x14ac:dyDescent="0.2">
      <c r="A37" t="s">
        <v>9</v>
      </c>
      <c r="B37" s="3">
        <v>666</v>
      </c>
      <c r="C37" s="3">
        <v>105</v>
      </c>
      <c r="D37" s="3">
        <v>9</v>
      </c>
      <c r="E37" s="5">
        <v>8.3800000000000008</v>
      </c>
      <c r="F37" s="5">
        <v>27.73</v>
      </c>
      <c r="G37" s="5">
        <v>1.48</v>
      </c>
      <c r="H37" s="3">
        <v>462</v>
      </c>
      <c r="I37" s="31">
        <f t="shared" si="6"/>
        <v>4.6200000000000001E-4</v>
      </c>
      <c r="J37" s="3">
        <v>615</v>
      </c>
      <c r="K37" s="3">
        <v>114010</v>
      </c>
      <c r="L37" s="5">
        <f t="shared" si="7"/>
        <v>0.11401</v>
      </c>
      <c r="M37" s="33">
        <f t="shared" si="8"/>
        <v>1.1401E-5</v>
      </c>
      <c r="N37" s="6">
        <f t="shared" si="9"/>
        <v>4.0522761161301641E-3</v>
      </c>
      <c r="O37" s="6">
        <f t="shared" si="10"/>
        <v>40.522761161301645</v>
      </c>
      <c r="P37" s="6">
        <f t="shared" si="11"/>
        <v>5.3942636610823614E-3</v>
      </c>
      <c r="Q37" s="8">
        <v>3.375</v>
      </c>
      <c r="R37" s="5">
        <v>21.607960739999999</v>
      </c>
      <c r="S37" s="5">
        <v>21.753697330000001</v>
      </c>
      <c r="T37" s="5">
        <v>94.443495580000004</v>
      </c>
      <c r="U37" s="5">
        <v>117.8485816</v>
      </c>
      <c r="V37" s="5">
        <v>225.62511319999999</v>
      </c>
      <c r="W37" s="5">
        <v>237.16013409999999</v>
      </c>
      <c r="X37" s="5">
        <v>6.68</v>
      </c>
      <c r="Y37" s="5">
        <v>0.69</v>
      </c>
      <c r="Z37" s="11">
        <f>Y37*X37</f>
        <v>4.6091999999999995</v>
      </c>
    </row>
    <row r="38" spans="1:26" ht="17.25" customHeight="1" x14ac:dyDescent="0.2">
      <c r="A38" t="s">
        <v>9</v>
      </c>
      <c r="B38" s="3">
        <v>666</v>
      </c>
      <c r="C38" s="3">
        <v>118</v>
      </c>
      <c r="D38" s="3">
        <v>10</v>
      </c>
      <c r="E38" s="5">
        <v>9.02</v>
      </c>
      <c r="F38" s="5">
        <v>27.73</v>
      </c>
      <c r="G38" s="5">
        <v>1.97</v>
      </c>
      <c r="H38" s="3">
        <v>354</v>
      </c>
      <c r="I38" s="31">
        <f t="shared" si="6"/>
        <v>3.5399999999999999E-4</v>
      </c>
      <c r="J38" s="3">
        <v>651</v>
      </c>
      <c r="K38" s="3">
        <v>114010</v>
      </c>
      <c r="L38" s="5">
        <f t="shared" si="7"/>
        <v>0.11401</v>
      </c>
      <c r="M38" s="33">
        <f t="shared" si="8"/>
        <v>1.1401E-5</v>
      </c>
      <c r="N38" s="6">
        <f t="shared" si="9"/>
        <v>3.1049907902815544E-3</v>
      </c>
      <c r="O38" s="6">
        <f t="shared" si="10"/>
        <v>31.049907902815541</v>
      </c>
      <c r="P38" s="6">
        <f t="shared" si="11"/>
        <v>5.7100254363652309E-3</v>
      </c>
      <c r="Q38" s="8">
        <v>3.1659999999999999</v>
      </c>
      <c r="R38" s="5">
        <v>16.32544403</v>
      </c>
      <c r="S38" s="5">
        <v>24.90474729</v>
      </c>
      <c r="T38" s="5">
        <v>70.598697639999997</v>
      </c>
      <c r="U38" s="5">
        <v>103.2301162</v>
      </c>
      <c r="V38" s="5">
        <v>169.35316449999999</v>
      </c>
      <c r="W38" s="5">
        <v>209.66073460000001</v>
      </c>
      <c r="X38" s="5">
        <v>7.72</v>
      </c>
      <c r="Y38" s="5">
        <v>1.3</v>
      </c>
      <c r="Z38" s="11">
        <f>Y38*X38</f>
        <v>10.036</v>
      </c>
    </row>
    <row r="39" spans="1:26" ht="17.25" customHeight="1" x14ac:dyDescent="0.2">
      <c r="A39" t="s">
        <v>9</v>
      </c>
      <c r="B39" s="3">
        <v>666</v>
      </c>
      <c r="C39" s="3">
        <v>118</v>
      </c>
      <c r="D39" s="3">
        <v>11</v>
      </c>
      <c r="E39" s="5">
        <v>9.2100000000000009</v>
      </c>
      <c r="F39" s="5">
        <v>27.73</v>
      </c>
      <c r="G39" s="5">
        <v>1.36</v>
      </c>
      <c r="H39" s="3">
        <v>365</v>
      </c>
      <c r="I39" s="31">
        <f t="shared" si="6"/>
        <v>3.6499999999999998E-4</v>
      </c>
      <c r="J39" s="3">
        <v>547</v>
      </c>
      <c r="K39" s="3">
        <v>114010</v>
      </c>
      <c r="L39" s="5">
        <f t="shared" si="7"/>
        <v>0.11401</v>
      </c>
      <c r="M39" s="33">
        <f t="shared" si="8"/>
        <v>1.1401E-5</v>
      </c>
      <c r="N39" s="6">
        <f t="shared" si="9"/>
        <v>3.20147355495132E-3</v>
      </c>
      <c r="O39" s="6">
        <f t="shared" si="10"/>
        <v>32.014735549513198</v>
      </c>
      <c r="P39" s="6">
        <f t="shared" si="11"/>
        <v>4.7978247522147176E-3</v>
      </c>
      <c r="Q39" s="8">
        <v>3.6349999999999998</v>
      </c>
      <c r="R39" s="5">
        <v>7.0894142220000003</v>
      </c>
      <c r="S39" s="5">
        <v>27.10979523</v>
      </c>
      <c r="T39" s="5">
        <v>48.940411439999998</v>
      </c>
      <c r="U39" s="5">
        <v>119.2528631</v>
      </c>
      <c r="V39" s="5">
        <v>110.80849910000001</v>
      </c>
      <c r="W39" s="5">
        <v>244.0396264</v>
      </c>
    </row>
    <row r="40" spans="1:26" ht="17.25" customHeight="1" x14ac:dyDescent="0.2">
      <c r="A40" t="s">
        <v>9</v>
      </c>
      <c r="B40" s="3">
        <v>666</v>
      </c>
      <c r="C40" s="3">
        <v>118</v>
      </c>
      <c r="D40" s="3">
        <v>12</v>
      </c>
      <c r="E40" s="3">
        <v>8</v>
      </c>
      <c r="F40" s="5">
        <v>27.73</v>
      </c>
      <c r="G40" s="5">
        <v>1.65</v>
      </c>
      <c r="H40" s="3">
        <v>323</v>
      </c>
      <c r="I40" s="31">
        <f t="shared" si="6"/>
        <v>3.2299999999999999E-4</v>
      </c>
      <c r="J40" s="3">
        <v>587</v>
      </c>
      <c r="K40" s="3">
        <v>114010</v>
      </c>
      <c r="L40" s="5">
        <f t="shared" si="7"/>
        <v>0.11401</v>
      </c>
      <c r="M40" s="33">
        <f t="shared" si="8"/>
        <v>1.1401E-5</v>
      </c>
      <c r="N40" s="6">
        <f t="shared" si="9"/>
        <v>2.8330848171213051E-3</v>
      </c>
      <c r="O40" s="6">
        <f t="shared" si="10"/>
        <v>28.330848171213052</v>
      </c>
      <c r="P40" s="6">
        <f t="shared" si="11"/>
        <v>5.1486711691956849E-3</v>
      </c>
      <c r="Q40" s="8">
        <v>2.9180000000000001</v>
      </c>
      <c r="R40" s="5">
        <v>15.74783225</v>
      </c>
      <c r="S40" s="5">
        <v>25.25442945</v>
      </c>
      <c r="T40" s="5">
        <v>69.389779739999994</v>
      </c>
      <c r="U40" s="5">
        <v>143.56272609999999</v>
      </c>
      <c r="V40" s="5">
        <v>164.83477389999999</v>
      </c>
      <c r="W40" s="5">
        <v>311.4351479</v>
      </c>
    </row>
    <row r="41" spans="1:26" ht="17.25" customHeight="1" x14ac:dyDescent="0.2">
      <c r="A41" t="s">
        <v>9</v>
      </c>
      <c r="B41" s="3">
        <v>666</v>
      </c>
      <c r="C41" s="3">
        <v>122</v>
      </c>
      <c r="D41" s="3">
        <v>16</v>
      </c>
      <c r="E41" s="5">
        <v>8.23</v>
      </c>
      <c r="F41" s="5">
        <v>27.73</v>
      </c>
      <c r="G41" s="5">
        <v>1.83</v>
      </c>
      <c r="H41" s="3">
        <v>319</v>
      </c>
      <c r="I41" s="31">
        <f t="shared" si="6"/>
        <v>3.19E-4</v>
      </c>
      <c r="J41" s="3">
        <v>618</v>
      </c>
      <c r="K41" s="3">
        <v>114010</v>
      </c>
      <c r="L41" s="5">
        <f t="shared" si="7"/>
        <v>0.11401</v>
      </c>
      <c r="M41" s="33">
        <f t="shared" si="8"/>
        <v>1.1401E-5</v>
      </c>
      <c r="N41" s="6">
        <f t="shared" si="9"/>
        <v>2.7980001754232087E-3</v>
      </c>
      <c r="O41" s="6">
        <f t="shared" si="10"/>
        <v>27.980001754232084</v>
      </c>
      <c r="P41" s="6">
        <f t="shared" si="11"/>
        <v>5.4205771423559337E-3</v>
      </c>
      <c r="Q41" s="8">
        <v>3.81</v>
      </c>
      <c r="R41" s="5">
        <v>19.01063989</v>
      </c>
      <c r="S41" s="5">
        <v>21.320335790000001</v>
      </c>
      <c r="T41" s="5">
        <v>70.630464340000003</v>
      </c>
      <c r="U41" s="5">
        <v>137.81067039999999</v>
      </c>
      <c r="V41" s="5">
        <v>221.13824940000001</v>
      </c>
      <c r="W41" s="5">
        <v>281.87236899999999</v>
      </c>
    </row>
    <row r="42" spans="1:26" ht="17.25" customHeight="1" x14ac:dyDescent="0.2">
      <c r="A42" t="s">
        <v>9</v>
      </c>
      <c r="B42" s="3">
        <v>666</v>
      </c>
      <c r="C42" s="3">
        <v>122</v>
      </c>
      <c r="D42" s="3">
        <v>17</v>
      </c>
      <c r="E42" s="5">
        <v>8.32</v>
      </c>
      <c r="F42" s="5">
        <v>27.73</v>
      </c>
      <c r="G42" s="5">
        <v>1.36</v>
      </c>
      <c r="H42" s="3">
        <v>405</v>
      </c>
      <c r="I42" s="31">
        <f t="shared" si="6"/>
        <v>4.0499999999999998E-4</v>
      </c>
      <c r="J42" s="3">
        <v>662</v>
      </c>
      <c r="K42" s="3">
        <v>114010</v>
      </c>
      <c r="L42" s="5">
        <f t="shared" si="7"/>
        <v>0.11401</v>
      </c>
      <c r="M42" s="33">
        <f t="shared" si="8"/>
        <v>1.1401E-5</v>
      </c>
      <c r="N42" s="6">
        <f t="shared" si="9"/>
        <v>3.5523199719322868E-3</v>
      </c>
      <c r="O42" s="6">
        <f t="shared" si="10"/>
        <v>35.523199719322868</v>
      </c>
      <c r="P42" s="6">
        <f t="shared" si="11"/>
        <v>5.806508201034997E-3</v>
      </c>
      <c r="Q42" s="8">
        <v>3.47</v>
      </c>
      <c r="R42" s="5">
        <v>24.560637849999999</v>
      </c>
      <c r="S42" s="5">
        <v>17.728298689999999</v>
      </c>
      <c r="T42" s="5">
        <v>94.15063619</v>
      </c>
      <c r="U42" s="5">
        <v>121.7448801</v>
      </c>
      <c r="V42" s="5">
        <v>208.89744709999999</v>
      </c>
      <c r="W42" s="5">
        <v>245.6174029</v>
      </c>
      <c r="X42" s="5">
        <v>11.69</v>
      </c>
      <c r="Y42" s="5">
        <v>0.7</v>
      </c>
      <c r="Z42" s="11">
        <f>Y42*X42</f>
        <v>8.1829999999999998</v>
      </c>
    </row>
    <row r="43" spans="1:26" ht="17.25" customHeight="1" x14ac:dyDescent="0.2">
      <c r="A43" t="s">
        <v>9</v>
      </c>
      <c r="B43" s="3">
        <v>666</v>
      </c>
      <c r="C43" s="3">
        <v>122</v>
      </c>
      <c r="D43" s="3">
        <v>18</v>
      </c>
      <c r="E43" s="5">
        <v>8.39</v>
      </c>
      <c r="F43" s="5">
        <v>27.73</v>
      </c>
      <c r="G43" s="5">
        <v>1.83</v>
      </c>
      <c r="H43" s="3">
        <v>376</v>
      </c>
      <c r="I43" s="31">
        <f t="shared" si="6"/>
        <v>3.7599999999999998E-4</v>
      </c>
      <c r="J43" s="3">
        <v>640</v>
      </c>
      <c r="K43" s="3">
        <v>114010</v>
      </c>
      <c r="L43" s="5">
        <f t="shared" si="7"/>
        <v>0.11401</v>
      </c>
      <c r="M43" s="33">
        <f t="shared" si="8"/>
        <v>1.1401E-5</v>
      </c>
      <c r="N43" s="6">
        <f t="shared" si="9"/>
        <v>3.297956319621086E-3</v>
      </c>
      <c r="O43" s="6">
        <f t="shared" si="10"/>
        <v>32.979563196210854</v>
      </c>
      <c r="P43" s="6">
        <f t="shared" si="11"/>
        <v>5.6135426716954649E-3</v>
      </c>
      <c r="Q43" s="8">
        <v>3.093</v>
      </c>
      <c r="R43" s="5">
        <v>11.58842634</v>
      </c>
      <c r="S43" s="5">
        <v>28.63976379</v>
      </c>
      <c r="T43" s="5">
        <v>59.14958464</v>
      </c>
      <c r="U43" s="5">
        <v>145.81984629999999</v>
      </c>
      <c r="V43" s="5">
        <v>177.00135779999999</v>
      </c>
      <c r="W43" s="5">
        <v>312.24870010000001</v>
      </c>
    </row>
    <row r="44" spans="1:26" ht="17.25" customHeight="1" x14ac:dyDescent="0.2">
      <c r="A44" t="s">
        <v>9</v>
      </c>
      <c r="B44" s="3">
        <v>666</v>
      </c>
      <c r="C44" s="3">
        <v>123</v>
      </c>
      <c r="D44" s="3">
        <v>19</v>
      </c>
      <c r="E44" s="5">
        <v>7.35</v>
      </c>
      <c r="F44" s="5">
        <v>27.73</v>
      </c>
      <c r="G44" s="5">
        <v>1.63</v>
      </c>
      <c r="H44" s="3">
        <v>392</v>
      </c>
      <c r="I44" s="31">
        <f t="shared" si="6"/>
        <v>3.9199999999999999E-4</v>
      </c>
      <c r="J44" s="3">
        <v>566</v>
      </c>
      <c r="K44" s="3">
        <v>114010</v>
      </c>
      <c r="L44" s="5">
        <f t="shared" si="7"/>
        <v>0.11401</v>
      </c>
      <c r="M44" s="33">
        <f t="shared" si="8"/>
        <v>1.1401E-5</v>
      </c>
      <c r="N44" s="6">
        <f t="shared" si="9"/>
        <v>3.4382948864134723E-3</v>
      </c>
      <c r="O44" s="6">
        <f t="shared" si="10"/>
        <v>34.382948864134725</v>
      </c>
      <c r="P44" s="6">
        <f t="shared" si="11"/>
        <v>4.9644768002806774E-3</v>
      </c>
      <c r="Q44" s="8">
        <v>3.3</v>
      </c>
      <c r="R44" s="5">
        <v>20.93145625</v>
      </c>
      <c r="S44" s="5">
        <v>22.47176327</v>
      </c>
      <c r="T44" s="5">
        <v>92.203820719999996</v>
      </c>
      <c r="U44" s="5">
        <v>95.201985390000004</v>
      </c>
      <c r="V44" s="5">
        <v>205.8343318</v>
      </c>
      <c r="W44" s="5">
        <v>199.62912320000001</v>
      </c>
    </row>
    <row r="45" spans="1:26" ht="17.25" customHeight="1" x14ac:dyDescent="0.2">
      <c r="A45" t="s">
        <v>9</v>
      </c>
      <c r="B45" s="3">
        <v>666</v>
      </c>
      <c r="C45" s="3">
        <v>123</v>
      </c>
      <c r="D45" s="3">
        <v>20</v>
      </c>
      <c r="E45" s="5">
        <v>7.15</v>
      </c>
      <c r="F45" s="5">
        <v>27.73</v>
      </c>
      <c r="G45" s="5">
        <v>1.93</v>
      </c>
      <c r="H45" s="3">
        <v>288</v>
      </c>
      <c r="I45" s="31">
        <f t="shared" si="6"/>
        <v>2.8800000000000001E-4</v>
      </c>
      <c r="J45" s="3">
        <v>562</v>
      </c>
      <c r="K45" s="3">
        <v>114010</v>
      </c>
      <c r="L45" s="5">
        <f t="shared" si="7"/>
        <v>0.11401</v>
      </c>
      <c r="M45" s="33">
        <f t="shared" si="8"/>
        <v>1.1401E-5</v>
      </c>
      <c r="N45" s="6">
        <f t="shared" si="9"/>
        <v>2.5260942022629594E-3</v>
      </c>
      <c r="O45" s="6">
        <f t="shared" si="10"/>
        <v>25.260942022629596</v>
      </c>
      <c r="P45" s="6">
        <f t="shared" si="11"/>
        <v>4.9293921585825805E-3</v>
      </c>
      <c r="Q45" s="8">
        <v>3.7549999999999999</v>
      </c>
      <c r="R45" s="5">
        <v>24.998878309999998</v>
      </c>
      <c r="S45" s="5">
        <v>27.514731699999999</v>
      </c>
      <c r="T45" s="5">
        <v>97.657725929999998</v>
      </c>
      <c r="U45" s="5">
        <v>132.8090085</v>
      </c>
      <c r="V45" s="5">
        <v>226.52609419999999</v>
      </c>
      <c r="W45" s="5">
        <v>286.1930193</v>
      </c>
    </row>
    <row r="46" spans="1:26" ht="17.25" customHeight="1" x14ac:dyDescent="0.2">
      <c r="A46" t="s">
        <v>9</v>
      </c>
      <c r="B46" s="3">
        <v>666</v>
      </c>
      <c r="C46" s="3">
        <v>123</v>
      </c>
      <c r="D46" s="3">
        <v>22</v>
      </c>
      <c r="E46" s="5">
        <v>6.56</v>
      </c>
      <c r="F46" s="5">
        <v>27.73</v>
      </c>
      <c r="G46" s="5">
        <v>1.94</v>
      </c>
      <c r="H46" s="3">
        <v>294</v>
      </c>
      <c r="I46" s="31">
        <f t="shared" si="6"/>
        <v>2.9399999999999999E-4</v>
      </c>
      <c r="J46" s="3">
        <v>497</v>
      </c>
      <c r="K46" s="3">
        <v>114010</v>
      </c>
      <c r="L46" s="5">
        <f t="shared" si="7"/>
        <v>0.11401</v>
      </c>
      <c r="M46" s="33">
        <f t="shared" si="8"/>
        <v>1.1401E-5</v>
      </c>
      <c r="N46" s="6">
        <f t="shared" si="9"/>
        <v>2.5787211648101043E-3</v>
      </c>
      <c r="O46" s="6">
        <f t="shared" si="10"/>
        <v>25.787211648101042</v>
      </c>
      <c r="P46" s="6">
        <f t="shared" si="11"/>
        <v>4.3592667309885098E-3</v>
      </c>
      <c r="Q46" s="8">
        <v>3.4009999999999998</v>
      </c>
      <c r="R46" s="5">
        <v>20.80421398</v>
      </c>
      <c r="S46" s="5">
        <v>17.867123830000001</v>
      </c>
      <c r="T46" s="5">
        <v>79.601160340000007</v>
      </c>
      <c r="U46" s="5">
        <v>108.4757882</v>
      </c>
      <c r="V46" s="5">
        <v>204.92005470000001</v>
      </c>
      <c r="W46" s="5">
        <v>228.64888590000001</v>
      </c>
      <c r="X46" s="5">
        <v>0.79</v>
      </c>
      <c r="Y46" s="5">
        <v>3.16</v>
      </c>
      <c r="Z46" s="11">
        <f>Y46*X46</f>
        <v>2.4964000000000004</v>
      </c>
    </row>
    <row r="47" spans="1:26" ht="17.25" customHeight="1" x14ac:dyDescent="0.2">
      <c r="A47" t="s">
        <v>10</v>
      </c>
      <c r="B47" s="3">
        <v>1212</v>
      </c>
      <c r="C47" s="3">
        <v>3</v>
      </c>
      <c r="D47" s="3">
        <v>29</v>
      </c>
      <c r="E47" s="5">
        <v>8.41</v>
      </c>
      <c r="F47" s="5">
        <v>27.73</v>
      </c>
      <c r="G47" s="5">
        <v>1.74</v>
      </c>
      <c r="H47" s="3">
        <v>375</v>
      </c>
      <c r="I47" s="31">
        <f t="shared" si="6"/>
        <v>3.7500000000000001E-4</v>
      </c>
      <c r="J47" s="3">
        <v>545</v>
      </c>
      <c r="K47" s="3">
        <v>114010</v>
      </c>
      <c r="L47" s="5">
        <f t="shared" si="7"/>
        <v>0.11401</v>
      </c>
      <c r="M47" s="33">
        <f t="shared" si="8"/>
        <v>1.1401E-5</v>
      </c>
      <c r="N47" s="6">
        <f t="shared" si="9"/>
        <v>3.2891851591965618E-3</v>
      </c>
      <c r="O47" s="6">
        <f t="shared" si="10"/>
        <v>32.891851591965619</v>
      </c>
      <c r="P47" s="6">
        <f t="shared" si="11"/>
        <v>4.78028243136567E-3</v>
      </c>
      <c r="Q47" s="8">
        <v>2.843</v>
      </c>
      <c r="R47" s="5">
        <v>23.22774373</v>
      </c>
      <c r="S47" s="5">
        <v>20.05519834</v>
      </c>
      <c r="T47" s="5">
        <v>91.521816630000004</v>
      </c>
      <c r="U47" s="5">
        <v>99.795749029999996</v>
      </c>
      <c r="V47" s="5">
        <v>190.7023571</v>
      </c>
      <c r="W47" s="5">
        <v>211.80241620000001</v>
      </c>
      <c r="X47" s="5">
        <v>3.73</v>
      </c>
      <c r="Y47" s="5">
        <v>0.24</v>
      </c>
      <c r="Z47" s="11">
        <f>Y47*X47</f>
        <v>0.8952</v>
      </c>
    </row>
    <row r="48" spans="1:26" ht="17.25" customHeight="1" x14ac:dyDescent="0.2">
      <c r="A48" t="s">
        <v>10</v>
      </c>
      <c r="B48" s="3">
        <v>1212</v>
      </c>
      <c r="C48" s="3">
        <v>3</v>
      </c>
      <c r="D48" s="3">
        <v>30</v>
      </c>
      <c r="E48" s="5">
        <v>8.51</v>
      </c>
      <c r="F48" s="5">
        <v>27.73</v>
      </c>
      <c r="G48" s="5">
        <v>1.86</v>
      </c>
      <c r="H48" s="3">
        <v>288</v>
      </c>
      <c r="I48" s="31">
        <f t="shared" si="6"/>
        <v>2.8800000000000001E-4</v>
      </c>
      <c r="J48" s="3">
        <v>512</v>
      </c>
      <c r="K48" s="3">
        <v>114010</v>
      </c>
      <c r="L48" s="5">
        <f t="shared" si="7"/>
        <v>0.11401</v>
      </c>
      <c r="M48" s="33">
        <f t="shared" si="8"/>
        <v>1.1401E-5</v>
      </c>
      <c r="N48" s="6">
        <f t="shared" si="9"/>
        <v>2.5260942022629594E-3</v>
      </c>
      <c r="O48" s="6">
        <f t="shared" si="10"/>
        <v>25.260942022629596</v>
      </c>
      <c r="P48" s="6">
        <f t="shared" si="11"/>
        <v>4.4908341373563719E-3</v>
      </c>
      <c r="Q48" s="8">
        <v>3.2949999999999999</v>
      </c>
      <c r="R48" s="5">
        <v>10.78926843</v>
      </c>
      <c r="S48" s="5">
        <v>22.701031860000001</v>
      </c>
      <c r="T48" s="5">
        <v>40.899946239999998</v>
      </c>
      <c r="U48" s="5">
        <v>89.181159989999998</v>
      </c>
      <c r="V48" s="5">
        <v>89.22032901</v>
      </c>
      <c r="W48" s="5">
        <v>181.1040477</v>
      </c>
    </row>
    <row r="49" spans="1:26" ht="17.25" customHeight="1" x14ac:dyDescent="0.2">
      <c r="A49" t="s">
        <v>10</v>
      </c>
      <c r="B49" s="3">
        <v>1212</v>
      </c>
      <c r="C49" s="3">
        <v>3</v>
      </c>
      <c r="D49" s="3">
        <v>31</v>
      </c>
      <c r="E49" s="5">
        <v>8.76</v>
      </c>
      <c r="F49" s="5">
        <v>27.73</v>
      </c>
      <c r="G49" s="5">
        <v>1.43</v>
      </c>
      <c r="H49" s="3">
        <v>341</v>
      </c>
      <c r="I49" s="31">
        <f t="shared" si="6"/>
        <v>3.4099999999999999E-4</v>
      </c>
      <c r="J49" s="3">
        <v>562</v>
      </c>
      <c r="K49" s="3">
        <v>114010</v>
      </c>
      <c r="L49" s="5">
        <f t="shared" si="7"/>
        <v>0.11401</v>
      </c>
      <c r="M49" s="33">
        <f t="shared" si="8"/>
        <v>1.1401E-5</v>
      </c>
      <c r="N49" s="6">
        <f t="shared" si="9"/>
        <v>2.9909657047627403E-3</v>
      </c>
      <c r="O49" s="6">
        <f t="shared" si="10"/>
        <v>29.909657047627402</v>
      </c>
      <c r="P49" s="6">
        <f t="shared" si="11"/>
        <v>4.9293921585825805E-3</v>
      </c>
      <c r="Q49" s="8">
        <v>3.6560000000000001</v>
      </c>
      <c r="R49" s="5">
        <v>23.580718430000001</v>
      </c>
      <c r="S49" s="5">
        <v>21.18882911</v>
      </c>
      <c r="T49" s="5">
        <v>88.226393560000005</v>
      </c>
      <c r="U49" s="5">
        <v>113.8480082</v>
      </c>
      <c r="V49" s="5">
        <v>196.12756150000001</v>
      </c>
      <c r="W49" s="5">
        <v>217.68660890000001</v>
      </c>
    </row>
    <row r="50" spans="1:26" ht="17.25" customHeight="1" x14ac:dyDescent="0.2">
      <c r="A50" t="s">
        <v>10</v>
      </c>
      <c r="B50" s="3">
        <v>1212</v>
      </c>
      <c r="C50" s="3">
        <v>4</v>
      </c>
      <c r="D50" s="3">
        <v>32</v>
      </c>
      <c r="E50" s="5">
        <v>7.95</v>
      </c>
      <c r="F50" s="5">
        <v>27.73</v>
      </c>
      <c r="G50" s="5">
        <v>1.76</v>
      </c>
      <c r="H50" s="3">
        <v>464</v>
      </c>
      <c r="I50" s="31">
        <f t="shared" si="6"/>
        <v>4.64E-4</v>
      </c>
      <c r="J50" s="3">
        <v>718</v>
      </c>
      <c r="K50" s="3">
        <v>114010</v>
      </c>
      <c r="L50" s="5">
        <f t="shared" si="7"/>
        <v>0.11401</v>
      </c>
      <c r="M50" s="33">
        <f t="shared" si="8"/>
        <v>1.1401E-5</v>
      </c>
      <c r="N50" s="6">
        <f t="shared" si="9"/>
        <v>4.0698184369792126E-3</v>
      </c>
      <c r="O50" s="6">
        <f t="shared" si="10"/>
        <v>40.698184369792124</v>
      </c>
      <c r="P50" s="6">
        <f t="shared" si="11"/>
        <v>6.2976931848083501E-3</v>
      </c>
      <c r="Q50" s="8">
        <v>3.161</v>
      </c>
      <c r="R50" s="5">
        <v>11.24119853</v>
      </c>
      <c r="S50" s="5">
        <v>10.9587091</v>
      </c>
      <c r="T50" s="5">
        <v>47.482610610000002</v>
      </c>
      <c r="U50" s="5">
        <v>77.044621100000001</v>
      </c>
      <c r="V50" s="5">
        <v>129.38971889999999</v>
      </c>
      <c r="W50" s="5">
        <v>157.08165840000001</v>
      </c>
    </row>
    <row r="51" spans="1:26" ht="17.25" customHeight="1" x14ac:dyDescent="0.2">
      <c r="A51" t="s">
        <v>10</v>
      </c>
      <c r="B51" s="3">
        <v>1212</v>
      </c>
      <c r="C51" s="3">
        <v>4</v>
      </c>
      <c r="D51" s="3">
        <v>33</v>
      </c>
      <c r="E51" s="5">
        <v>7.67</v>
      </c>
      <c r="F51" s="5">
        <v>27.73</v>
      </c>
      <c r="G51" s="5">
        <v>1.8</v>
      </c>
      <c r="H51" s="3">
        <v>341</v>
      </c>
      <c r="I51" s="31">
        <f t="shared" si="6"/>
        <v>3.4099999999999999E-4</v>
      </c>
      <c r="J51" s="3">
        <v>558</v>
      </c>
      <c r="K51" s="3">
        <v>114010</v>
      </c>
      <c r="L51" s="5">
        <f t="shared" si="7"/>
        <v>0.11401</v>
      </c>
      <c r="M51" s="33">
        <f t="shared" si="8"/>
        <v>1.1401E-5</v>
      </c>
      <c r="N51" s="6">
        <f t="shared" si="9"/>
        <v>2.9909657047627403E-3</v>
      </c>
      <c r="O51" s="6">
        <f t="shared" si="10"/>
        <v>29.909657047627402</v>
      </c>
      <c r="P51" s="6">
        <f t="shared" si="11"/>
        <v>4.8943075168844836E-3</v>
      </c>
      <c r="Q51" s="8">
        <v>3.4</v>
      </c>
      <c r="R51" s="5">
        <v>15.00681346</v>
      </c>
      <c r="S51" s="5">
        <v>12.72446266</v>
      </c>
      <c r="T51" s="5">
        <v>63.88588996</v>
      </c>
      <c r="U51" s="5">
        <v>89.893406740000003</v>
      </c>
      <c r="V51" s="5">
        <v>145.346869</v>
      </c>
      <c r="W51" s="5">
        <v>183.99949219999999</v>
      </c>
    </row>
    <row r="52" spans="1:26" ht="17.25" customHeight="1" x14ac:dyDescent="0.2">
      <c r="A52" t="s">
        <v>10</v>
      </c>
      <c r="B52" s="3">
        <v>1212</v>
      </c>
      <c r="C52" s="3">
        <v>4</v>
      </c>
      <c r="D52" s="3">
        <v>34</v>
      </c>
      <c r="E52" s="5">
        <v>7.73</v>
      </c>
      <c r="F52" s="5">
        <v>27.73</v>
      </c>
      <c r="G52" s="5">
        <v>1.53</v>
      </c>
      <c r="H52" s="3">
        <v>341</v>
      </c>
      <c r="I52" s="31">
        <f t="shared" si="6"/>
        <v>3.4099999999999999E-4</v>
      </c>
      <c r="J52" s="3">
        <v>570</v>
      </c>
      <c r="K52" s="3">
        <v>114010</v>
      </c>
      <c r="L52" s="5">
        <f t="shared" si="7"/>
        <v>0.11401</v>
      </c>
      <c r="M52" s="33">
        <f t="shared" si="8"/>
        <v>1.1401E-5</v>
      </c>
      <c r="N52" s="6">
        <f t="shared" si="9"/>
        <v>2.9909657047627403E-3</v>
      </c>
      <c r="O52" s="6">
        <f t="shared" si="10"/>
        <v>29.909657047627402</v>
      </c>
      <c r="P52" s="6">
        <f t="shared" si="11"/>
        <v>4.9995614419787735E-3</v>
      </c>
      <c r="Q52" s="8">
        <v>3.246</v>
      </c>
      <c r="R52" s="5">
        <v>19.98215304</v>
      </c>
      <c r="S52" s="5">
        <v>14.873629360000001</v>
      </c>
      <c r="T52" s="5">
        <v>72.911949010000001</v>
      </c>
      <c r="U52" s="5">
        <v>82.949790039999996</v>
      </c>
      <c r="V52" s="5">
        <v>168.77005310000001</v>
      </c>
      <c r="W52" s="5">
        <v>167.90794020000001</v>
      </c>
      <c r="X52" s="5">
        <v>0.82</v>
      </c>
      <c r="Y52" s="5">
        <v>8.01</v>
      </c>
      <c r="Z52" s="11">
        <f>Y52*X52</f>
        <v>6.5681999999999992</v>
      </c>
    </row>
    <row r="53" spans="1:26" ht="17.25" customHeight="1" x14ac:dyDescent="0.2">
      <c r="A53" t="s">
        <v>10</v>
      </c>
      <c r="B53" s="3">
        <v>1212</v>
      </c>
      <c r="C53" s="3">
        <v>7</v>
      </c>
      <c r="D53" s="3">
        <v>36</v>
      </c>
      <c r="E53" s="5">
        <v>10.43</v>
      </c>
      <c r="F53" s="5">
        <v>27.73</v>
      </c>
      <c r="G53" s="5">
        <v>1.8</v>
      </c>
      <c r="H53" s="3">
        <v>629</v>
      </c>
      <c r="I53" s="31">
        <f t="shared" si="6"/>
        <v>6.29E-4</v>
      </c>
      <c r="J53" s="3">
        <v>959</v>
      </c>
      <c r="K53" s="3">
        <v>114010</v>
      </c>
      <c r="L53" s="5">
        <f t="shared" si="7"/>
        <v>0.11401</v>
      </c>
      <c r="M53" s="33">
        <f t="shared" si="8"/>
        <v>1.1401E-5</v>
      </c>
      <c r="N53" s="6">
        <f t="shared" si="9"/>
        <v>5.5170599070256997E-3</v>
      </c>
      <c r="O53" s="6">
        <f t="shared" si="10"/>
        <v>55.170599070256998</v>
      </c>
      <c r="P53" s="6">
        <f t="shared" si="11"/>
        <v>8.4115428471186731E-3</v>
      </c>
      <c r="Q53" s="8">
        <v>2.4750000000000001</v>
      </c>
      <c r="R53" s="5">
        <v>10.41131977</v>
      </c>
      <c r="S53" s="5">
        <v>12.924865540000001</v>
      </c>
      <c r="T53" s="5">
        <v>32.804067799999999</v>
      </c>
      <c r="U53" s="5">
        <v>62.428036069999997</v>
      </c>
      <c r="V53" s="5">
        <v>73.900910699999997</v>
      </c>
      <c r="W53" s="5">
        <v>120.05877649999999</v>
      </c>
      <c r="X53" s="5">
        <v>5.03</v>
      </c>
      <c r="Y53" s="5">
        <v>1.74</v>
      </c>
      <c r="Z53" s="11">
        <f>Y53*X53</f>
        <v>8.7522000000000002</v>
      </c>
    </row>
    <row r="54" spans="1:26" ht="17.25" customHeight="1" x14ac:dyDescent="0.2">
      <c r="A54" t="s">
        <v>10</v>
      </c>
      <c r="B54" s="3">
        <v>1212</v>
      </c>
      <c r="C54" s="3">
        <v>7</v>
      </c>
      <c r="D54" s="3">
        <v>37</v>
      </c>
      <c r="E54" s="5">
        <v>7.96</v>
      </c>
      <c r="F54" s="5">
        <v>27.73</v>
      </c>
      <c r="G54" s="5">
        <v>1.65</v>
      </c>
      <c r="H54" s="3">
        <v>410</v>
      </c>
      <c r="I54" s="31">
        <f t="shared" si="6"/>
        <v>4.0999999999999999E-4</v>
      </c>
      <c r="J54" s="3">
        <v>516</v>
      </c>
      <c r="K54" s="3">
        <v>114010</v>
      </c>
      <c r="L54" s="5">
        <f t="shared" si="7"/>
        <v>0.11401</v>
      </c>
      <c r="M54" s="33">
        <f t="shared" si="8"/>
        <v>1.1401E-5</v>
      </c>
      <c r="N54" s="6">
        <f t="shared" si="9"/>
        <v>3.5961757740549075E-3</v>
      </c>
      <c r="O54" s="6">
        <f t="shared" si="10"/>
        <v>35.961757740549075</v>
      </c>
      <c r="P54" s="6">
        <f t="shared" si="11"/>
        <v>4.5259187790544688E-3</v>
      </c>
      <c r="Q54" s="8">
        <v>3.5379999999999998</v>
      </c>
      <c r="R54" s="5">
        <v>13.38064909</v>
      </c>
      <c r="S54" s="5">
        <v>25.729901250000001</v>
      </c>
      <c r="T54" s="5">
        <v>48.85683487</v>
      </c>
      <c r="U54" s="5">
        <v>122.7309635</v>
      </c>
      <c r="V54" s="5">
        <v>133.40925290000001</v>
      </c>
      <c r="W54" s="5">
        <v>273.58347700000002</v>
      </c>
    </row>
    <row r="55" spans="1:26" ht="17.25" customHeight="1" x14ac:dyDescent="0.2">
      <c r="A55" t="s">
        <v>10</v>
      </c>
      <c r="B55" s="3">
        <v>1212</v>
      </c>
      <c r="C55" s="3">
        <v>7</v>
      </c>
      <c r="D55" s="3">
        <v>83</v>
      </c>
      <c r="E55" s="5">
        <v>8.86</v>
      </c>
      <c r="F55" s="5">
        <v>27.73</v>
      </c>
      <c r="G55" s="5">
        <v>1.87</v>
      </c>
      <c r="H55" s="3">
        <v>370</v>
      </c>
      <c r="I55" s="31">
        <f t="shared" si="6"/>
        <v>3.6999999999999999E-4</v>
      </c>
      <c r="J55" s="3">
        <v>806</v>
      </c>
      <c r="K55" s="3">
        <v>114010</v>
      </c>
      <c r="L55" s="5">
        <f t="shared" si="7"/>
        <v>0.11401</v>
      </c>
      <c r="M55" s="33">
        <f t="shared" si="8"/>
        <v>1.1401E-5</v>
      </c>
      <c r="N55" s="6">
        <f t="shared" si="9"/>
        <v>3.2453293570739411E-3</v>
      </c>
      <c r="O55" s="6">
        <f t="shared" si="10"/>
        <v>32.453293570739412</v>
      </c>
      <c r="P55" s="6">
        <f t="shared" si="11"/>
        <v>7.0695553021664767E-3</v>
      </c>
      <c r="Q55" s="8">
        <v>2.6379999999999999</v>
      </c>
      <c r="R55" s="5">
        <v>6.5130528349999999</v>
      </c>
      <c r="S55" s="5">
        <v>24.195498109999999</v>
      </c>
      <c r="T55" s="5">
        <v>31.317886949999998</v>
      </c>
      <c r="U55" s="5">
        <v>111.0498077</v>
      </c>
      <c r="V55" s="5">
        <v>71.927964220000007</v>
      </c>
      <c r="W55" s="5">
        <v>235.81729129999999</v>
      </c>
    </row>
    <row r="56" spans="1:26" ht="17.25" customHeight="1" x14ac:dyDescent="0.2">
      <c r="A56" t="s">
        <v>10</v>
      </c>
      <c r="B56" s="3">
        <v>1212</v>
      </c>
      <c r="C56" s="3">
        <v>8</v>
      </c>
      <c r="D56" s="3">
        <v>38</v>
      </c>
      <c r="E56" s="5">
        <v>6.8</v>
      </c>
      <c r="F56" s="5">
        <v>27.73</v>
      </c>
      <c r="G56" s="5">
        <v>1.6</v>
      </c>
      <c r="H56" s="3">
        <v>408</v>
      </c>
      <c r="I56" s="31">
        <f t="shared" si="6"/>
        <v>4.08E-4</v>
      </c>
      <c r="J56" s="3">
        <v>847</v>
      </c>
      <c r="K56" s="3">
        <v>114010</v>
      </c>
      <c r="L56" s="5">
        <f t="shared" si="7"/>
        <v>0.11401</v>
      </c>
      <c r="M56" s="33">
        <f t="shared" si="8"/>
        <v>1.1401E-5</v>
      </c>
      <c r="N56" s="6">
        <f t="shared" si="9"/>
        <v>3.578633453205859E-3</v>
      </c>
      <c r="O56" s="6">
        <f t="shared" si="10"/>
        <v>35.786334532058589</v>
      </c>
      <c r="P56" s="6">
        <f t="shared" si="11"/>
        <v>7.4291728795719677E-3</v>
      </c>
      <c r="Q56" s="8">
        <v>2.665</v>
      </c>
      <c r="R56" s="5">
        <v>14.33030975</v>
      </c>
      <c r="S56" s="5">
        <v>36.870846720000003</v>
      </c>
      <c r="T56" s="5">
        <v>49.454634030000001</v>
      </c>
      <c r="U56" s="5">
        <v>147.1331654</v>
      </c>
      <c r="V56" s="5">
        <v>118.79776819999999</v>
      </c>
      <c r="W56" s="5">
        <v>338.83089530000001</v>
      </c>
    </row>
    <row r="57" spans="1:26" ht="19.5" customHeight="1" x14ac:dyDescent="0.2">
      <c r="A57" t="s">
        <v>10</v>
      </c>
      <c r="B57" s="3">
        <v>1212</v>
      </c>
      <c r="C57" s="3">
        <v>8</v>
      </c>
      <c r="D57" s="3">
        <v>39</v>
      </c>
      <c r="E57" s="5">
        <v>11.35</v>
      </c>
      <c r="F57" s="5">
        <v>27.73</v>
      </c>
      <c r="G57" s="5">
        <v>1.54</v>
      </c>
      <c r="H57" s="3">
        <v>273</v>
      </c>
      <c r="I57" s="31">
        <f t="shared" si="6"/>
        <v>2.7300000000000002E-4</v>
      </c>
      <c r="J57" s="3">
        <v>564</v>
      </c>
      <c r="K57" s="3">
        <v>114010</v>
      </c>
      <c r="L57" s="5">
        <f t="shared" si="7"/>
        <v>0.11401</v>
      </c>
      <c r="M57" s="33">
        <f t="shared" si="8"/>
        <v>1.1401E-5</v>
      </c>
      <c r="N57" s="6">
        <f t="shared" si="9"/>
        <v>2.3945267958950969E-3</v>
      </c>
      <c r="O57" s="6">
        <f t="shared" si="10"/>
        <v>23.945267958950971</v>
      </c>
      <c r="P57" s="6">
        <f t="shared" si="11"/>
        <v>4.946934479431629E-3</v>
      </c>
      <c r="Q57" s="8">
        <v>3.4630000000000001</v>
      </c>
      <c r="R57" s="5">
        <v>12.803118100000001</v>
      </c>
      <c r="S57" s="5">
        <v>17.946016409999999</v>
      </c>
      <c r="T57" s="5">
        <v>53.236531050000004</v>
      </c>
      <c r="U57" s="5">
        <v>84.802385580000006</v>
      </c>
      <c r="V57" s="5">
        <v>120.4363871</v>
      </c>
      <c r="W57" s="5">
        <v>171.9133209</v>
      </c>
    </row>
    <row r="58" spans="1:26" ht="19.5" customHeight="1" x14ac:dyDescent="0.2">
      <c r="A58" t="s">
        <v>10</v>
      </c>
      <c r="B58" s="3">
        <v>1212</v>
      </c>
      <c r="C58" s="3">
        <v>8</v>
      </c>
      <c r="D58" s="3">
        <v>40</v>
      </c>
      <c r="E58" s="5">
        <v>8.52</v>
      </c>
      <c r="F58" s="5">
        <v>27.73</v>
      </c>
      <c r="G58" s="5">
        <v>1.34</v>
      </c>
      <c r="H58" s="3">
        <v>279</v>
      </c>
      <c r="I58" s="31">
        <f t="shared" si="6"/>
        <v>2.7900000000000001E-4</v>
      </c>
      <c r="J58" s="3">
        <v>477</v>
      </c>
      <c r="K58" s="3">
        <v>114010</v>
      </c>
      <c r="L58" s="5">
        <f t="shared" si="7"/>
        <v>0.11401</v>
      </c>
      <c r="M58" s="33">
        <f t="shared" si="8"/>
        <v>1.1401E-5</v>
      </c>
      <c r="N58" s="6">
        <f t="shared" si="9"/>
        <v>2.4471537584422418E-3</v>
      </c>
      <c r="O58" s="6">
        <f t="shared" si="10"/>
        <v>24.471537584422421</v>
      </c>
      <c r="P58" s="6">
        <f t="shared" si="11"/>
        <v>4.1838435224980262E-3</v>
      </c>
      <c r="Q58" s="8">
        <v>3.2290000000000001</v>
      </c>
      <c r="R58" s="5">
        <v>9.5817597550000002</v>
      </c>
      <c r="S58" s="5">
        <v>27.317039099999999</v>
      </c>
      <c r="T58" s="5">
        <v>44.482968739999997</v>
      </c>
      <c r="U58" s="5">
        <v>119.0370356</v>
      </c>
      <c r="V58" s="5">
        <v>106.89587</v>
      </c>
      <c r="W58" s="5">
        <v>249.69439080000001</v>
      </c>
      <c r="X58" s="5">
        <v>5.26</v>
      </c>
      <c r="Y58" s="5">
        <v>0.69</v>
      </c>
      <c r="Z58" s="11">
        <f>Y58*X58</f>
        <v>3.6293999999999995</v>
      </c>
    </row>
    <row r="59" spans="1:26" ht="19.5" customHeight="1" x14ac:dyDescent="0.2">
      <c r="A59" t="s">
        <v>10</v>
      </c>
      <c r="B59" s="3">
        <v>1212</v>
      </c>
      <c r="C59" s="3">
        <v>10</v>
      </c>
      <c r="D59" s="3">
        <v>21</v>
      </c>
      <c r="E59" s="5">
        <v>7.12</v>
      </c>
      <c r="F59" s="5">
        <v>27.73</v>
      </c>
      <c r="G59" s="5">
        <v>1.69</v>
      </c>
      <c r="H59" s="3">
        <v>346</v>
      </c>
      <c r="I59" s="31">
        <f t="shared" si="6"/>
        <v>3.4600000000000001E-4</v>
      </c>
      <c r="J59" s="3">
        <v>649</v>
      </c>
      <c r="K59" s="3">
        <v>114010</v>
      </c>
      <c r="L59" s="5">
        <f t="shared" si="7"/>
        <v>0.11401</v>
      </c>
      <c r="M59" s="33">
        <f t="shared" si="8"/>
        <v>1.1401E-5</v>
      </c>
      <c r="N59" s="6">
        <f t="shared" si="9"/>
        <v>3.034821506885361E-3</v>
      </c>
      <c r="O59" s="6">
        <f t="shared" si="10"/>
        <v>30.348215068853612</v>
      </c>
      <c r="P59" s="6">
        <f t="shared" si="11"/>
        <v>5.6924831155161825E-3</v>
      </c>
      <c r="Q59" s="8">
        <v>3.66</v>
      </c>
      <c r="R59" s="5">
        <v>17.912131590000001</v>
      </c>
      <c r="S59" s="5">
        <v>21.98658812</v>
      </c>
      <c r="T59" s="5">
        <v>57.21442124</v>
      </c>
      <c r="U59" s="5">
        <v>115.1093055</v>
      </c>
      <c r="V59" s="5">
        <v>152.24198630000001</v>
      </c>
      <c r="W59" s="5">
        <v>242.66293350000001</v>
      </c>
    </row>
    <row r="60" spans="1:26" ht="19.5" customHeight="1" x14ac:dyDescent="0.2">
      <c r="A60" t="s">
        <v>10</v>
      </c>
      <c r="B60" s="3">
        <v>1212</v>
      </c>
      <c r="C60" s="3">
        <v>10</v>
      </c>
      <c r="D60" s="3">
        <v>41</v>
      </c>
      <c r="E60" s="5">
        <v>7.26</v>
      </c>
      <c r="F60" s="5">
        <v>27.73</v>
      </c>
      <c r="G60" s="5">
        <v>1.92</v>
      </c>
      <c r="H60" s="3">
        <v>464</v>
      </c>
      <c r="I60" s="31">
        <f t="shared" si="6"/>
        <v>4.64E-4</v>
      </c>
      <c r="J60" s="3">
        <v>679</v>
      </c>
      <c r="K60" s="3">
        <v>114010</v>
      </c>
      <c r="L60" s="5">
        <f t="shared" si="7"/>
        <v>0.11401</v>
      </c>
      <c r="M60" s="33">
        <f t="shared" si="8"/>
        <v>1.1401E-5</v>
      </c>
      <c r="N60" s="6">
        <f t="shared" si="9"/>
        <v>4.0698184369792126E-3</v>
      </c>
      <c r="O60" s="6">
        <f t="shared" si="10"/>
        <v>40.698184369792124</v>
      </c>
      <c r="P60" s="6">
        <f t="shared" si="11"/>
        <v>5.9556179282519075E-3</v>
      </c>
      <c r="Q60" s="8">
        <v>3.3090000000000002</v>
      </c>
      <c r="R60" s="5">
        <v>28.287141569999999</v>
      </c>
      <c r="S60" s="5">
        <v>21.435052970000001</v>
      </c>
      <c r="T60" s="5">
        <v>109.9647916</v>
      </c>
      <c r="U60" s="5">
        <v>111.4710252</v>
      </c>
      <c r="V60" s="5">
        <v>251.64007430000001</v>
      </c>
      <c r="W60" s="5">
        <v>238.25161940000001</v>
      </c>
      <c r="X60" s="5">
        <v>3.88</v>
      </c>
      <c r="Y60" s="5">
        <v>5.1100000000000003</v>
      </c>
      <c r="Z60" s="11">
        <f>Y60*X60</f>
        <v>19.826800000000002</v>
      </c>
    </row>
    <row r="61" spans="1:26" ht="19.5" customHeight="1" x14ac:dyDescent="0.2">
      <c r="A61" t="s">
        <v>10</v>
      </c>
      <c r="B61" s="3">
        <v>1212</v>
      </c>
      <c r="C61" s="3">
        <v>10</v>
      </c>
      <c r="D61" s="3">
        <v>42</v>
      </c>
      <c r="E61" s="5">
        <v>7.4</v>
      </c>
      <c r="F61" s="5">
        <v>27.73</v>
      </c>
      <c r="G61" s="5">
        <v>1.99</v>
      </c>
      <c r="H61" s="3">
        <v>475</v>
      </c>
      <c r="I61" s="31">
        <f t="shared" si="6"/>
        <v>4.75E-4</v>
      </c>
      <c r="J61" s="3">
        <v>847</v>
      </c>
      <c r="K61" s="3">
        <v>114010</v>
      </c>
      <c r="L61" s="5">
        <f t="shared" si="7"/>
        <v>0.11401</v>
      </c>
      <c r="M61" s="33">
        <f t="shared" si="8"/>
        <v>1.1401E-5</v>
      </c>
      <c r="N61" s="6">
        <f t="shared" si="9"/>
        <v>4.1663012016489778E-3</v>
      </c>
      <c r="O61" s="6">
        <f t="shared" si="10"/>
        <v>41.66301201648978</v>
      </c>
      <c r="P61" s="6">
        <f t="shared" si="11"/>
        <v>7.4291728795719677E-3</v>
      </c>
      <c r="Q61" s="8">
        <v>3.4630000000000001</v>
      </c>
      <c r="R61" s="5">
        <v>13.77499222</v>
      </c>
      <c r="S61" s="5">
        <v>18.441572149999999</v>
      </c>
      <c r="T61" s="5">
        <v>56.939873390000002</v>
      </c>
      <c r="U61" s="5">
        <v>81.985488799999999</v>
      </c>
      <c r="V61" s="5">
        <v>160.21201199999999</v>
      </c>
      <c r="W61" s="5">
        <v>168.91348070000001</v>
      </c>
    </row>
    <row r="62" spans="1:26" ht="17.25" customHeight="1" x14ac:dyDescent="0.2"/>
    <row r="63" spans="1:26" ht="17.25" customHeight="1" x14ac:dyDescent="0.2">
      <c r="A63" t="s">
        <v>33</v>
      </c>
    </row>
    <row r="64" spans="1:26" ht="17.25" customHeight="1" x14ac:dyDescent="0.2">
      <c r="A64" t="s">
        <v>34</v>
      </c>
    </row>
    <row r="65" spans="1:15" ht="17.25" customHeight="1" x14ac:dyDescent="0.2"/>
    <row r="66" spans="1:15" ht="39.75" customHeight="1" x14ac:dyDescent="0.2">
      <c r="A66" t="s">
        <v>35</v>
      </c>
      <c r="B66" s="15" t="s">
        <v>36</v>
      </c>
      <c r="C66" s="16" t="s">
        <v>37</v>
      </c>
      <c r="D66" s="17" t="s">
        <v>38</v>
      </c>
      <c r="E66" s="18" t="s">
        <v>39</v>
      </c>
      <c r="F66" s="16" t="s">
        <v>40</v>
      </c>
      <c r="G66" s="16" t="s">
        <v>41</v>
      </c>
      <c r="H66" s="16" t="s">
        <v>42</v>
      </c>
      <c r="I66" s="31" t="s">
        <v>43</v>
      </c>
      <c r="J66" s="5" t="s">
        <v>44</v>
      </c>
      <c r="K66" s="19" t="s">
        <v>45</v>
      </c>
      <c r="L66" s="16" t="s">
        <v>46</v>
      </c>
      <c r="M66" s="16" t="s">
        <v>47</v>
      </c>
      <c r="N66" s="5" t="s">
        <v>48</v>
      </c>
      <c r="O66" s="16" t="s">
        <v>49</v>
      </c>
    </row>
    <row r="67" spans="1:15" ht="17.25" customHeight="1" x14ac:dyDescent="0.2">
      <c r="A67" t="s">
        <v>7</v>
      </c>
      <c r="B67" s="6">
        <f>AVERAGE(O2:O16)</f>
        <v>43.610209630734147</v>
      </c>
      <c r="C67" s="5">
        <f>D67*L2</f>
        <v>0.68406</v>
      </c>
      <c r="D67" s="6">
        <v>6</v>
      </c>
      <c r="E67" s="7">
        <f>AVERAGE(G2:G16)</f>
        <v>1.5859999999999999</v>
      </c>
      <c r="F67" s="5">
        <f>C67/AVERAGE(I2:I16)</f>
        <v>1375.8246178600164</v>
      </c>
      <c r="G67" s="30">
        <f>AVERAGE(Q2:Q16)/100</f>
        <v>3.4391333333333329E-2</v>
      </c>
      <c r="H67" s="5">
        <f>AVERAGE('Repeated measurements'!AA3:AA17) / 0.25</f>
        <v>17.778393248843752</v>
      </c>
      <c r="I67" s="5">
        <f>AVERAGE(T2:T16)</f>
        <v>93.877834261333348</v>
      </c>
      <c r="J67" s="5">
        <f>I67*1.67</f>
        <v>156.77598321642668</v>
      </c>
      <c r="K67" s="20">
        <v>779</v>
      </c>
      <c r="L67" s="11">
        <f>2*SQRT(K67/PI())</f>
        <v>31.493707392885515</v>
      </c>
      <c r="M67" s="11">
        <f>D67*0.95</f>
        <v>5.6999999999999993</v>
      </c>
      <c r="N67" s="5">
        <f>AVERAGE('Repeated measurements'!Y3:Y17)</f>
        <v>0.28825445909522696</v>
      </c>
      <c r="O67" s="11">
        <f>N67*F67</f>
        <v>396.58758103113632</v>
      </c>
    </row>
    <row r="68" spans="1:15" ht="17.25" customHeight="1" x14ac:dyDescent="0.2">
      <c r="A68" t="s">
        <v>8</v>
      </c>
      <c r="B68" s="6">
        <f>AVERAGE(O17:O31)</f>
        <v>37.218957401397539</v>
      </c>
      <c r="C68" s="5">
        <f>D68*L3</f>
        <v>0.38307360000000001</v>
      </c>
      <c r="D68" s="6">
        <v>3.36</v>
      </c>
      <c r="E68" s="7">
        <f>AVERAGE(G17:G31)</f>
        <v>1.8786666666666669</v>
      </c>
      <c r="F68" s="5">
        <f>C68/AVERAGE(I17:I31)</f>
        <v>902.76575019638676</v>
      </c>
      <c r="G68" s="30">
        <f>AVERAGE(Q17:Q31)/100</f>
        <v>4.3451333333333349E-2</v>
      </c>
      <c r="H68" s="5">
        <f>AVERAGE('Repeated measurements'!AA18:AA32) / 0.25</f>
        <v>13.901261272726773</v>
      </c>
      <c r="I68" s="5">
        <f>AVERAGE(T17:T31)</f>
        <v>65.979316391333342</v>
      </c>
      <c r="J68" s="5">
        <f>I68*1.67</f>
        <v>110.18545837352667</v>
      </c>
      <c r="K68" s="20">
        <v>679</v>
      </c>
      <c r="L68" s="11">
        <f>2*SQRT(K68/PI())</f>
        <v>29.40288507740653</v>
      </c>
      <c r="M68" s="11">
        <f>D68*0.95</f>
        <v>3.1919999999999997</v>
      </c>
      <c r="N68" s="5">
        <f>AVERAGE('Repeated measurements'!Y18:Y32)</f>
        <v>0.22539160276319631</v>
      </c>
      <c r="O68" s="11">
        <f>N68*F68</f>
        <v>203.4758193564829</v>
      </c>
    </row>
    <row r="69" spans="1:15" ht="17.25" customHeight="1" x14ac:dyDescent="0.2">
      <c r="A69" t="s">
        <v>9</v>
      </c>
      <c r="B69" s="6">
        <f>AVERAGE(O32:O46)</f>
        <v>33.488290500833259</v>
      </c>
      <c r="C69" s="5">
        <f>D69*L4</f>
        <v>0.4115761</v>
      </c>
      <c r="D69" s="6">
        <v>3.61</v>
      </c>
      <c r="E69" s="7">
        <f>AVERAGE(G32:G46)</f>
        <v>1.6186666666666667</v>
      </c>
      <c r="F69" s="5">
        <f>C69/AVERAGE(I32:I46)</f>
        <v>1077.9887375589315</v>
      </c>
      <c r="G69" s="30">
        <f>AVERAGE(Q32:Q46)/100</f>
        <v>3.3538666666666675E-2</v>
      </c>
      <c r="H69" s="5">
        <f>AVERAGE('Repeated measurements'!AA33:AA47) / 0.25</f>
        <v>17.424430172554619</v>
      </c>
      <c r="I69" s="5">
        <f>AVERAGE(T32:T46)</f>
        <v>80.926843771333338</v>
      </c>
      <c r="J69" s="5">
        <f>I69*1.67</f>
        <v>135.14782909812666</v>
      </c>
      <c r="K69" s="20">
        <v>779</v>
      </c>
      <c r="L69" s="11">
        <f>2*SQRT(K69/PI())</f>
        <v>31.493707392885515</v>
      </c>
      <c r="M69" s="11">
        <f>D69*0.95</f>
        <v>3.4294999999999995</v>
      </c>
      <c r="N69" s="5">
        <f>AVERAGE('Repeated measurements'!Y33:Y47)</f>
        <v>0.28251538955911781</v>
      </c>
      <c r="O69" s="11">
        <f>N69*F69</f>
        <v>304.54840813180311</v>
      </c>
    </row>
    <row r="70" spans="1:15" ht="17.25" customHeight="1" x14ac:dyDescent="0.2">
      <c r="A70" t="s">
        <v>10</v>
      </c>
      <c r="B70" s="6">
        <f>AVERAGE(O47:O61)</f>
        <v>33.938543402625498</v>
      </c>
      <c r="C70" s="5">
        <f>D70*L5</f>
        <v>0.4115761</v>
      </c>
      <c r="D70" s="6">
        <v>3.61</v>
      </c>
      <c r="E70" s="7">
        <f>AVERAGE(G47:G61)</f>
        <v>1.7013333333333334</v>
      </c>
      <c r="F70" s="5">
        <f>C70/AVERAGE(I47:I61)</f>
        <v>1063.6873707787734</v>
      </c>
      <c r="G70" s="30">
        <f>AVERAGE(Q47:Q61)/100</f>
        <v>3.2027333333333338E-2</v>
      </c>
      <c r="H70" s="5">
        <f>AVERAGE('Repeated measurements'!AA48:AA62) / 0.25</f>
        <v>15.955589824635025</v>
      </c>
      <c r="I70" s="5">
        <f>AVERAGE(T47:T61)</f>
        <v>59.280041045333334</v>
      </c>
      <c r="J70" s="5">
        <f>I70*1.67</f>
        <v>98.997668545706659</v>
      </c>
      <c r="K70" s="20">
        <v>779</v>
      </c>
      <c r="L70" s="11">
        <f>2*SQRT(K70/PI())</f>
        <v>31.493707392885515</v>
      </c>
      <c r="M70" s="11">
        <f>D70*0.95</f>
        <v>3.4294999999999995</v>
      </c>
      <c r="N70" s="5">
        <f>AVERAGE('Repeated measurements'!Y48:Y62)</f>
        <v>0.2586999764303558</v>
      </c>
      <c r="O70" s="11">
        <f>N70*F70</f>
        <v>275.17589774973578</v>
      </c>
    </row>
    <row r="71" spans="1:15" ht="17.25" customHeight="1" x14ac:dyDescent="0.2"/>
    <row r="72" spans="1:15" ht="17.25" customHeight="1" x14ac:dyDescent="0.2">
      <c r="A72" t="s">
        <v>35</v>
      </c>
      <c r="B72" s="12" t="s">
        <v>81</v>
      </c>
      <c r="C72" s="18" t="s">
        <v>80</v>
      </c>
      <c r="D72" s="12" t="s">
        <v>82</v>
      </c>
      <c r="E72" s="13" t="s">
        <v>83</v>
      </c>
      <c r="F72" s="10" t="s">
        <v>84</v>
      </c>
      <c r="G72" s="10" t="s">
        <v>85</v>
      </c>
    </row>
    <row r="73" spans="1:15" ht="17.25" customHeight="1" x14ac:dyDescent="0.2">
      <c r="A73" t="s">
        <v>7</v>
      </c>
      <c r="B73" s="34">
        <f>STDEV(O2:O16)/SQRT(COUNT(O2:O16))</f>
        <v>2.7818771896762939</v>
      </c>
      <c r="C73" s="10">
        <f>STDEV(G2:G16)/SQRT(COUNT(G2:G16))</f>
        <v>8.6116200566444007E-2</v>
      </c>
      <c r="D73" s="12">
        <v>1.73</v>
      </c>
      <c r="E73" s="13">
        <f>D73*$L$2</f>
        <v>0.1972373</v>
      </c>
      <c r="F73" s="10">
        <f>E73/AVERAGE(I2:I16)</f>
        <v>396.69609814963803</v>
      </c>
      <c r="G73" s="10">
        <f>F73*N67</f>
        <v>114.34941919731098</v>
      </c>
    </row>
    <row r="74" spans="1:15" ht="17.25" customHeight="1" x14ac:dyDescent="0.2">
      <c r="A74" t="s">
        <v>8</v>
      </c>
      <c r="B74" s="34">
        <f>STDEV(O17:O31)/SQRT(COUNT(O17:O31))</f>
        <v>2.6402111005261197</v>
      </c>
      <c r="C74" s="10">
        <f>STDEV(G17:G31)/SQRT(COUNT(G17:G31))</f>
        <v>9.9913613480496502E-2</v>
      </c>
      <c r="D74" s="12">
        <v>1.27</v>
      </c>
      <c r="E74" s="13">
        <f t="shared" ref="E74:E76" si="12">D74*$L$2</f>
        <v>0.1447927</v>
      </c>
      <c r="F74" s="10">
        <f>E74/AVERAGE(I17:I31)</f>
        <v>341.22395915161047</v>
      </c>
      <c r="G74" s="10">
        <f t="shared" ref="G74:G76" si="13">F74*N68</f>
        <v>76.909015054384909</v>
      </c>
    </row>
    <row r="75" spans="1:15" ht="17.25" customHeight="1" x14ac:dyDescent="0.2">
      <c r="A75" t="s">
        <v>9</v>
      </c>
      <c r="B75" s="34">
        <f>STDEV(O32:O46)/SQRT(COUNT(O32:O46))</f>
        <v>1.4203090772341918</v>
      </c>
      <c r="C75" s="10">
        <f>STDEV(G32:G46)/SQRT(COUNT(G32:G46))</f>
        <v>6.3093782552842217E-2</v>
      </c>
      <c r="D75" s="12">
        <v>1.73</v>
      </c>
      <c r="E75" s="13">
        <f t="shared" si="12"/>
        <v>0.1972373</v>
      </c>
      <c r="F75" s="10">
        <f>E75/AVERAGE(I32:I46)</f>
        <v>516.59848088004196</v>
      </c>
      <c r="G75" s="10">
        <f t="shared" si="13"/>
        <v>145.94702107147353</v>
      </c>
    </row>
    <row r="76" spans="1:15" ht="17.25" customHeight="1" x14ac:dyDescent="0.2">
      <c r="A76" t="s">
        <v>10</v>
      </c>
      <c r="B76" s="34">
        <f>STDEV(O47:O61)/SQRT(COUNT(O47:O61))</f>
        <v>2.1146193023001589</v>
      </c>
      <c r="C76" s="10">
        <f>STDEV(G47:G61)/SQRT(COUNT(G47:G61))</f>
        <v>4.7897377069717618E-2</v>
      </c>
      <c r="D76" s="12">
        <v>1.73</v>
      </c>
      <c r="E76" s="13">
        <f t="shared" si="12"/>
        <v>0.1972373</v>
      </c>
      <c r="F76" s="10">
        <f>E76/AVERAGE(I47:I61)</f>
        <v>509.74491729841498</v>
      </c>
      <c r="G76" s="10">
        <f t="shared" si="13"/>
        <v>131.87099809059362</v>
      </c>
    </row>
    <row r="77" spans="1:15" ht="17.25" customHeight="1" x14ac:dyDescent="0.2"/>
    <row r="78" spans="1:15" ht="17.25" customHeight="1" x14ac:dyDescent="0.2">
      <c r="B78" s="5">
        <f>B67+(1.96*B73)</f>
        <v>49.062688922499682</v>
      </c>
      <c r="C78" s="10">
        <f>E67+(1.96*C73)</f>
        <v>1.7547877531102301</v>
      </c>
    </row>
    <row r="79" spans="1:15" ht="17.25" customHeight="1" x14ac:dyDescent="0.2">
      <c r="B79" s="5">
        <f>B67-(1.96*B73)</f>
        <v>38.157730338968612</v>
      </c>
      <c r="C79" s="10">
        <f>E67-(1.96*C73)</f>
        <v>1.4172122468897697</v>
      </c>
    </row>
    <row r="80" spans="1:15" ht="17.25" customHeight="1" x14ac:dyDescent="0.2">
      <c r="B80" s="6"/>
    </row>
    <row r="81" ht="17.25" customHeight="1" x14ac:dyDescent="0.2"/>
    <row r="82" ht="17.25" customHeight="1" x14ac:dyDescent="0.2"/>
    <row r="83" ht="17.25" customHeight="1" x14ac:dyDescent="0.2"/>
    <row r="84" ht="17.25" customHeight="1" x14ac:dyDescent="0.2"/>
    <row r="85" ht="17.25" customHeight="1" x14ac:dyDescent="0.2"/>
    <row r="86" ht="17.25" customHeight="1" x14ac:dyDescent="0.2"/>
    <row r="87" ht="17.25" customHeight="1" x14ac:dyDescent="0.2"/>
    <row r="88" ht="17.25" customHeight="1" x14ac:dyDescent="0.2"/>
    <row r="89" ht="17.25" customHeight="1" x14ac:dyDescent="0.2"/>
    <row r="90" ht="17.25" customHeight="1" x14ac:dyDescent="0.2"/>
    <row r="91" ht="17.25" customHeight="1" x14ac:dyDescent="0.2"/>
    <row r="92" ht="17.25" customHeight="1" x14ac:dyDescent="0.2"/>
    <row r="93" ht="17.25" customHeight="1" x14ac:dyDescent="0.2"/>
    <row r="94" ht="17.25" customHeight="1" x14ac:dyDescent="0.2"/>
    <row r="95" ht="17.25" customHeight="1" x14ac:dyDescent="0.2"/>
    <row r="96" ht="17.25" customHeight="1" x14ac:dyDescent="0.2"/>
    <row r="97" ht="17.25" customHeight="1" x14ac:dyDescent="0.2"/>
    <row r="98" ht="17.25" customHeight="1" x14ac:dyDescent="0.2"/>
    <row r="99" ht="17.25" customHeight="1" x14ac:dyDescent="0.2"/>
    <row r="100" ht="17.25" customHeight="1" x14ac:dyDescent="0.2"/>
    <row r="101" ht="17.25" customHeight="1" x14ac:dyDescent="0.2"/>
    <row r="102" ht="17.25" customHeight="1" x14ac:dyDescent="0.2"/>
    <row r="103" ht="17.25" customHeight="1" x14ac:dyDescent="0.2"/>
    <row r="104" ht="17.25" customHeight="1" x14ac:dyDescent="0.2"/>
    <row r="105" ht="17.25" customHeight="1" x14ac:dyDescent="0.2"/>
    <row r="106" ht="17.25" customHeight="1" x14ac:dyDescent="0.2"/>
    <row r="107" ht="17.25" customHeight="1" x14ac:dyDescent="0.2"/>
    <row r="108" ht="17.25" customHeight="1" x14ac:dyDescent="0.2"/>
    <row r="109" ht="17.25" customHeight="1" x14ac:dyDescent="0.2"/>
    <row r="110" ht="17.25" customHeight="1" x14ac:dyDescent="0.2"/>
    <row r="111" ht="17.25" customHeight="1" x14ac:dyDescent="0.2"/>
    <row r="112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>
      <c r="X724" s="8"/>
    </row>
    <row r="725" spans="24:24" ht="17.25" customHeight="1" x14ac:dyDescent="0.2">
      <c r="X725" s="8"/>
    </row>
    <row r="726" spans="24:24" ht="17.25" customHeight="1" x14ac:dyDescent="0.2"/>
    <row r="727" spans="24:24" ht="17.25" customHeight="1" x14ac:dyDescent="0.2">
      <c r="X727" s="8"/>
    </row>
    <row r="728" spans="24:24" ht="17.25" customHeight="1" x14ac:dyDescent="0.2">
      <c r="X728" s="8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Repeated measurements</vt:lpstr>
      <vt:lpstr>One time measurements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2025-06-04T03:58:19Z</dcterms:modified>
</cp:coreProperties>
</file>