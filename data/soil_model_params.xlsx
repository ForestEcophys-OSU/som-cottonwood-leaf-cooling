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olinpannikkat/Documents/schoolwork/FEL/garisom/03_test_data/fremont-poplar-data/data/"/>
    </mc:Choice>
  </mc:AlternateContent>
  <xr:revisionPtr revIDLastSave="0" documentId="13_ncr:1_{D4DED7A8-5ABD-D24F-ABBD-F399AA7AE194}" xr6:coauthVersionLast="47" xr6:coauthVersionMax="47" xr10:uidLastSave="{00000000-0000-0000-0000-000000000000}"/>
  <bookViews>
    <workbookView xWindow="0" yWindow="880" windowWidth="41120" windowHeight="25700" xr2:uid="{00000000-000D-0000-FFFF-FFFF00000000}"/>
  </bookViews>
  <sheets>
    <sheet name="Sheet 1 - soil_model_param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B4" i="1"/>
  <c r="B12" i="1"/>
  <c r="C12" i="1"/>
  <c r="D12" i="1"/>
  <c r="E12" i="1"/>
  <c r="B13" i="1"/>
  <c r="C13" i="1"/>
  <c r="D13" i="1"/>
  <c r="E13" i="1"/>
  <c r="B14" i="1"/>
  <c r="C14" i="1"/>
  <c r="D14" i="1"/>
  <c r="E14" i="1"/>
  <c r="C11" i="1"/>
  <c r="D11" i="1"/>
  <c r="E11" i="1"/>
  <c r="B11" i="1"/>
</calcChain>
</file>

<file path=xl/sharedStrings.xml><?xml version="1.0" encoding="utf-8"?>
<sst xmlns="http://schemas.openxmlformats.org/spreadsheetml/2006/main" count="68" uniqueCount="37">
  <si>
    <t>soil_model_params</t>
  </si>
  <si>
    <t>term</t>
  </si>
  <si>
    <t>estimate</t>
  </si>
  <si>
    <t>std.error</t>
  </si>
  <si>
    <t>conf.low</t>
  </si>
  <si>
    <t>conf.high</t>
  </si>
  <si>
    <t>parameter</t>
  </si>
  <si>
    <t>population</t>
  </si>
  <si>
    <t>E.alpha.m</t>
  </si>
  <si>
    <t>alpha.m</t>
  </si>
  <si>
    <t>all</t>
  </si>
  <si>
    <t>E.n</t>
  </si>
  <si>
    <t>n</t>
  </si>
  <si>
    <t>E.theta.r</t>
  </si>
  <si>
    <t>theta.r</t>
  </si>
  <si>
    <t>alpha.m[1]</t>
  </si>
  <si>
    <t>CCR</t>
  </si>
  <si>
    <t>alpha.m[2]</t>
  </si>
  <si>
    <t>JLA</t>
  </si>
  <si>
    <t>alpha.m[3]</t>
  </si>
  <si>
    <t>NRV</t>
  </si>
  <si>
    <t>alpha.m[4]</t>
  </si>
  <si>
    <t>TSZ</t>
  </si>
  <si>
    <t>n[1]</t>
  </si>
  <si>
    <t>n[2]</t>
  </si>
  <si>
    <t>n[3]</t>
  </si>
  <si>
    <t>n[4]</t>
  </si>
  <si>
    <t>theta.r[1]</t>
  </si>
  <si>
    <t>theta.r[2]</t>
  </si>
  <si>
    <t>theta.r[3]</t>
  </si>
  <si>
    <t>theta.r[4]</t>
  </si>
  <si>
    <t>alpha.mpa-1[2]</t>
  </si>
  <si>
    <t>alpha.mpa-1[3]</t>
  </si>
  <si>
    <t>alpha.mpa-1[4]</t>
  </si>
  <si>
    <t>alpha.mpa-1[1]</t>
  </si>
  <si>
    <t>alpha.mpa-1</t>
  </si>
  <si>
    <t>E.alpha.mpa-1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</si>
</sst>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0" fontId="0" fillId="0" borderId="9" xfId="0" applyNumberFormat="1" applyBorder="1" applyAlignment="1">
      <alignment vertical="top"/>
    </xf>
    <xf numFmtId="49" fontId="3" fillId="0" borderId="1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showGridLines="0" tabSelected="1" workbookViewId="0">
      <selection activeCell="B6" sqref="B6"/>
    </sheetView>
  </sheetViews>
  <sheetFormatPr baseColWidth="10" defaultColWidth="8.33203125" defaultRowHeight="20" customHeight="1" x14ac:dyDescent="0.15"/>
  <cols>
    <col min="1" max="1" width="14.5" style="1" customWidth="1"/>
    <col min="2" max="5" width="19.5" style="1" customWidth="1"/>
    <col min="6" max="6" width="11.33203125" style="1" customWidth="1"/>
    <col min="7" max="7" width="10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1" t="s">
        <v>0</v>
      </c>
      <c r="B1" s="11"/>
      <c r="C1" s="11"/>
      <c r="D1" s="11"/>
      <c r="E1" s="11"/>
      <c r="F1" s="11"/>
      <c r="G1" s="11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>
        <v>0.13159743837214599</v>
      </c>
      <c r="C3" s="5">
        <v>6.0177791466465999E-2</v>
      </c>
      <c r="D3" s="5">
        <v>3.4699608229889899E-2</v>
      </c>
      <c r="E3" s="5">
        <v>0.238034056866992</v>
      </c>
      <c r="F3" s="6" t="s">
        <v>9</v>
      </c>
      <c r="G3" s="6" t="s">
        <v>10</v>
      </c>
    </row>
    <row r="4" spans="1:7" ht="20.25" customHeight="1" x14ac:dyDescent="0.15">
      <c r="A4" s="13" t="s">
        <v>36</v>
      </c>
      <c r="B4" s="14">
        <f>1/(B3*0.0098)</f>
        <v>775.40123568338879</v>
      </c>
      <c r="C4" s="14">
        <f t="shared" ref="C4:E4" si="0">1/(C3*0.0098)</f>
        <v>1695.6557201570406</v>
      </c>
      <c r="D4" s="14">
        <f t="shared" si="0"/>
        <v>2940.6907320248552</v>
      </c>
      <c r="E4" s="14">
        <f t="shared" si="0"/>
        <v>428.6815830877037</v>
      </c>
      <c r="F4" s="15" t="s">
        <v>35</v>
      </c>
      <c r="G4" s="15" t="s">
        <v>10</v>
      </c>
    </row>
    <row r="5" spans="1:7" ht="20" customHeight="1" x14ac:dyDescent="0.15">
      <c r="A5" s="7" t="s">
        <v>11</v>
      </c>
      <c r="B5" s="8">
        <v>1.4713926085343001</v>
      </c>
      <c r="C5" s="9">
        <v>9.6600295427349298E-2</v>
      </c>
      <c r="D5" s="9">
        <v>1.3169516865553501</v>
      </c>
      <c r="E5" s="9">
        <v>1.66761456166533</v>
      </c>
      <c r="F5" s="10" t="s">
        <v>12</v>
      </c>
      <c r="G5" s="10" t="s">
        <v>10</v>
      </c>
    </row>
    <row r="6" spans="1:7" ht="20" customHeight="1" x14ac:dyDescent="0.15">
      <c r="A6" s="7" t="s">
        <v>13</v>
      </c>
      <c r="B6" s="8">
        <v>2.9064505995330499E-2</v>
      </c>
      <c r="C6" s="9">
        <v>1.09728259126766E-2</v>
      </c>
      <c r="D6" s="9">
        <v>1.00290515420523E-2</v>
      </c>
      <c r="E6" s="9">
        <v>5.0326147501035701E-2</v>
      </c>
      <c r="F6" s="10" t="s">
        <v>14</v>
      </c>
      <c r="G6" s="10" t="s">
        <v>10</v>
      </c>
    </row>
    <row r="7" spans="1:7" ht="20" customHeight="1" x14ac:dyDescent="0.15">
      <c r="A7" s="7" t="s">
        <v>15</v>
      </c>
      <c r="B7" s="8">
        <v>0.134375990875965</v>
      </c>
      <c r="C7" s="9">
        <v>6.19100689457317E-2</v>
      </c>
      <c r="D7" s="9">
        <v>4.6209629442453298E-2</v>
      </c>
      <c r="E7" s="9">
        <v>0.25124315242363499</v>
      </c>
      <c r="F7" s="10" t="s">
        <v>9</v>
      </c>
      <c r="G7" s="10" t="s">
        <v>16</v>
      </c>
    </row>
    <row r="8" spans="1:7" ht="20" customHeight="1" x14ac:dyDescent="0.15">
      <c r="A8" s="7" t="s">
        <v>17</v>
      </c>
      <c r="B8" s="8">
        <v>0.229623159649013</v>
      </c>
      <c r="C8" s="9">
        <v>0.15535707846788899</v>
      </c>
      <c r="D8" s="9">
        <v>6.3996689430394299E-2</v>
      </c>
      <c r="E8" s="9">
        <v>0.48783941113325502</v>
      </c>
      <c r="F8" s="10" t="s">
        <v>9</v>
      </c>
      <c r="G8" s="10" t="s">
        <v>18</v>
      </c>
    </row>
    <row r="9" spans="1:7" ht="20" customHeight="1" x14ac:dyDescent="0.15">
      <c r="A9" s="7" t="s">
        <v>19</v>
      </c>
      <c r="B9" s="8">
        <v>5.5551849844709303E-2</v>
      </c>
      <c r="C9" s="9">
        <v>1.4031168019010699E-2</v>
      </c>
      <c r="D9" s="9">
        <v>3.2720246841737598E-2</v>
      </c>
      <c r="E9" s="9">
        <v>8.4170864237357604E-2</v>
      </c>
      <c r="F9" s="10" t="s">
        <v>9</v>
      </c>
      <c r="G9" s="10" t="s">
        <v>20</v>
      </c>
    </row>
    <row r="10" spans="1:7" ht="20" customHeight="1" x14ac:dyDescent="0.15">
      <c r="A10" s="7" t="s">
        <v>21</v>
      </c>
      <c r="B10" s="8">
        <v>0.28779949768287</v>
      </c>
      <c r="C10" s="9">
        <v>0.25940828268789201</v>
      </c>
      <c r="D10" s="9">
        <v>7.5683884343445501E-2</v>
      </c>
      <c r="E10" s="9">
        <v>0.62700288317670705</v>
      </c>
      <c r="F10" s="10" t="s">
        <v>9</v>
      </c>
      <c r="G10" s="10" t="s">
        <v>22</v>
      </c>
    </row>
    <row r="11" spans="1:7" ht="20" customHeight="1" x14ac:dyDescent="0.15">
      <c r="A11" s="7" t="s">
        <v>34</v>
      </c>
      <c r="B11" s="8">
        <f>1/(B7*0.0098)</f>
        <v>759.36791729944389</v>
      </c>
      <c r="C11" s="8">
        <f t="shared" ref="C11:E11" si="1">1/(C7*0.0098)</f>
        <v>1648.2103487233423</v>
      </c>
      <c r="D11" s="8">
        <f t="shared" si="1"/>
        <v>2208.2154208487245</v>
      </c>
      <c r="E11" s="8">
        <f t="shared" si="1"/>
        <v>406.14367134859839</v>
      </c>
      <c r="F11" s="12" t="s">
        <v>35</v>
      </c>
      <c r="G11" s="10" t="s">
        <v>16</v>
      </c>
    </row>
    <row r="12" spans="1:7" ht="20" customHeight="1" x14ac:dyDescent="0.15">
      <c r="A12" s="7" t="s">
        <v>31</v>
      </c>
      <c r="B12" s="8">
        <f t="shared" ref="B12:E12" si="2">1/(B8*0.0098)</f>
        <v>444.38381774078692</v>
      </c>
      <c r="C12" s="8">
        <f t="shared" si="2"/>
        <v>656.81472214104235</v>
      </c>
      <c r="D12" s="8">
        <f t="shared" si="2"/>
        <v>1594.4702333003465</v>
      </c>
      <c r="E12" s="8">
        <f t="shared" si="2"/>
        <v>209.16886581485687</v>
      </c>
      <c r="F12" s="12" t="s">
        <v>35</v>
      </c>
      <c r="G12" s="10" t="s">
        <v>18</v>
      </c>
    </row>
    <row r="13" spans="1:7" ht="20" customHeight="1" x14ac:dyDescent="0.15">
      <c r="A13" s="7" t="s">
        <v>32</v>
      </c>
      <c r="B13" s="8">
        <f t="shared" ref="B13:E13" si="3">1/(B9*0.0098)</f>
        <v>1836.8572173883942</v>
      </c>
      <c r="C13" s="8">
        <f t="shared" si="3"/>
        <v>7272.4392002345385</v>
      </c>
      <c r="D13" s="8">
        <f t="shared" si="3"/>
        <v>3118.5833291565646</v>
      </c>
      <c r="E13" s="8">
        <f t="shared" si="3"/>
        <v>1212.3056743100635</v>
      </c>
      <c r="F13" s="12" t="s">
        <v>35</v>
      </c>
      <c r="G13" s="10" t="s">
        <v>20</v>
      </c>
    </row>
    <row r="14" spans="1:7" ht="20" customHeight="1" x14ac:dyDescent="0.15">
      <c r="A14" s="7" t="s">
        <v>33</v>
      </c>
      <c r="B14" s="8">
        <f t="shared" ref="B14:E14" si="4">1/(B10*0.0098)</f>
        <v>354.55522733041988</v>
      </c>
      <c r="C14" s="8">
        <f t="shared" si="4"/>
        <v>393.35990072954371</v>
      </c>
      <c r="D14" s="8">
        <f t="shared" si="4"/>
        <v>1348.2502544858839</v>
      </c>
      <c r="E14" s="8">
        <f t="shared" si="4"/>
        <v>162.7437752910183</v>
      </c>
      <c r="F14" s="12" t="s">
        <v>35</v>
      </c>
      <c r="G14" s="10" t="s">
        <v>22</v>
      </c>
    </row>
    <row r="15" spans="1:7" ht="20" customHeight="1" x14ac:dyDescent="0.15">
      <c r="A15" s="7" t="s">
        <v>23</v>
      </c>
      <c r="B15" s="8">
        <v>1.4926648911942699</v>
      </c>
      <c r="C15" s="9">
        <v>8.8197281040929401E-2</v>
      </c>
      <c r="D15" s="9">
        <v>1.3390923533178301</v>
      </c>
      <c r="E15" s="9">
        <v>1.67181185785509</v>
      </c>
      <c r="F15" s="10" t="s">
        <v>12</v>
      </c>
      <c r="G15" s="10" t="s">
        <v>16</v>
      </c>
    </row>
    <row r="16" spans="1:7" ht="20" customHeight="1" x14ac:dyDescent="0.15">
      <c r="A16" s="7" t="s">
        <v>24</v>
      </c>
      <c r="B16" s="8">
        <v>1.4412033621790299</v>
      </c>
      <c r="C16" s="9">
        <v>8.2805575508993201E-2</v>
      </c>
      <c r="D16" s="9">
        <v>1.2907784752628999</v>
      </c>
      <c r="E16" s="9">
        <v>1.6076791117492799</v>
      </c>
      <c r="F16" s="10" t="s">
        <v>12</v>
      </c>
      <c r="G16" s="10" t="s">
        <v>18</v>
      </c>
    </row>
    <row r="17" spans="1:7" ht="20" customHeight="1" x14ac:dyDescent="0.15">
      <c r="A17" s="7" t="s">
        <v>25</v>
      </c>
      <c r="B17" s="8">
        <v>1.4965351642554201</v>
      </c>
      <c r="C17" s="9">
        <v>7.3821781149920301E-2</v>
      </c>
      <c r="D17" s="9">
        <v>1.3598478312245901</v>
      </c>
      <c r="E17" s="9">
        <v>1.64046723028175</v>
      </c>
      <c r="F17" s="10" t="s">
        <v>12</v>
      </c>
      <c r="G17" s="10" t="s">
        <v>20</v>
      </c>
    </row>
    <row r="18" spans="1:7" ht="20" customHeight="1" x14ac:dyDescent="0.15">
      <c r="A18" s="7" t="s">
        <v>26</v>
      </c>
      <c r="B18" s="8">
        <v>1.4429953884000599</v>
      </c>
      <c r="C18" s="9">
        <v>8.2599714188838394E-2</v>
      </c>
      <c r="D18" s="9">
        <v>1.2883384601064201</v>
      </c>
      <c r="E18" s="9">
        <v>1.59973631830834</v>
      </c>
      <c r="F18" s="10" t="s">
        <v>12</v>
      </c>
      <c r="G18" s="10" t="s">
        <v>22</v>
      </c>
    </row>
    <row r="19" spans="1:7" ht="20" customHeight="1" x14ac:dyDescent="0.15">
      <c r="A19" s="7" t="s">
        <v>27</v>
      </c>
      <c r="B19" s="8">
        <v>2.8654165849841699E-2</v>
      </c>
      <c r="C19" s="9">
        <v>1.11966102465728E-2</v>
      </c>
      <c r="D19" s="9">
        <v>9.3758238118070297E-3</v>
      </c>
      <c r="E19" s="9">
        <v>5.0856299931987203E-2</v>
      </c>
      <c r="F19" s="10" t="s">
        <v>14</v>
      </c>
      <c r="G19" s="10" t="s">
        <v>16</v>
      </c>
    </row>
    <row r="20" spans="1:7" ht="20" customHeight="1" x14ac:dyDescent="0.15">
      <c r="A20" s="7" t="s">
        <v>28</v>
      </c>
      <c r="B20" s="8">
        <v>2.9661460173896498E-2</v>
      </c>
      <c r="C20" s="9">
        <v>1.15977594759532E-2</v>
      </c>
      <c r="D20" s="9">
        <v>1.0385810511903499E-2</v>
      </c>
      <c r="E20" s="9">
        <v>5.3104766615798701E-2</v>
      </c>
      <c r="F20" s="10" t="s">
        <v>14</v>
      </c>
      <c r="G20" s="10" t="s">
        <v>18</v>
      </c>
    </row>
    <row r="21" spans="1:7" ht="20" customHeight="1" x14ac:dyDescent="0.15">
      <c r="A21" s="7" t="s">
        <v>29</v>
      </c>
      <c r="B21" s="8">
        <v>2.8346288003941501E-2</v>
      </c>
      <c r="C21" s="9">
        <v>1.1234713654936401E-2</v>
      </c>
      <c r="D21" s="9">
        <v>9.1271992007389106E-3</v>
      </c>
      <c r="E21" s="9">
        <v>5.0398280290718599E-2</v>
      </c>
      <c r="F21" s="10" t="s">
        <v>14</v>
      </c>
      <c r="G21" s="10" t="s">
        <v>20</v>
      </c>
    </row>
    <row r="22" spans="1:7" ht="20" customHeight="1" x14ac:dyDescent="0.15">
      <c r="A22" s="7" t="s">
        <v>30</v>
      </c>
      <c r="B22" s="8">
        <v>2.9925827558346101E-2</v>
      </c>
      <c r="C22" s="9">
        <v>1.1932957879624E-2</v>
      </c>
      <c r="D22" s="9">
        <v>9.2590700235057194E-3</v>
      </c>
      <c r="E22" s="9">
        <v>5.3250184730594299E-2</v>
      </c>
      <c r="F22" s="10" t="s">
        <v>14</v>
      </c>
      <c r="G22" s="10" t="s">
        <v>22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soil_model_params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Pannikkat, Colin</cp:lastModifiedBy>
  <dcterms:modified xsi:type="dcterms:W3CDTF">2025-04-09T21:39:17Z</dcterms:modified>
</cp:coreProperties>
</file>